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9A0792AC-7F0A-4227-B80D-A0346BFA5CF3}" xr6:coauthVersionLast="47" xr6:coauthVersionMax="47" xr10:uidLastSave="{00000000-0000-0000-0000-000000000000}"/>
  <bookViews>
    <workbookView xWindow="1635" yWindow="2205" windowWidth="23715" windowHeight="12690" tabRatio="847" firstSheet="14" activeTab="20"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lt;template&gt;" sheetId="21"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8" l="1"/>
  <c r="H3" i="28"/>
  <c r="I3" i="28"/>
  <c r="G3" i="28" s="1"/>
  <c r="J3" i="28"/>
  <c r="K3" i="28"/>
  <c r="L3" i="28"/>
  <c r="M3" i="28"/>
  <c r="F4" i="28"/>
  <c r="H4" i="28"/>
  <c r="I4" i="28"/>
  <c r="G4" i="28" s="1"/>
  <c r="J4" i="28"/>
  <c r="K4" i="28"/>
  <c r="L4" i="28"/>
  <c r="M4" i="28"/>
  <c r="F5" i="28"/>
  <c r="H5" i="28"/>
  <c r="I5" i="28"/>
  <c r="G5" i="28" s="1"/>
  <c r="J5" i="28"/>
  <c r="K5" i="28"/>
  <c r="L5" i="28"/>
  <c r="M5" i="28"/>
  <c r="F6" i="28"/>
  <c r="H6" i="28"/>
  <c r="I6" i="28"/>
  <c r="G6" i="28" s="1"/>
  <c r="J6" i="28"/>
  <c r="K6" i="28"/>
  <c r="L6" i="28"/>
  <c r="M6" i="28"/>
  <c r="F7" i="28"/>
  <c r="H7" i="28"/>
  <c r="I7" i="28"/>
  <c r="G7" i="28" s="1"/>
  <c r="J7" i="28"/>
  <c r="K7" i="28"/>
  <c r="L7" i="28"/>
  <c r="M7" i="28"/>
  <c r="F8" i="28"/>
  <c r="H8" i="28"/>
  <c r="I8" i="28"/>
  <c r="G8" i="28" s="1"/>
  <c r="J8" i="28"/>
  <c r="K8" i="28"/>
  <c r="L8" i="28"/>
  <c r="M8" i="28"/>
  <c r="F9" i="28"/>
  <c r="H9" i="28"/>
  <c r="I9" i="28"/>
  <c r="G9" i="28" s="1"/>
  <c r="J9" i="28"/>
  <c r="K9" i="28"/>
  <c r="L9" i="28"/>
  <c r="M9" i="28"/>
  <c r="F10" i="28"/>
  <c r="H10" i="28"/>
  <c r="I10" i="28"/>
  <c r="G10" i="28" s="1"/>
  <c r="J10" i="28"/>
  <c r="K10" i="28"/>
  <c r="L10" i="28"/>
  <c r="M10" i="28"/>
  <c r="F11" i="28"/>
  <c r="H11" i="28"/>
  <c r="I11" i="28"/>
  <c r="G11" i="28" s="1"/>
  <c r="J11" i="28"/>
  <c r="K11" i="28"/>
  <c r="L11" i="28"/>
  <c r="M11" i="28"/>
  <c r="F12" i="28"/>
  <c r="H12" i="28"/>
  <c r="I12" i="28"/>
  <c r="G12" i="28" s="1"/>
  <c r="J12" i="28"/>
  <c r="K12" i="28"/>
  <c r="L12" i="28"/>
  <c r="M12" i="28"/>
  <c r="F13" i="28"/>
  <c r="H13" i="28"/>
  <c r="I13" i="28"/>
  <c r="G13" i="28" s="1"/>
  <c r="J13" i="28"/>
  <c r="K13" i="28"/>
  <c r="L13" i="28"/>
  <c r="M13" i="28"/>
  <c r="F14" i="28"/>
  <c r="H14" i="28"/>
  <c r="I14" i="28"/>
  <c r="G14" i="28" s="1"/>
  <c r="J14" i="28"/>
  <c r="K14" i="28"/>
  <c r="L14" i="28"/>
  <c r="M14" i="28"/>
  <c r="F15" i="28"/>
  <c r="H15" i="28"/>
  <c r="I15" i="28"/>
  <c r="G15" i="28" s="1"/>
  <c r="J15" i="28"/>
  <c r="K15" i="28"/>
  <c r="L15" i="28"/>
  <c r="M15" i="28"/>
  <c r="F16" i="28"/>
  <c r="H16" i="28"/>
  <c r="I16" i="28"/>
  <c r="G16" i="28" s="1"/>
  <c r="J16" i="28"/>
  <c r="K16" i="28"/>
  <c r="L16" i="28"/>
  <c r="M16" i="28"/>
  <c r="F17" i="28"/>
  <c r="H17" i="28"/>
  <c r="I17" i="28"/>
  <c r="G17" i="28" s="1"/>
  <c r="J17" i="28"/>
  <c r="K17" i="28"/>
  <c r="L17" i="28"/>
  <c r="M17" i="28"/>
  <c r="F18" i="28"/>
  <c r="H18" i="28"/>
  <c r="I18" i="28"/>
  <c r="G18" i="28" s="1"/>
  <c r="J18" i="28"/>
  <c r="K18" i="28"/>
  <c r="L18" i="28"/>
  <c r="M18" i="28"/>
  <c r="F19" i="28"/>
  <c r="H19" i="28"/>
  <c r="I19" i="28"/>
  <c r="G19" i="28" s="1"/>
  <c r="J19" i="28"/>
  <c r="K19" i="28"/>
  <c r="L19" i="28"/>
  <c r="M19" i="28"/>
  <c r="F20" i="28"/>
  <c r="H20" i="28"/>
  <c r="I20" i="28"/>
  <c r="G20" i="28" s="1"/>
  <c r="J20" i="28"/>
  <c r="K20" i="28"/>
  <c r="L20" i="28"/>
  <c r="M20" i="28"/>
  <c r="F21" i="28"/>
  <c r="H21" i="28"/>
  <c r="I21" i="28"/>
  <c r="G21" i="28" s="1"/>
  <c r="J21" i="28"/>
  <c r="K21" i="28"/>
  <c r="L21" i="28"/>
  <c r="M21" i="28"/>
  <c r="F22" i="28"/>
  <c r="H22" i="28"/>
  <c r="I22" i="28"/>
  <c r="G22" i="28" s="1"/>
  <c r="J22" i="28"/>
  <c r="K22" i="28"/>
  <c r="L22" i="28"/>
  <c r="M22" i="28"/>
  <c r="F23" i="28"/>
  <c r="H23" i="28"/>
  <c r="I23" i="28"/>
  <c r="G23" i="28" s="1"/>
  <c r="J23" i="28"/>
  <c r="K23" i="28"/>
  <c r="L23" i="28"/>
  <c r="M23" i="28"/>
  <c r="F24" i="28"/>
  <c r="H24" i="28"/>
  <c r="I24" i="28"/>
  <c r="G24" i="28" s="1"/>
  <c r="J24" i="28"/>
  <c r="K24" i="28"/>
  <c r="L24" i="28"/>
  <c r="M24" i="28"/>
  <c r="F25" i="28"/>
  <c r="H25" i="28"/>
  <c r="I25" i="28"/>
  <c r="G25" i="28" s="1"/>
  <c r="J25" i="28"/>
  <c r="K25" i="28"/>
  <c r="L25" i="28"/>
  <c r="M25" i="28"/>
  <c r="F26" i="28"/>
  <c r="H26" i="28"/>
  <c r="I26" i="28"/>
  <c r="G26" i="28" s="1"/>
  <c r="J26" i="28"/>
  <c r="K26" i="28"/>
  <c r="L26" i="28"/>
  <c r="M26" i="28"/>
  <c r="F27" i="28"/>
  <c r="H27" i="28"/>
  <c r="I27" i="28"/>
  <c r="G27" i="28" s="1"/>
  <c r="J27" i="28"/>
  <c r="K27" i="28"/>
  <c r="L27" i="28"/>
  <c r="M27" i="28"/>
  <c r="F28" i="28"/>
  <c r="H28" i="28"/>
  <c r="I28" i="28"/>
  <c r="G28" i="28" s="1"/>
  <c r="J28" i="28"/>
  <c r="K28" i="28"/>
  <c r="L28" i="28"/>
  <c r="M28" i="28"/>
  <c r="F29" i="28"/>
  <c r="H29" i="28"/>
  <c r="I29" i="28"/>
  <c r="G29" i="28" s="1"/>
  <c r="J29" i="28"/>
  <c r="K29" i="28"/>
  <c r="L29" i="28"/>
  <c r="M29" i="28"/>
  <c r="F30" i="28"/>
  <c r="H30" i="28"/>
  <c r="I30" i="28"/>
  <c r="G30" i="28" s="1"/>
  <c r="J30" i="28"/>
  <c r="K30" i="28"/>
  <c r="L30" i="28"/>
  <c r="M30" i="28"/>
  <c r="F31" i="28"/>
  <c r="H31" i="28"/>
  <c r="I31" i="28"/>
  <c r="G31" i="28" s="1"/>
  <c r="J31" i="28"/>
  <c r="K31" i="28"/>
  <c r="L31" i="28"/>
  <c r="M31" i="28"/>
  <c r="F32" i="28"/>
  <c r="H32" i="28"/>
  <c r="I32" i="28"/>
  <c r="G32" i="28" s="1"/>
  <c r="J32" i="28"/>
  <c r="K32" i="28"/>
  <c r="L32" i="28"/>
  <c r="M32" i="28"/>
  <c r="F33" i="28"/>
  <c r="H33" i="28"/>
  <c r="I33" i="28"/>
  <c r="G33" i="28" s="1"/>
  <c r="J33" i="28"/>
  <c r="K33" i="28"/>
  <c r="L33" i="28"/>
  <c r="M33" i="28"/>
  <c r="F34" i="28"/>
  <c r="H34" i="28"/>
  <c r="I34" i="28"/>
  <c r="G34" i="28" s="1"/>
  <c r="J34" i="28"/>
  <c r="K34" i="28"/>
  <c r="L34" i="28"/>
  <c r="M34" i="28"/>
  <c r="F35" i="28"/>
  <c r="H35" i="28"/>
  <c r="I35" i="28"/>
  <c r="G35" i="28" s="1"/>
  <c r="J35" i="28"/>
  <c r="K35" i="28"/>
  <c r="L35" i="28"/>
  <c r="M35" i="28"/>
  <c r="F36" i="28"/>
  <c r="H36" i="28"/>
  <c r="I36" i="28"/>
  <c r="G36" i="28" s="1"/>
  <c r="J36" i="28"/>
  <c r="K36" i="28"/>
  <c r="L36" i="28"/>
  <c r="M36" i="28"/>
  <c r="F37" i="28"/>
  <c r="H37" i="28"/>
  <c r="I37" i="28"/>
  <c r="G37" i="28" s="1"/>
  <c r="J37" i="28"/>
  <c r="K37" i="28"/>
  <c r="L37" i="28"/>
  <c r="M37" i="28"/>
  <c r="F38" i="28"/>
  <c r="H38" i="28"/>
  <c r="I38" i="28"/>
  <c r="G38" i="28" s="1"/>
  <c r="J38" i="28"/>
  <c r="K38" i="28"/>
  <c r="L38" i="28"/>
  <c r="M38" i="28"/>
  <c r="F39" i="28"/>
  <c r="H39" i="28"/>
  <c r="I39" i="28"/>
  <c r="G39" i="28" s="1"/>
  <c r="J39" i="28"/>
  <c r="K39" i="28"/>
  <c r="L39" i="28"/>
  <c r="M39" i="28"/>
  <c r="F40" i="28"/>
  <c r="H40" i="28"/>
  <c r="I40" i="28"/>
  <c r="G40" i="28" s="1"/>
  <c r="J40" i="28"/>
  <c r="K40" i="28"/>
  <c r="L40" i="28"/>
  <c r="M40" i="28"/>
  <c r="F41" i="28"/>
  <c r="H41" i="28"/>
  <c r="I41" i="28"/>
  <c r="G41" i="28" s="1"/>
  <c r="J41" i="28"/>
  <c r="K41" i="28"/>
  <c r="L41" i="28"/>
  <c r="M41" i="28"/>
  <c r="F42" i="28"/>
  <c r="H42" i="28"/>
  <c r="I42" i="28"/>
  <c r="G42" i="28" s="1"/>
  <c r="J42" i="28"/>
  <c r="K42" i="28"/>
  <c r="L42" i="28"/>
  <c r="M42" i="28"/>
  <c r="F43" i="28"/>
  <c r="H43" i="28"/>
  <c r="I43" i="28"/>
  <c r="G43" i="28" s="1"/>
  <c r="J43" i="28"/>
  <c r="K43" i="28"/>
  <c r="L43" i="28"/>
  <c r="M43" i="28"/>
  <c r="F44" i="28"/>
  <c r="H44" i="28"/>
  <c r="I44" i="28"/>
  <c r="G44" i="28" s="1"/>
  <c r="J44" i="28"/>
  <c r="K44" i="28"/>
  <c r="L44" i="28"/>
  <c r="M44" i="28"/>
  <c r="F45" i="28"/>
  <c r="H45" i="28"/>
  <c r="I45" i="28"/>
  <c r="G45" i="28" s="1"/>
  <c r="J45" i="28"/>
  <c r="K45" i="28"/>
  <c r="L45" i="28"/>
  <c r="M45" i="28"/>
  <c r="F46" i="28"/>
  <c r="H46" i="28"/>
  <c r="I46" i="28"/>
  <c r="G46" i="28" s="1"/>
  <c r="J46" i="28"/>
  <c r="K46" i="28"/>
  <c r="L46" i="28"/>
  <c r="M46" i="28"/>
  <c r="F47" i="28"/>
  <c r="H47" i="28"/>
  <c r="I47" i="28"/>
  <c r="G47" i="28" s="1"/>
  <c r="J47" i="28"/>
  <c r="K47" i="28"/>
  <c r="L47" i="28"/>
  <c r="M47" i="28"/>
  <c r="F48" i="28"/>
  <c r="H48" i="28"/>
  <c r="I48" i="28"/>
  <c r="G48" i="28" s="1"/>
  <c r="J48" i="28"/>
  <c r="K48" i="28"/>
  <c r="L48" i="28"/>
  <c r="M48" i="28"/>
  <c r="F49" i="28"/>
  <c r="H49" i="28"/>
  <c r="I49" i="28"/>
  <c r="G49" i="28" s="1"/>
  <c r="J49" i="28"/>
  <c r="K49" i="28"/>
  <c r="L49" i="28"/>
  <c r="M49" i="28"/>
  <c r="F50" i="28"/>
  <c r="H50" i="28"/>
  <c r="I50" i="28"/>
  <c r="G50" i="28" s="1"/>
  <c r="J50" i="28"/>
  <c r="K50" i="28"/>
  <c r="L50" i="28"/>
  <c r="M50" i="28"/>
  <c r="F51" i="28"/>
  <c r="H51" i="28"/>
  <c r="I51" i="28"/>
  <c r="G51" i="28" s="1"/>
  <c r="J51" i="28"/>
  <c r="K51" i="28"/>
  <c r="L51" i="28"/>
  <c r="M51" i="28"/>
  <c r="F52" i="28"/>
  <c r="H52" i="28"/>
  <c r="I52" i="28"/>
  <c r="G52" i="28" s="1"/>
  <c r="J52" i="28"/>
  <c r="K52" i="28"/>
  <c r="L52" i="28"/>
  <c r="M52" i="28"/>
  <c r="F53" i="28"/>
  <c r="H53" i="28"/>
  <c r="I53" i="28"/>
  <c r="G53" i="28" s="1"/>
  <c r="J53" i="28"/>
  <c r="K53" i="28"/>
  <c r="L53" i="28"/>
  <c r="M53" i="28"/>
  <c r="F2" i="28"/>
  <c r="M2" i="28"/>
  <c r="L2" i="28"/>
  <c r="K2" i="28"/>
  <c r="J2" i="28"/>
  <c r="H2" i="28"/>
  <c r="I2" i="28" s="1"/>
  <c r="G2" i="28" l="1"/>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U47" i="17"/>
  <c r="V47" i="17"/>
  <c r="W47" i="17"/>
  <c r="X47" i="17"/>
  <c r="Y47" i="17"/>
  <c r="Z47" i="17"/>
  <c r="AA47" i="17"/>
  <c r="AB47" i="17"/>
  <c r="AC47" i="17"/>
  <c r="AD47" i="17"/>
  <c r="AE47" i="17"/>
  <c r="AF47" i="17"/>
  <c r="AG47" i="17"/>
  <c r="AH47" i="17"/>
  <c r="AI47" i="17"/>
  <c r="AJ47" i="17"/>
  <c r="AK47" i="17"/>
  <c r="AL47" i="17"/>
  <c r="AM47" i="17" s="1"/>
  <c r="AN47" i="17"/>
  <c r="AO47" i="17"/>
  <c r="AP47" i="17"/>
  <c r="AQ47" i="17"/>
  <c r="AR47" i="17"/>
  <c r="AS47" i="17"/>
  <c r="AT47" i="17"/>
  <c r="AU47"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47"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<sst xmlns="http://schemas.openxmlformats.org/spreadsheetml/2006/main" count="4404" uniqueCount="2131">
  <si>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</si>
  <si>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</si>
  <si>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</si>
  <si>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</si>
  <si>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</si>
  <si>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</si>
  <si>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</si>
  <si>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</si>
  <si>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</si>
  <si>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</si>
  <si>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</si>
  <si>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</si>
  <si>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</si>
  <si>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</si>
  <si>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</si>
  <si>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</si>
  <si>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</si>
  <si>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</si>
  <si>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</si>
  <si>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</si>
  <si>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</si>
  <si>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</si>
  <si>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</si>
  <si>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</si>
  <si>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</si>
  <si>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</si>
  <si>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</si>
  <si>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</si>
  <si>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</si>
  <si>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</si>
  <si>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</si>
  <si>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</si>
  <si>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</si>
  <si>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</si>
  <si>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</si>
  <si>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</si>
  <si>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</si>
  <si>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</si>
  <si>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</si>
  <si>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</si>
  <si>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</si>
  <si>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</si>
  <si>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</si>
  <si>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</si>
  <si>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</si>
  <si>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</si>
  <si>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</si>
  <si>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</si>
  <si>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</si>
  <si>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</si>
  <si>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</si>
  <si>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</si>
  <si>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</si>
  <si>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</si>
  <si>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</si>
  <si>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</si>
  <si>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</si>
  <si>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</si>
  <si>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</si>
  <si>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</si>
  <si>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</si>
  <si>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</si>
  <si>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</si>
  <si>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</si>
  <si>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</si>
  <si>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</si>
  <si>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</si>
  <si>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</si>
  <si>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</si>
  <si>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</si>
  <si>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</si>
  <si>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</si>
  <si>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</si>
  <si>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</si>
  <si>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</si>
  <si>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</si>
  <si>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</si>
  <si>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</si>
  <si>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</si>
  <si>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</si>
  <si>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</si>
  <si>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</si>
  <si>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</si>
  <si>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</si>
  <si>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</si>
  <si>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</si>
  <si>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</si>
  <si>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</si>
  <si>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</si>
  <si>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</si>
  <si>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</si>
  <si>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</si>
  <si>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</si>
  <si>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</si>
  <si>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</si>
  <si>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</si>
  <si>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</si>
  <si>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</si>
  <si>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</si>
  <si>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</si>
  <si>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</si>
  <si>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</si>
  <si>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</si>
  <si>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</si>
  <si>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</si>
  <si>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</si>
  <si>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</si>
  <si>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</si>
  <si>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</si>
  <si>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</si>
  <si>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</si>
  <si>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</si>
  <si>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</si>
  <si>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</si>
  <si>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</si>
  <si>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</si>
  <si>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</si>
  <si>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</si>
  <si>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</si>
  <si>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</si>
  <si>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</si>
  <si>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</si>
  <si>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</si>
  <si>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</si>
  <si>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</si>
  <si>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</si>
  <si>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</si>
  <si>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</si>
  <si>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</si>
  <si>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</si>
  <si>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</si>
  <si>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</si>
  <si>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</si>
  <si>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</si>
  <si>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</si>
  <si>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</si>
  <si>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</si>
  <si>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</si>
  <si>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</si>
  <si>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</si>
  <si>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</si>
  <si>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</si>
  <si>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</si>
  <si>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</si>
  <si>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</si>
  <si>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</si>
  <si>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</si>
  <si>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</si>
  <si>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</si>
  <si>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</si>
  <si>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</si>
  <si>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</si>
  <si>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</si>
  <si>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</si>
  <si>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</si>
  <si>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</si>
  <si>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</si>
  <si>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</si>
  <si>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</si>
  <si>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</si>
  <si>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</si>
  <si>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</si>
  <si>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</si>
  <si>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</si>
  <si>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</si>
  <si>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</si>
  <si>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</si>
  <si>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</si>
  <si>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</si>
  <si>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</si>
  <si>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</si>
  <si>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</si>
  <si>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</si>
  <si>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</si>
  <si>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</si>
  <si>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</si>
  <si>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</si>
  <si>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</si>
  <si>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</si>
  <si>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</si>
  <si>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</si>
  <si>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</si>
  <si>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</si>
  <si>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</si>
  <si>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</si>
  <si>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</si>
  <si>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</si>
  <si>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</si>
  <si>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</si>
  <si>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</si>
  <si>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</si>
  <si>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</si>
  <si>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</si>
  <si>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</si>
  <si>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</si>
  <si>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</si>
  <si>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</si>
  <si>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</si>
  <si>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</si>
  <si>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</si>
  <si>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</si>
  <si>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</si>
  <si>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</si>
  <si>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</si>
  <si>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</si>
  <si>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</si>
  <si>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</si>
  <si>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</si>
  <si>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</si>
  <si>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</si>
  <si>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</si>
  <si>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</si>
  <si>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</si>
  <si>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</si>
  <si>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</si>
  <si>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</si>
  <si>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</si>
  <si>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</si>
  <si>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</si>
  <si>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</si>
  <si>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</si>
  <si>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</si>
  <si>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</si>
  <si>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</si>
  <si>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</si>
  <si>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</si>
  <si>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</si>
  <si>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</si>
  <si>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</si>
  <si>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</si>
  <si>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</si>
  <si>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</si>
  <si>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</si>
  <si>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</si>
  <si>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</si>
  <si>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</si>
  <si>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</si>
  <si>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</si>
  <si>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</si>
  <si>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</si>
  <si>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</si>
  <si>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</si>
  <si>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</si>
  <si>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</si>
  <si>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</si>
  <si>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</si>
  <si>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</si>
  <si>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</si>
  <si>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</si>
  <si>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</si>
  <si>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</si>
  <si>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</si>
  <si>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</si>
  <si>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</si>
  <si>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</si>
  <si>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</si>
  <si>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</si>
  <si>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</si>
  <si>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</si>
  <si>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</si>
  <si>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</si>
  <si>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</si>
  <si>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</si>
  <si>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</si>
  <si>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</si>
  <si>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</si>
  <si>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</si>
  <si>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</si>
  <si>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</si>
  <si>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</si>
  <si>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</si>
  <si>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</si>
  <si>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</si>
  <si>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</si>
  <si>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</si>
  <si>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</si>
  <si>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</si>
  <si>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</si>
  <si>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</si>
  <si>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</si>
  <si>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</si>
  <si>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</si>
  <si>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</si>
  <si>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</si>
  <si>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</si>
  <si>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</si>
  <si>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</si>
  <si>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</si>
  <si>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</si>
  <si>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</si>
  <si>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</si>
  <si>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</si>
  <si>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</si>
  <si>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</si>
  <si>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</si>
  <si>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</si>
  <si>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</si>
  <si>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</si>
  <si>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</si>
  <si>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</si>
  <si>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</si>
  <si>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</si>
  <si>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</si>
  <si>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</si>
  <si>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</si>
  <si>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</si>
  <si>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</si>
  <si>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</si>
  <si>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</si>
  <si>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</si>
  <si>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</si>
  <si>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</si>
  <si>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</si>
  <si>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</si>
  <si>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</si>
  <si>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</si>
  <si>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</si>
  <si>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</si>
  <si>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</si>
  <si>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</si>
  <si>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</si>
  <si>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</si>
  <si>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</si>
  <si>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</si>
  <si>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</si>
  <si>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</si>
  <si>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</si>
  <si>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</si>
  <si>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</si>
  <si>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</si>
  <si>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</si>
  <si>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</si>
  <si>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</si>
  <si>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</si>
  <si>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</si>
  <si>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</si>
  <si>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</si>
  <si>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</si>
  <si>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</si>
  <si>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</si>
  <si>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</si>
  <si>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</si>
  <si>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</si>
  <si>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</si>
  <si>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</si>
  <si>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</si>
  <si>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</si>
  <si>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</si>
  <si>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</si>
  <si>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</si>
  <si>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</si>
  <si>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</si>
  <si>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</si>
  <si>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</si>
  <si>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</si>
  <si>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</si>
  <si>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</si>
  <si>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</si>
  <si>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</si>
  <si>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</si>
  <si>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</si>
  <si>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</si>
  <si>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</si>
  <si>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</si>
  <si>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</si>
  <si>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</si>
  <si>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</si>
  <si>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</si>
  <si>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</si>
  <si>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</si>
  <si>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</si>
  <si>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</si>
  <si>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</si>
  <si>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</si>
  <si>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</si>
  <si>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</si>
  <si>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</si>
  <si>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</si>
  <si>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</si>
  <si>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</si>
  <si>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</si>
  <si>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</si>
  <si>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</si>
  <si>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</si>
  <si>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</si>
  <si>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</si>
  <si>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</si>
  <si>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</si>
  <si>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</si>
  <si>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</si>
  <si>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</si>
  <si>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</si>
  <si>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</si>
  <si>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</si>
  <si>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</si>
  <si>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</si>
  <si>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</si>
  <si>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</si>
  <si>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</si>
  <si>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</si>
  <si>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</si>
  <si>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</si>
  <si>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</si>
  <si>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</si>
  <si>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</si>
  <si>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</si>
  <si>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</si>
  <si>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</si>
  <si>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</si>
  <si>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</si>
  <si>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</si>
  <si>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</si>
  <si>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</si>
  <si>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</si>
  <si>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</si>
  <si>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</si>
  <si>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</si>
  <si>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</si>
  <si>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</si>
  <si>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</si>
  <si>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</si>
  <si>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</si>
  <si>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</si>
  <si>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</si>
  <si>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</si>
  <si>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</si>
  <si>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</si>
  <si>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</si>
  <si>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</si>
  <si>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</si>
  <si>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</si>
  <si>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</si>
  <si>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</si>
  <si>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</si>
  <si>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</si>
  <si>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</si>
  <si>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</si>
  <si>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</si>
  <si>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</si>
  <si>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</si>
  <si>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</si>
  <si>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</si>
  <si>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</si>
  <si>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</si>
  <si>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</si>
  <si>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</si>
  <si>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</si>
  <si>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</si>
  <si>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</si>
  <si>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</si>
  <si>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</si>
  <si>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</si>
  <si>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</si>
  <si>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</si>
  <si>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</si>
  <si>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</si>
  <si>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</si>
  <si>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</si>
  <si>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</si>
  <si>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</si>
  <si>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</si>
  <si>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</si>
  <si>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</si>
  <si>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</si>
  <si>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</si>
  <si>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</si>
  <si>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</si>
  <si>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</si>
  <si>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</si>
  <si>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</si>
  <si>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</si>
  <si>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</si>
  <si>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</si>
  <si>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</si>
  <si>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</si>
  <si>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</si>
  <si>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</si>
  <si>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</si>
  <si>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</si>
  <si>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</si>
  <si>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</si>
  <si>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</si>
  <si>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</si>
  <si>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</si>
  <si>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</si>
  <si>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</si>
  <si>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</si>
  <si>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</si>
  <si>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</si>
  <si>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</si>
  <si>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</si>
  <si>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</si>
  <si>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</si>
  <si>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</si>
  <si>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</si>
  <si>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</si>
  <si>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</si>
  <si>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</si>
  <si>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</si>
  <si>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</si>
  <si>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</si>
  <si>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</si>
  <si>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</si>
  <si>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</si>
  <si>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</si>
  <si>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</si>
  <si>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</si>
  <si>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</si>
  <si>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</si>
  <si>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</si>
  <si>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</si>
  <si>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</si>
  <si>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</si>
  <si>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</si>
  <si>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</si>
  <si>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</si>
  <si>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</si>
  <si>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</si>
  <si>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</si>
  <si>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</si>
  <si>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</si>
  <si>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</si>
  <si>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</si>
  <si>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</si>
  <si>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</si>
  <si>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</si>
  <si>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</si>
  <si>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</si>
  <si>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</si>
  <si>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</si>
  <si>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</si>
  <si>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</si>
  <si>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</si>
  <si>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</si>
  <si>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</si>
  <si>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</si>
  <si>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</si>
  <si>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</si>
  <si>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</si>
  <si>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</si>
  <si>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</si>
  <si>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</si>
  <si>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</si>
  <si>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</si>
  <si>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</si>
  <si>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</si>
  <si>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</si>
  <si>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</si>
  <si>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</si>
  <si>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</si>
  <si>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</si>
  <si>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</si>
  <si>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</si>
  <si>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</si>
  <si>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</si>
  <si>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</si>
  <si>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</si>
  <si>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</si>
  <si>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</si>
  <si>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</si>
  <si>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</si>
  <si>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</si>
  <si>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</si>
  <si>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</si>
  <si>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</si>
  <si>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</si>
  <si>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</si>
  <si>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</si>
  <si>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</si>
  <si>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</si>
  <si>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</si>
  <si>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</si>
  <si>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</si>
  <si>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</si>
  <si>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</si>
  <si>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</si>
  <si>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</si>
  <si>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</si>
  <si>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</si>
  <si>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</si>
  <si>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</si>
  <si>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</si>
  <si>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</si>
  <si>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</si>
  <si>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</si>
  <si>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</si>
  <si>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</si>
  <si>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</si>
  <si>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</si>
  <si>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</si>
  <si>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</si>
  <si>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</si>
  <si>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</si>
  <si>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</si>
  <si>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</si>
  <si>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</si>
  <si>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</si>
  <si>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</si>
  <si>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</si>
  <si>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</si>
  <si>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</si>
  <si>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</si>
  <si>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</si>
  <si>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</si>
  <si>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</si>
  <si>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</si>
  <si>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</si>
  <si>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</si>
  <si>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</si>
  <si>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</si>
  <si>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</si>
  <si>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</si>
  <si>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</si>
  <si>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</si>
  <si>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</si>
  <si>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</si>
  <si>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</si>
  <si>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</si>
  <si>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</si>
  <si>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</si>
  <si>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</si>
  <si>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</si>
  <si>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</si>
  <si>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</si>
  <si>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</si>
  <si>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</si>
  <si>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</si>
  <si>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</si>
  <si>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</si>
  <si>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</si>
  <si>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</si>
  <si>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</si>
  <si>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</si>
  <si>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</si>
  <si>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</si>
  <si>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</si>
  <si>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</si>
  <si>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</si>
  <si>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</si>
  <si>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</si>
  <si>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</si>
  <si>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</si>
  <si>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</si>
  <si>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</si>
  <si>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</si>
  <si>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</si>
  <si>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</si>
  <si>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</si>
  <si>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</si>
  <si>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</si>
  <si>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</si>
  <si>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</si>
  <si>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</si>
  <si>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</si>
  <si>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</si>
  <si>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</si>
  <si>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</si>
  <si>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</si>
  <si>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</si>
  <si>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</si>
  <si>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</si>
  <si>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</si>
  <si>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</si>
  <si>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</si>
  <si>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</si>
  <si>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</si>
  <si>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</si>
  <si>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</si>
  <si>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</si>
  <si>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</si>
  <si>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</si>
  <si>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</si>
  <si>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</si>
  <si>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</si>
  <si>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</si>
  <si>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</si>
  <si>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</si>
  <si>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</si>
  <si>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</si>
  <si>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</si>
  <si>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</si>
  <si>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</si>
  <si>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</si>
  <si>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</si>
  <si>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</si>
  <si>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</si>
  <si>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</si>
  <si>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</si>
  <si>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</si>
  <si>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</si>
  <si>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</si>
  <si>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</si>
  <si>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</si>
  <si>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</si>
  <si>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</si>
  <si>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</si>
  <si>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</si>
  <si>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</si>
  <si>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</si>
  <si>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</si>
  <si>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</si>
  <si>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</si>
  <si>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</si>
  <si>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</si>
  <si>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</si>
  <si>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</si>
  <si>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</si>
  <si>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</si>
  <si>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</si>
  <si>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</si>
  <si>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</si>
  <si>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</si>
  <si>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</si>
  <si>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</si>
  <si>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</si>
  <si>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</si>
  <si>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</si>
  <si>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</si>
  <si>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</si>
  <si>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</si>
  <si>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</si>
  <si>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</si>
  <si>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</si>
  <si>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</si>
  <si>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</si>
  <si>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</si>
  <si>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</si>
  <si>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</si>
  <si>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</si>
  <si>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</si>
  <si>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</si>
  <si>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</si>
  <si>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</si>
  <si>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</si>
  <si>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</si>
  <si>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</si>
  <si>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</si>
  <si>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</si>
  <si>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</si>
  <si>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</si>
  <si>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</si>
  <si>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</si>
  <si>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</si>
  <si>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</si>
  <si>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</si>
  <si>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</si>
  <si>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</si>
  <si>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</si>
  <si>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</si>
  <si>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</si>
  <si>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</si>
  <si>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</si>
  <si>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</si>
  <si>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</si>
  <si>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</si>
  <si>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</si>
  <si>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</si>
  <si>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</si>
  <si>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</si>
  <si>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</si>
  <si>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</si>
  <si>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</si>
  <si>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</si>
  <si>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</si>
  <si>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</si>
  <si>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</si>
  <si>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</si>
  <si>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</si>
  <si>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</si>
  <si>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</si>
  <si>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</si>
  <si>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</si>
  <si>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</si>
  <si>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</si>
  <si>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</si>
  <si>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</si>
  <si>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</si>
  <si>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</si>
  <si>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</si>
  <si>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</si>
  <si>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</si>
  <si>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</si>
  <si>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</si>
  <si>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</si>
  <si>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</si>
  <si>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</si>
  <si>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</si>
  <si>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</si>
  <si>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</si>
  <si>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</si>
  <si>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</si>
  <si>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</si>
  <si>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</si>
  <si>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</si>
  <si>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</si>
  <si>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</si>
  <si>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</si>
  <si>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</si>
  <si>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</si>
  <si>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</si>
  <si>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</si>
  <si>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</si>
  <si>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</si>
  <si>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</si>
  <si>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</si>
  <si>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</si>
  <si>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</si>
  <si>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</si>
  <si>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</si>
  <si>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</si>
  <si>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</si>
  <si>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</si>
  <si>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</si>
  <si>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</si>
  <si>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</si>
  <si>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</si>
  <si>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</si>
  <si>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</si>
  <si>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</si>
  <si>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</si>
  <si>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</si>
  <si>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</si>
  <si>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</si>
  <si>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</si>
  <si>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</si>
  <si>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</si>
  <si>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</si>
  <si>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</si>
  <si>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</si>
  <si>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</si>
  <si>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</si>
  <si>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</si>
  <si>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</si>
  <si>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</si>
  <si>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</si>
  <si>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</si>
  <si>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</si>
  <si>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</si>
  <si>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</si>
  <si>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</si>
  <si>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</si>
  <si>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</si>
  <si>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</si>
  <si>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</si>
  <si>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</si>
  <si>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</si>
  <si>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</si>
  <si>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</si>
  <si>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</si>
  <si>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</si>
  <si>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</si>
  <si>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</si>
  <si>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</si>
  <si>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</si>
  <si>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</si>
  <si>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</si>
  <si>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</si>
  <si>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</si>
  <si>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</si>
  <si>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</si>
  <si>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</si>
  <si>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</si>
  <si>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</si>
  <si>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</si>
  <si>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</si>
  <si>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</si>
  <si>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</si>
  <si>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</si>
  <si>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</si>
  <si>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</si>
  <si>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</si>
  <si>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</si>
  <si>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</si>
  <si>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</si>
  <si>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</si>
  <si>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</si>
  <si>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</si>
  <si>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</si>
  <si>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</si>
  <si>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</si>
  <si>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</si>
  <si>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</si>
  <si>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</si>
  <si>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</si>
  <si>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</si>
  <si>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</si>
  <si>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</si>
  <si>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</si>
  <si>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</si>
  <si>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</si>
  <si>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</si>
  <si>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</si>
  <si>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</si>
  <si>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</si>
  <si>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</si>
  <si>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</si>
  <si>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</si>
  <si>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</si>
  <si>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</si>
  <si>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</si>
  <si>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</si>
  <si>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</si>
  <si>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</si>
  <si>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</si>
  <si>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</si>
  <si>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</si>
  <si>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</si>
  <si>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</si>
  <si>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</si>
  <si>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</si>
  <si>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</si>
  <si>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</si>
  <si>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</si>
  <si>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</si>
  <si>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</si>
  <si>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</si>
  <si>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</si>
  <si>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</si>
  <si>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</si>
  <si>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</si>
  <si>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</si>
  <si>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</si>
  <si>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</si>
  <si>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</si>
  <si>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</si>
  <si>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</si>
  <si>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</si>
  <si>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</si>
  <si>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</si>
  <si>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</si>
  <si>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</si>
  <si>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</si>
  <si>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</si>
  <si>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</si>
  <si>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</si>
  <si>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</si>
  <si>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</si>
  <si>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</si>
  <si>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</si>
  <si>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</si>
  <si>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</si>
  <si>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</si>
  <si>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</si>
  <si>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</si>
  <si>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</si>
  <si>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</si>
  <si>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</si>
  <si>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</si>
  <si>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</si>
  <si>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</si>
  <si>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</si>
  <si>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</si>
  <si>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</si>
  <si>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</si>
  <si>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</si>
  <si>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</si>
  <si>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</si>
  <si>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</si>
  <si>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</si>
  <si>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</si>
  <si>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</si>
  <si>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</si>
  <si>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</si>
  <si>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</si>
  <si>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</si>
  <si>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</si>
  <si>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</si>
  <si>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</si>
  <si>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</si>
  <si>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</si>
  <si>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</si>
  <si>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</si>
  <si>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</si>
  <si>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</si>
  <si>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</si>
  <si>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</si>
  <si>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</si>
  <si>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</si>
  <si>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</si>
  <si>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</si>
  <si>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</si>
  <si>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</si>
  <si>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</si>
  <si>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</si>
  <si>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</si>
  <si>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</si>
  <si>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</si>
  <si>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</si>
  <si>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</si>
  <si>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</si>
  <si>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</si>
  <si>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</si>
  <si>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</si>
  <si>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</si>
  <si>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</si>
  <si>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</si>
  <si>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</si>
  <si>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</si>
  <si>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</si>
  <si>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</si>
  <si>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</si>
  <si>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</si>
  <si>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</si>
  <si>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</si>
  <si>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</si>
  <si>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</si>
  <si>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</si>
  <si>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</si>
  <si>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</si>
  <si>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</si>
  <si>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</si>
  <si>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</si>
  <si>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</si>
  <si>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</si>
  <si>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</si>
  <si>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</si>
  <si>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</si>
  <si>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</si>
  <si>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</si>
  <si>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</si>
  <si>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</si>
  <si>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</si>
  <si>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</si>
  <si>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</si>
  <si>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</si>
  <si>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</si>
  <si>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</si>
  <si>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</si>
  <si>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</si>
  <si>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</si>
  <si>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</si>
  <si>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</si>
  <si>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</si>
  <si>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</si>
  <si>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</si>
  <si>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</si>
  <si>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</si>
  <si>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</si>
  <si>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</si>
  <si>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</si>
  <si>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</si>
  <si>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</si>
  <si>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</si>
  <si>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</si>
  <si>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</si>
  <si>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</si>
  <si>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</si>
  <si>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</si>
  <si>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</si>
  <si>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</si>
  <si>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</si>
  <si>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</si>
  <si>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</si>
  <si>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</si>
  <si>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</si>
  <si>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</si>
  <si>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</si>
  <si>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</si>
  <si>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</si>
  <si>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</si>
  <si>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</si>
  <si>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</si>
  <si>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</si>
  <si>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</si>
  <si>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</si>
  <si>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</si>
  <si>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</si>
  <si>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</si>
  <si>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</si>
  <si>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</si>
  <si>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</si>
  <si>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</si>
  <si>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</si>
  <si>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</si>
  <si>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</si>
  <si>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</si>
  <si>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</si>
  <si>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</si>
  <si>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</si>
  <si>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</si>
  <si>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</si>
  <si>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</si>
  <si>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</si>
  <si>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</si>
  <si>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</si>
  <si>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</si>
  <si>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</si>
  <si>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</si>
  <si>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</si>
  <si>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</si>
  <si>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</si>
  <si>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</si>
  <si>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</si>
  <si>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</si>
  <si>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</si>
  <si>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</si>
  <si>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</si>
  <si>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</si>
  <si>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</si>
  <si>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</si>
  <si>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</si>
  <si>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</si>
  <si>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</si>
  <si>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</si>
  <si>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</si>
  <si>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</si>
  <si>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</si>
  <si>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</si>
  <si>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</si>
  <si>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</si>
  <si>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</si>
  <si>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</si>
  <si>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</si>
  <si>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</si>
  <si>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</si>
  <si>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</si>
  <si>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</si>
  <si>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</si>
  <si>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</si>
  <si>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</si>
  <si>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</si>
  <si>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</si>
  <si>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</si>
  <si>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</si>
  <si>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</si>
  <si>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</si>
  <si>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</si>
  <si>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</si>
  <si>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</si>
  <si>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</si>
  <si>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</si>
  <si>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</si>
  <si>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</si>
  <si>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</si>
  <si>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</si>
  <si>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</si>
  <si>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</si>
  <si>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</si>
  <si>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</si>
  <si>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</si>
  <si>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</si>
  <si>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</si>
  <si>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</si>
  <si>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</si>
  <si>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</si>
  <si>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</si>
  <si>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</si>
  <si>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</si>
  <si>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</si>
  <si>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</si>
  <si>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</si>
  <si>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</si>
  <si>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</si>
  <si>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</si>
  <si>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</si>
  <si>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</si>
  <si>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</si>
  <si>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</si>
  <si>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</si>
  <si>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</si>
  <si>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</si>
  <si>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</si>
  <si>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</si>
  <si>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</si>
  <si>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</si>
  <si>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</si>
  <si>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</si>
  <si>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</si>
  <si>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</si>
  <si>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</si>
  <si>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</si>
  <si>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</si>
  <si>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</si>
  <si>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</si>
  <si>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</si>
  <si>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</si>
  <si>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</si>
  <si>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</si>
  <si>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</si>
  <si>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</si>
  <si>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</si>
  <si>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</si>
  <si>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</si>
  <si>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</si>
  <si>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</si>
  <si>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</si>
  <si>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</si>
  <si>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</si>
  <si>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</si>
  <si>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</si>
  <si>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</si>
  <si>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</si>
  <si>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</si>
  <si>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</si>
  <si>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</si>
  <si>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</si>
  <si>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</si>
  <si>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</si>
  <si>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</si>
  <si>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</si>
  <si>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</si>
  <si>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</si>
  <si>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</si>
  <si>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</si>
  <si>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</si>
  <si>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</si>
  <si>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</si>
  <si>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</si>
  <si>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</si>
  <si>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</si>
  <si>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</si>
  <si>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</si>
  <si>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</si>
  <si>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</si>
  <si>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</si>
  <si>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</si>
  <si>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</si>
  <si>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</si>
  <si>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</si>
  <si>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</si>
  <si>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</si>
  <si>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</si>
  <si>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</si>
  <si>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</si>
  <si>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</si>
  <si>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</si>
  <si>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</si>
  <si>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</si>
  <si>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</si>
  <si>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</si>
  <si>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</si>
  <si>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</si>
  <si>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</si>
  <si>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</si>
  <si>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</si>
  <si>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</si>
  <si>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</si>
  <si>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</si>
  <si>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</si>
  <si>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</si>
  <si>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</si>
  <si>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</si>
  <si>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</si>
  <si>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</si>
  <si>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</si>
  <si>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</si>
  <si>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</si>
  <si>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</si>
  <si>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</si>
  <si>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</si>
  <si>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</si>
  <si>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</si>
  <si>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</si>
  <si>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</si>
  <si>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</si>
  <si>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</si>
  <si>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</si>
  <si>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</si>
  <si>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</si>
  <si>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</si>
  <si>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</si>
  <si>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</si>
  <si>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</si>
  <si>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</si>
  <si>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</si>
  <si>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</si>
  <si>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</si>
  <si>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</si>
  <si>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</si>
  <si>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</si>
  <si>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</si>
  <si>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</si>
  <si>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</si>
  <si>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</si>
  <si>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</si>
  <si>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</si>
  <si>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</si>
  <si>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</si>
  <si>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</si>
  <si>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</si>
  <si>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</si>
  <si>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</si>
  <si>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</si>
  <si>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</si>
  <si>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</si>
  <si>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</si>
  <si>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</si>
  <si>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</si>
  <si>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</si>
  <si>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</si>
  <si>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</si>
  <si>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</si>
  <si>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</si>
  <si>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</si>
  <si>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</si>
  <si>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</si>
  <si>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</si>
  <si>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</si>
  <si>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</si>
  <si>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</si>
  <si>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</si>
  <si>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</si>
  <si>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</si>
  <si>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</si>
  <si>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</si>
  <si>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</si>
  <si>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</si>
  <si>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</si>
  <si>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</si>
  <si>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</si>
  <si>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</si>
  <si>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</si>
  <si>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</si>
  <si>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</si>
  <si>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</si>
  <si>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</si>
  <si>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</si>
  <si>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</si>
  <si>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</si>
  <si>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</si>
  <si>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</si>
  <si>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</si>
  <si>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</si>
  <si>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</si>
  <si>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</si>
  <si>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</si>
  <si>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</si>
  <si>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</si>
  <si>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</si>
  <si>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</si>
  <si>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</si>
  <si>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</si>
  <si>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</si>
  <si>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</si>
  <si>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</si>
  <si>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</si>
  <si>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</si>
  <si>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</si>
  <si>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</si>
  <si>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</si>
  <si>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</si>
  <si>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</si>
  <si>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</si>
  <si>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</si>
  <si>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</si>
  <si>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</si>
  <si>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</si>
  <si>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</si>
  <si>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</si>
  <si>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</si>
  <si>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</si>
  <si>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</si>
  <si>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</si>
  <si>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</si>
  <si>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</si>
  <si>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</si>
  <si>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</si>
  <si>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</si>
  <si>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</si>
  <si>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</si>
  <si>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</si>
  <si>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</si>
  <si>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</si>
  <si>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</si>
  <si>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</si>
  <si>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</si>
  <si>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</si>
  <si>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</si>
  <si>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</si>
  <si>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</si>
  <si>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</si>
  <si>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</si>
  <si>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</si>
  <si>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</si>
  <si>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</si>
  <si>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</si>
  <si>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</si>
  <si>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</si>
  <si>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</si>
  <si>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</si>
  <si>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</si>
  <si>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</si>
  <si>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</si>
  <si>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</si>
  <si>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</si>
  <si>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</si>
  <si>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</si>
  <si>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</si>
  <si>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</si>
  <si>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</si>
  <si>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</si>
  <si>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</si>
  <si>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</si>
  <si>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</si>
  <si>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</si>
  <si>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</si>
  <si>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</si>
  <si>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</si>
  <si>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</si>
  <si>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</si>
  <si>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</si>
  <si>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</si>
  <si>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</si>
  <si>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</si>
  <si>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</si>
  <si>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</si>
  <si>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</si>
  <si>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</si>
  <si>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</si>
  <si>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</si>
  <si>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</si>
  <si>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</si>
  <si>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</si>
  <si>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</si>
  <si>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</si>
  <si>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</si>
  <si>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</si>
  <si>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</si>
  <si>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</si>
  <si>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</si>
  <si>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</si>
  <si>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</si>
  <si>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</si>
  <si>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</si>
  <si>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</si>
  <si>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</si>
  <si>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</si>
  <si>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</si>
  <si>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</si>
  <si>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</si>
  <si>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</si>
  <si>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</si>
  <si>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</si>
  <si>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</si>
  <si>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</si>
  <si>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</si>
  <si>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</si>
  <si>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</si>
  <si>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</si>
  <si>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</si>
  <si>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</si>
  <si>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</si>
  <si>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</si>
  <si>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</si>
  <si>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</si>
  <si>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</si>
  <si>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</si>
  <si>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</si>
  <si>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</si>
  <si>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</si>
  <si>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</si>
  <si>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</si>
  <si>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</si>
  <si>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</si>
  <si>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</si>
  <si>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</si>
  <si>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</si>
  <si>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</si>
  <si>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</si>
  <si>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</si>
  <si>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</si>
  <si>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</si>
  <si>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</si>
  <si>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</si>
  <si>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</si>
  <si>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</si>
  <si>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</si>
  <si>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</si>
  <si>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</si>
  <si>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</si>
  <si>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</si>
  <si>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</si>
  <si>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</si>
  <si>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</si>
  <si>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</si>
  <si>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</si>
  <si>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</si>
  <si>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</si>
  <si>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</si>
  <si>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</si>
  <si>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</si>
  <si>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</si>
  <si>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</si>
  <si>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</si>
  <si>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</si>
  <si>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</si>
  <si>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</si>
  <si>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</si>
  <si>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</si>
  <si>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</si>
  <si>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</si>
  <si>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</si>
  <si>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</si>
  <si>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</si>
  <si>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</si>
  <si>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</si>
  <si>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</si>
  <si>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</si>
  <si>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</si>
  <si>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</si>
  <si>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</si>
  <si>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</si>
  <si>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</si>
  <si>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</si>
  <si>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</si>
  <si>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</si>
  <si>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</si>
  <si>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</si>
  <si>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</si>
  <si>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</si>
  <si>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</si>
  <si>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</si>
  <si>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</si>
  <si>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</si>
  <si>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</si>
  <si>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</si>
  <si>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</si>
  <si>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</si>
  <si>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</si>
  <si>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</si>
  <si>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</si>
  <si>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</si>
  <si>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</si>
  <si>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</si>
  <si>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</si>
  <si>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</si>
  <si>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</si>
  <si>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</si>
  <si>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</si>
  <si>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</si>
  <si>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</si>
  <si>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</si>
  <si>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</si>
  <si>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</si>
  <si>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</si>
  <si>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</si>
  <si>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</si>
  <si>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</si>
  <si>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</si>
  <si>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</si>
  <si>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</si>
  <si>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</si>
  <si>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</si>
  <si>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</si>
  <si>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</si>
  <si>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</si>
  <si>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</si>
  <si>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</si>
  <si>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</si>
  <si>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</si>
  <si>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</si>
  <si>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</si>
  <si>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</si>
  <si>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</si>
  <si>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</si>
  <si>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</si>
  <si>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</si>
  <si>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</si>
  <si>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</si>
  <si>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</si>
  <si>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</si>
  <si>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</si>
  <si>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</si>
  <si>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</si>
  <si>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</si>
  <si>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</si>
  <si>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</si>
  <si>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</si>
  <si>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</si>
  <si>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</si>
  <si>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</si>
  <si>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</si>
  <si>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</si>
  <si>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</si>
  <si>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</si>
  <si>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</si>
  <si>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</si>
  <si>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</si>
  <si>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</si>
  <si>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</si>
  <si>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</si>
  <si>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</si>
  <si>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</si>
  <si>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</si>
  <si>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</si>
  <si>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</si>
  <si>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</si>
  <si>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</si>
  <si>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</si>
  <si>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</si>
  <si>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</si>
  <si>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</si>
  <si>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</si>
  <si>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</si>
  <si>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</si>
  <si>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</si>
  <si>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</si>
  <si>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</si>
  <si>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</si>
  <si>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</si>
  <si>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</si>
  <si>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</si>
  <si>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</si>
  <si>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</si>
  <si>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</si>
  <si>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</si>
  <si>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</si>
  <si>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</si>
  <si>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</si>
  <si>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</si>
  <si>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</si>
  <si>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</si>
  <si>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</si>
  <si>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</si>
  <si>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</si>
  <si>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</si>
  <si>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</si>
  <si>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</si>
  <si>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</si>
  <si>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</si>
  <si>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</si>
  <si>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</si>
  <si>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</si>
  <si>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</si>
  <si>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</si>
  <si>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</si>
  <si>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</si>
  <si>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</si>
  <si>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</si>
  <si>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</si>
  <si>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</si>
  <si>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</si>
  <si>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</si>
  <si>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</si>
  <si>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</si>
  <si>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</si>
  <si>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</si>
  <si>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</si>
  <si>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</si>
  <si>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</si>
  <si>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</si>
  <si>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</si>
  <si>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</si>
  <si>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</si>
  <si>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</si>
  <si>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</si>
  <si>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</si>
  <si>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</si>
  <si>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</si>
  <si>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</si>
  <si>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</si>
  <si>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</si>
  <si>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</si>
  <si>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</si>
  <si>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</si>
  <si>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</si>
  <si>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</si>
  <si>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</si>
  <si>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</si>
  <si>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</si>
  <si>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</si>
  <si>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</si>
  <si>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</si>
  <si>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</si>
  <si>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</si>
  <si>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</si>
  <si>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</si>
  <si>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</si>
  <si>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</si>
  <si>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</si>
  <si>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</si>
  <si>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</si>
  <si>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</si>
  <si>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</si>
  <si>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</si>
  <si>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</si>
  <si>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</si>
  <si>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</si>
  <si>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</si>
  <si>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</si>
  <si>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</si>
  <si>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</si>
  <si>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</si>
  <si>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</si>
  <si>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</si>
  <si>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</si>
  <si>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</si>
  <si>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</si>
  <si>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</si>
  <si>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</si>
  <si>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</si>
  <si>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</si>
  <si>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</si>
  <si>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</si>
  <si>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</si>
  <si>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</si>
  <si>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</si>
  <si>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</si>
  <si>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</si>
  <si>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</si>
  <si>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</si>
  <si>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</si>
  <si>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</si>
  <si>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</si>
  <si>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</si>
  <si>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</si>
  <si>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</si>
  <si>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</si>
  <si>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</si>
  <si>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</si>
  <si>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</si>
  <si>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</si>
  <si>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</si>
  <si>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</si>
  <si>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</si>
  <si>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</si>
  <si>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</si>
  <si>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</si>
  <si>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</si>
  <si>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</si>
  <si>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</si>
  <si>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</si>
  <si>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</si>
  <si>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</si>
  <si>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</si>
  <si>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</si>
  <si>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</si>
  <si>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</si>
  <si>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</si>
  <si>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</si>
  <si>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</si>
  <si>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</si>
  <si>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</si>
  <si>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</si>
  <si>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</si>
  <si>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</si>
  <si>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</si>
  <si>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</si>
  <si>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</si>
  <si>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</si>
  <si>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</si>
  <si>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</si>
  <si>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</si>
  <si>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</si>
  <si>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</si>
  <si>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</si>
  <si>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</si>
  <si>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</si>
  <si>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</si>
  <si>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</si>
  <si>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</si>
  <si>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</si>
  <si>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</si>
  <si>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</si>
  <si>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</si>
  <si>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</si>
  <si>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</si>
  <si>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</si>
  <si>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</si>
  <si>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</si>
  <si>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</si>
  <si>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</si>
  <si>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</si>
  <si>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</si>
  <si>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</si>
  <si>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</si>
  <si>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</si>
  <si>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</si>
  <si>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</si>
  <si>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</si>
  <si>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</si>
  <si>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</si>
  <si>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</si>
  <si>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</si>
  <si>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</si>
  <si>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</si>
  <si>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</si>
  <si>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</si>
  <si>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</si>
  <si>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</si>
  <si>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</si>
  <si>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</si>
  <si>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</si>
  <si>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</si>
  <si>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</si>
  <si>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</si>
  <si>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</si>
  <si>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</si>
  <si>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</si>
  <si>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</si>
  <si>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</si>
  <si>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</si>
  <si>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</si>
  <si>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</si>
  <si>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</si>
  <si>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</si>
  <si>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</si>
  <si>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</si>
  <si>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</si>
  <si>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</si>
  <si>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</si>
  <si>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</si>
  <si>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</si>
  <si>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</si>
  <si>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</si>
  <si>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</si>
  <si>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</si>
  <si>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</si>
  <si>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</si>
  <si>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</si>
  <si>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</si>
  <si>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</si>
  <si>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</si>
  <si>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</si>
  <si>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</si>
  <si>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</si>
  <si>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</si>
  <si>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</si>
  <si>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</si>
  <si>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</si>
  <si>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</si>
  <si>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</si>
  <si>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</si>
  <si>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</si>
  <si>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</si>
  <si>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</si>
  <si>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</si>
  <si>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</si>
  <si>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</si>
  <si>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</si>
  <si>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</si>
  <si>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</si>
  <si>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</si>
  <si>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</si>
  <si>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</si>
  <si>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</si>
  <si>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</si>
  <si>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</si>
  <si>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</si>
  <si>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</si>
  <si>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</si>
  <si>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</si>
  <si>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</si>
  <si>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</si>
  <si>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</si>
  <si>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</si>
  <si>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</si>
  <si>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</si>
  <si>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</si>
  <si>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</si>
  <si>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</si>
  <si>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</si>
  <si>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</si>
  <si>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</si>
  <si>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</si>
  <si>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</si>
  <si>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</si>
  <si>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</si>
  <si>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</si>
  <si>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</si>
  <si>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</si>
  <si>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</si>
  <si>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</si>
  <si>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</si>
  <si>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</si>
  <si>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</si>
  <si>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</si>
  <si>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</si>
  <si>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</si>
  <si>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</si>
  <si>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</si>
  <si>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</si>
  <si>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</si>
  <si>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</si>
  <si>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</si>
  <si>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</si>
  <si>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</si>
  <si>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</si>
  <si>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</si>
  <si>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</si>
  <si>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</si>
  <si>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</si>
  <si>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</si>
  <si>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</si>
  <si>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</si>
  <si>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</si>
  <si>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</si>
  <si>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</si>
  <si>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</si>
  <si>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</si>
  <si>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</si>
  <si>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</si>
  <si>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</si>
  <si>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</si>
  <si>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</si>
  <si>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</si>
  <si>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</si>
  <si>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</si>
  <si>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</si>
  <si>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</si>
  <si>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</si>
  <si>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</si>
  <si>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</si>
  <si>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</si>
  <si>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</si>
  <si>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</si>
  <si>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</si>
  <si>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</si>
  <si>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</si>
  <si>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</si>
  <si>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</si>
  <si>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</si>
  <si>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</si>
  <si>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</si>
  <si>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</si>
  <si>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</si>
  <si>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</si>
  <si>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</si>
  <si>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</si>
  <si>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</si>
  <si>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</si>
  <si>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</si>
  <si>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</si>
  <si>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</si>
  <si>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</si>
  <si>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</si>
  <si>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</si>
  <si>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</si>
  <si>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</si>
  <si>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</si>
  <si>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</si>
  <si>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</si>
  <si>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</si>
  <si>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</si>
  <si>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</si>
  <si>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</si>
  <si>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</si>
  <si>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</si>
  <si>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</si>
  <si>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</si>
  <si>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</si>
  <si>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</si>
  <si>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</si>
  <si>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</si>
  <si>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</si>
  <si>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</si>
  <si>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</si>
  <si>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</si>
  <si>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</si>
  <si>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</si>
  <si>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</si>
  <si>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</si>
  <si>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</si>
  <si>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</si>
  <si>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</si>
  <si>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</si>
  <si>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</si>
  <si>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</si>
  <si>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</si>
  <si>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</si>
  <si>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</si>
  <si>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</si>
  <si>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</si>
  <si>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</si>
  <si>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</si>
  <si>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</si>
  <si>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</si>
  <si>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</si>
  <si>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</si>
  <si>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</si>
  <si>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</si>
  <si>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</si>
  <si>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</si>
  <si>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</si>
  <si>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</si>
  <si>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</si>
  <si>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</si>
  <si>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</si>
  <si>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</si>
  <si>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</si>
  <si>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</si>
  <si>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</si>
  <si>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</si>
  <si>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</si>
  <si>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</si>
  <si>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</si>
  <si>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</si>
  <si>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</si>
  <si>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</si>
  <si>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</si>
  <si>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</si>
  <si>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</si>
  <si>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</si>
  <si>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</si>
  <si>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</si>
  <si>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</si>
  <si>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</si>
  <si>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</si>
  <si>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</si>
  <si>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</si>
  <si>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</si>
  <si>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</si>
  <si>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</si>
  <si>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</si>
  <si>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</si>
  <si>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</si>
  <si>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</si>
  <si>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</si>
  <si>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</si>
  <si>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</si>
  <si>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</si>
  <si>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</si>
  <si>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</si>
  <si>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</si>
  <si>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</si>
  <si>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</si>
  <si>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</si>
  <si>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</si>
  <si>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</si>
  <si>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</si>
  <si>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</si>
  <si>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</si>
  <si>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</si>
  <si>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</si>
  <si>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</si>
  <si>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</si>
  <si>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</si>
  <si>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</si>
  <si>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</si>
  <si>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</si>
  <si>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</si>
  <si>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</si>
  <si>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</si>
  <si>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</si>
  <si>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</si>
  <si>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</si>
  <si>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</si>
  <si>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</si>
  <si>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</si>
  <si>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</si>
  <si>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</si>
  <si>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</si>
  <si>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</si>
  <si>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</si>
  <si>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</si>
  <si>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</si>
  <si>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</si>
  <si>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</si>
  <si>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</si>
  <si>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</si>
  <si>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</si>
  <si>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</si>
  <si>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</si>
  <si>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</si>
  <si>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</si>
  <si>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</si>
  <si>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</si>
  <si>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</si>
  <si>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</si>
  <si>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</si>
  <si>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</si>
  <si>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</si>
  <si>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</si>
  <si>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</si>
  <si>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</si>
  <si>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</si>
  <si>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</si>
  <si>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</si>
  <si>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</si>
  <si>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</si>
  <si>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</si>
  <si>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</si>
  <si>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</si>
  <si>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</si>
  <si>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</si>
  <si>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</si>
  <si>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</si>
  <si>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</si>
  <si>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</si>
  <si>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</si>
  <si>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</si>
  <si>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</si>
  <si>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</si>
  <si>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</si>
  <si>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</si>
  <si>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</si>
  <si>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</si>
  <si>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</si>
  <si>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</si>
  <si>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</si>
  <si>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</si>
  <si>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</si>
  <si>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</si>
  <si>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</si>
  <si>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</si>
  <si>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</si>
  <si>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</si>
  <si>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</si>
  <si>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</si>
  <si>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</si>
  <si>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</si>
  <si>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</si>
  <si>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</si>
  <si>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</si>
  <si>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</si>
  <si>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</si>
  <si>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</si>
  <si>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</si>
  <si>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</si>
  <si>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</si>
  <si>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</si>
  <si>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</si>
  <si>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</si>
  <si>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</si>
  <si>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</si>
  <si>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</si>
  <si>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</si>
  <si>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</si>
  <si>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</si>
  <si>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</si>
  <si>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</si>
  <si>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</si>
  <si>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</si>
  <si>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</si>
  <si>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</si>
  <si>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</si>
  <si>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</si>
  <si>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</si>
  <si>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4</t>
  </si>
  <si>
    <t>The Dragon and the Storm -- Tier 5</t>
  </si>
  <si>
    <t>The Dragon and the Storm -- Tier 5 --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</si>
</sst>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7"/>
  <sheetViews>
    <sheetView workbookViewId="0">
      <pane xSplit="3" ySplit="1" topLeftCell="D38" activePane="bottomRight" state="frozen"/>
      <selection pane="topRight" activeCell="B1" sqref="B1"/>
      <selection pane="bottomLeft" activeCell="A2" sqref="A2"/>
      <selection pane="bottomRight" activeCell="A47" sqref="A47"/>
    </sheetView>
  </sheetViews>
  <sheetFormatPr defaultRowHeight="15" x14ac:dyDescent="0.25"/>
  <cols>
    <col min="1" max="1" width="11" bestFit="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7" si="1">CONCATENATE(V3,X3,Y3,AU3," -- ",C3)</f>
        <v xml:space="preserve">  [2] = {["ID"] = 1879198665; }; -- Mysterious Relics</v>
      </c>
      <c r="T3" s="1" t="str">
        <f t="shared" ref="T3:T47"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7" si="3">ROW()-1</f>
        <v>2</v>
      </c>
      <c r="V3" t="str">
        <f t="shared" ref="V3:V47" si="4">CONCATENATE(REPT(" ",3-LEN(U3)),"[",U3,"] = {")</f>
        <v xml:space="preserve">  [2] = {</v>
      </c>
      <c r="W3" t="str">
        <f t="shared" ref="W3:W47" si="5">IF(LEN(A3)&gt;0,CONCATENATE("[""ID""] = ",A3,"; "),"                     ")</f>
        <v xml:space="preserve">["ID"] = 1879198665; </v>
      </c>
      <c r="X3" t="str">
        <f t="shared" ref="X3:X47" si="6">IF(LEN(A3)&gt;0,CONCATENATE("[""ID""] = ",A3,"; "),"")</f>
        <v xml:space="preserve">["ID"] = 1879198665; </v>
      </c>
      <c r="Y3" t="str">
        <f t="shared" ref="Y3:Y47" si="7">IF(LEN(Q3)&gt;0,CONCATENATE("[""CAT_ID""] = ",Q3,"; "),"")</f>
        <v/>
      </c>
      <c r="Z3" s="1" t="str">
        <f t="shared" ref="Z3:Z47" si="8">IF(LEN(B3)&gt;0,CONCATENATE("[""SAVE_INDEX""] = ",REPT(" ",2-LEN(B3)),B3,"; "),REPT(" ",21))</f>
        <v xml:space="preserve">["SAVE_INDEX"] = 38; </v>
      </c>
      <c r="AA3">
        <f>VLOOKUP(D3,Type!A$2:B$18,2,FALSE)</f>
        <v>6</v>
      </c>
      <c r="AB3" t="str">
        <f t="shared" ref="AB3:AB47" si="9">CONCATENATE("[""TYPE""] = ",REPT(" ",2-LEN(AA3)),AA3,"; ")</f>
        <v xml:space="preserve">["TYPE"] =  6; </v>
      </c>
      <c r="AC3" t="str">
        <f>IF(NOT(ISBLANK(E3)),VLOOKUP(E3,Type!D$2:E$6,2,FALSE),"")</f>
        <v/>
      </c>
      <c r="AD3" t="str">
        <f t="shared" ref="AD3:AD47" si="10">IF(NOT(ISBLANK(E3)),CONCATENATE("[""NA""] = ",AC3,"; "),"            ")</f>
        <v xml:space="preserve">            </v>
      </c>
      <c r="AE3" t="str">
        <f t="shared" ref="AE3:AE47" si="11">IF(NOT(ISBLANK(F3)),"[""LEGENDARY""] = true; ","                      ")</f>
        <v xml:space="preserve">                      </v>
      </c>
      <c r="AF3" t="str">
        <f t="shared" ref="AF3:AF47" si="12">TEXT(G3,0)</f>
        <v>0</v>
      </c>
      <c r="AG3" t="str">
        <f t="shared" ref="AG3:AG47" si="13">CONCATENATE("[""VXP""] = ",REPT(" ",1-LEN(AF3)),TEXT(AF3,"0"),"; ")</f>
        <v xml:space="preserve">["VXP"] = 0; </v>
      </c>
      <c r="AH3" t="str">
        <f t="shared" ref="AH3:AH47" si="14">TEXT(I3,0)</f>
        <v>0</v>
      </c>
      <c r="AI3" t="str">
        <f t="shared" ref="AI3:AI47" si="15">CONCATENATE("[""LP""] = ",REPT(" ",2-LEN(AH3)),TEXT(AH3,"0"),"; ")</f>
        <v xml:space="preserve">["LP"] =  0; </v>
      </c>
      <c r="AJ3" t="str">
        <f t="shared" ref="AJ3:AJ47" si="16">TEXT(J3,0)</f>
        <v>0</v>
      </c>
      <c r="AK3" t="str">
        <f t="shared" ref="AK3:AK47" si="17">CONCATENATE("[""REP""] = ",REPT(" ",1-LEN(AJ3)),TEXT(AJ3,"0"),"; ")</f>
        <v xml:space="preserve">["REP"] = 0; </v>
      </c>
      <c r="AL3">
        <f>IF(NOT(ISBLANK(K3)),VLOOKUP(K3,Faction!A$2:B$78,2,FALSE),1)</f>
        <v>1</v>
      </c>
      <c r="AM3" t="str">
        <f t="shared" ref="AM3:AM47" si="18">CONCATENATE("[""FACTION""] = ",TEXT(AL3,"0"),"; ")</f>
        <v xml:space="preserve">["FACTION"] = 1; </v>
      </c>
      <c r="AN3" t="str">
        <f t="shared" ref="AN3:AN47" si="19">CONCATENATE("[""TIER""] = ",TEXT(N3,"0"),"; ")</f>
        <v xml:space="preserve">["TIER"] = 1; </v>
      </c>
      <c r="AO3" t="str">
        <f t="shared" ref="AO3:AO47" si="20">IF(LEN(O3)&gt;0,CONCATENATE("[""MIN_LVL""] = ",REPT(" ",3-LEN(O3)),"""",O3,"""; "),"                     ")</f>
        <v xml:space="preserve">["MIN_LVL"] =  "65"; </v>
      </c>
      <c r="AP3" t="str">
        <f t="shared" ref="AP3:AP47" si="21">IF(LEN(P3)&gt;0,CONCATENATE("[""MIN_LVL""] = ",REPT(" ",3-LEN(P3)),"""",P3,"""; "),"")</f>
        <v/>
      </c>
      <c r="AQ3" t="str">
        <f t="shared" ref="AQ3:AQ47" si="22">CONCATENATE("[""NAME""] = { [""EN""] = """,C3,"""; }; ")</f>
        <v xml:space="preserve">["NAME"] = { ["EN"] = "Mysterious Relics"; }; </v>
      </c>
      <c r="AR3" t="str">
        <f t="shared" ref="AR3:AR47" si="23">IF(LEN(M3)&gt;0,CONCATENATE("[""LORE""] = { [""EN""] = """,M3,"""; }; "),"")</f>
        <v xml:space="preserve">["LORE"] = { ["EN"] = "Mysterious relics of unknown origin have appeared throughout Middle-earth, but for what purpose?"; }; </v>
      </c>
      <c r="AS3" t="str">
        <f t="shared" ref="AS3:AS47" si="24">IF(LEN(L3)&gt;0,CONCATENATE("[""SUMMARY""] = { [""EN""] = """,L3,"""; }; "),"")</f>
        <v xml:space="preserve">["SUMMARY"] = { ["EN"] = "Find 6 mysterious relics"; }; </v>
      </c>
      <c r="AT3" t="str">
        <f t="shared" ref="AT3:AT47" si="25">IF(LEN(H3)&gt;0,CONCATENATE("[""TITLE""] = { [""EN""] = """,H3,"""; }; "),"")</f>
        <v xml:space="preserve">["TITLE"] = { ["EN"] = "Calm Before the Storm"; }; </v>
      </c>
      <c r="AU3" t="str">
        <f t="shared" ref="AU3:AU47"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si="2"/>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si="4"/>
        <v xml:space="preserve"> [46] = {</v>
      </c>
      <c r="W47" t="str">
        <f t="shared" si="5"/>
        <v xml:space="preserve">["ID"] = 1879391028; </v>
      </c>
      <c r="X47" t="str">
        <f t="shared" si="6"/>
        <v xml:space="preserve">["ID"] = 1879391028; </v>
      </c>
      <c r="Y47" t="str">
        <f t="shared" si="7"/>
        <v/>
      </c>
      <c r="Z47" s="1" t="str">
        <f t="shared" si="8"/>
        <v xml:space="preserve">["SAVE_INDEX"] = 40; </v>
      </c>
      <c r="AA47">
        <f>VLOOKUP(D47,Type!A$2:B$18,2,FALSE)</f>
        <v>4</v>
      </c>
      <c r="AB47" t="str">
        <f t="shared" si="9"/>
        <v xml:space="preserve">["TYPE"] =  4; </v>
      </c>
      <c r="AC47">
        <f>IF(NOT(ISBLANK(E47)),VLOOKUP(E47,Type!D$2:E$6,2,FALSE),"")</f>
        <v>3</v>
      </c>
      <c r="AD47" t="str">
        <f t="shared" si="10"/>
        <v xml:space="preserve">["NA"] = 3; </v>
      </c>
      <c r="AE47" t="str">
        <f t="shared" si="11"/>
        <v xml:space="preserve">["LEGENDARY"] = true; </v>
      </c>
      <c r="AF47" t="str">
        <f t="shared" si="12"/>
        <v>0</v>
      </c>
      <c r="AG47" t="str">
        <f t="shared" si="13"/>
        <v xml:space="preserve">["VXP"] = 0; </v>
      </c>
      <c r="AH47" t="str">
        <f t="shared" si="14"/>
        <v>0</v>
      </c>
      <c r="AI47" t="str">
        <f t="shared" si="15"/>
        <v xml:space="preserve">["LP"] =  0; </v>
      </c>
      <c r="AJ47" t="str">
        <f t="shared" si="16"/>
        <v>0</v>
      </c>
      <c r="AK47" t="str">
        <f t="shared" si="17"/>
        <v xml:space="preserve">["REP"] = 0; </v>
      </c>
      <c r="AL47">
        <f>IF(NOT(ISBLANK(K47)),VLOOKUP(K47,Faction!A$2:B$78,2,FALSE),1)</f>
        <v>1</v>
      </c>
      <c r="AM47" t="str">
        <f t="shared" si="18"/>
        <v xml:space="preserve">["FACTION"] = 1; </v>
      </c>
      <c r="AN47" t="str">
        <f t="shared" si="19"/>
        <v xml:space="preserve">["TIER"] = 0; </v>
      </c>
      <c r="AO47" t="str">
        <f t="shared" si="20"/>
        <v xml:space="preserve">["MIN_LVL"] =  "65"; </v>
      </c>
      <c r="AP47" t="str">
        <f t="shared" si="21"/>
        <v xml:space="preserve">["MIN_LVL"] =  "65"; </v>
      </c>
      <c r="AQ47" t="str">
        <f t="shared" si="22"/>
        <v xml:space="preserve">["NAME"] = { ["EN"] = "Legendary Challenger: In Their Absence"; }; </v>
      </c>
      <c r="AR47" t="str">
        <f t="shared" si="23"/>
        <v xml:space="preserve">["LORE"] = { ["EN"] = "You have overcome every challenge laid before you by Gortheron and the Gaunt-lords of Middle-earth."; }; </v>
      </c>
      <c r="AS47" t="str">
        <f t="shared" si="24"/>
        <v xml:space="preserve">["SUMMARY"] = { ["EN"] = "Temporarily available on the Legendary worlds for completing all In Their Absence challenges."; }; </v>
      </c>
      <c r="AT47" t="str">
        <f t="shared" si="25"/>
        <v xml:space="preserve">["TITLE"] = { ["EN"] = "Legendary Challenger of the Gaunt-lords"; }; </v>
      </c>
      <c r="AU47"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3"/>
  <sheetViews>
    <sheetView tabSelected="1" workbookViewId="0">
      <selection activeCell="G51" sqref="G2:G51"/>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3" si="0">IF(AND(A3&gt;0,C3&gt;0),CONCATENATE("[",A3,"] = ",C3,", // ",B3),"")</f>
        <v/>
      </c>
      <c r="G3" t="str">
        <f t="shared" ref="G3:G53" si="1">CONCATENATE(I3,J3,K3,M3," -- ",B3)</f>
        <v xml:space="preserve"> [2] = {["CAT_ID"] = 300; }; -- The Streets of Râhal Bakh</v>
      </c>
      <c r="H3">
        <f t="shared" ref="H3:H53" si="2">ROW()-1</f>
        <v>2</v>
      </c>
      <c r="I3" t="str">
        <f t="shared" ref="I3:I53" si="3">CONCATENATE(REPT(" ",2-LEN(H3)),"[",H3,"] = {")</f>
        <v xml:space="preserve"> [2] = {</v>
      </c>
      <c r="J3" t="str">
        <f t="shared" ref="J3:J53" si="4">IF(LEN(A3)&gt;0,CONCATENATE("[""ID""] = ",A3,"; "),"")</f>
        <v/>
      </c>
      <c r="K3" t="str">
        <f t="shared" ref="K3:K53" si="5">IF(LEN(D3)&gt;0,CONCATENATE("[""CAT_ID""] = ",D3,"; "),"")</f>
        <v xml:space="preserve">["CAT_ID"] = 300; </v>
      </c>
      <c r="L3" t="str">
        <f t="shared" ref="L3:L53" si="6">CONCATENATE("[""TIER""] = ",TEXT(C3,"0"),"; ")</f>
        <v xml:space="preserve">["TIER"] = 1; </v>
      </c>
      <c r="M3" t="str">
        <f t="shared" ref="M3:M53"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F37" t="str">
        <f t="shared" si="0"/>
        <v/>
      </c>
      <c r="G37" t="str">
        <f t="shared" si="1"/>
        <v>[36] = {}; -- The Dragon and the Storm</v>
      </c>
      <c r="H37">
        <f t="shared" si="2"/>
        <v>36</v>
      </c>
      <c r="I37" t="str">
        <f t="shared" si="3"/>
        <v>[36] = {</v>
      </c>
      <c r="J37" t="str">
        <f t="shared" si="4"/>
        <v/>
      </c>
      <c r="K37" t="str">
        <f t="shared" si="5"/>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A42">
        <v>1879491110</v>
      </c>
      <c r="B42" t="s">
        <v>2128</v>
      </c>
      <c r="C42" s="2">
        <v>1</v>
      </c>
      <c r="F42" t="str">
        <f t="shared" si="0"/>
        <v>[1879491110] = 1, // The Dragon and the Storm -- Tier 4</v>
      </c>
      <c r="G42" t="str">
        <f t="shared" si="1"/>
        <v>[41] = {["ID"] = 1879491110; }; -- The Dragon and the Storm -- Tier 4</v>
      </c>
      <c r="H42">
        <f t="shared" si="2"/>
        <v>41</v>
      </c>
      <c r="I42" t="str">
        <f t="shared" si="3"/>
        <v>[41] = {</v>
      </c>
      <c r="J42" t="str">
        <f t="shared" si="4"/>
        <v xml:space="preserve">["ID"] = 1879491110; </v>
      </c>
      <c r="K42" t="str">
        <f t="shared" si="5"/>
        <v/>
      </c>
      <c r="L42" t="str">
        <f t="shared" si="6"/>
        <v xml:space="preserve">["TIER"] = 1; </v>
      </c>
      <c r="M42" t="str">
        <f t="shared" si="7"/>
        <v>};</v>
      </c>
    </row>
    <row r="43" spans="1:13" x14ac:dyDescent="0.25">
      <c r="A43">
        <v>1879491109</v>
      </c>
      <c r="B43" t="s">
        <v>2129</v>
      </c>
      <c r="C43" s="2">
        <v>1</v>
      </c>
      <c r="F43" t="str">
        <f t="shared" si="0"/>
        <v>[1879491109] = 1, // The Dragon and the Storm -- Tier 5</v>
      </c>
      <c r="G43" t="str">
        <f t="shared" si="1"/>
        <v>[42] = {["ID"] = 1879491109; }; -- The Dragon and the Storm -- Tier 5</v>
      </c>
      <c r="H43">
        <f t="shared" si="2"/>
        <v>42</v>
      </c>
      <c r="I43" t="str">
        <f t="shared" si="3"/>
        <v>[42] = {</v>
      </c>
      <c r="J43" t="str">
        <f t="shared" si="4"/>
        <v xml:space="preserve">["ID"] = 1879491109; </v>
      </c>
      <c r="K43" t="str">
        <f t="shared" si="5"/>
        <v/>
      </c>
      <c r="L43" t="str">
        <f t="shared" si="6"/>
        <v xml:space="preserve">["TIER"] = 1; </v>
      </c>
      <c r="M43" t="str">
        <f t="shared" si="7"/>
        <v>};</v>
      </c>
    </row>
    <row r="44" spans="1:13" x14ac:dyDescent="0.25">
      <c r="B44" s="2" t="s">
        <v>1722</v>
      </c>
      <c r="C44" s="2"/>
      <c r="D44">
        <v>282</v>
      </c>
      <c r="F44" t="str">
        <f t="shared" si="0"/>
        <v/>
      </c>
      <c r="G44" t="str">
        <f t="shared" si="1"/>
        <v>[43] = {["CAT_ID"] = 282; }; -- Not Actively Achievable</v>
      </c>
      <c r="H44">
        <f t="shared" si="2"/>
        <v>43</v>
      </c>
      <c r="I44" t="str">
        <f t="shared" si="3"/>
        <v>[43] = {</v>
      </c>
      <c r="J44" t="str">
        <f t="shared" si="4"/>
        <v/>
      </c>
      <c r="K44" t="str">
        <f t="shared" si="5"/>
        <v xml:space="preserve">["CAT_ID"] = 282; </v>
      </c>
      <c r="L44" t="str">
        <f t="shared" si="6"/>
        <v xml:space="preserve">["TIER"] = 0; </v>
      </c>
      <c r="M44" t="str">
        <f t="shared" si="7"/>
        <v>};</v>
      </c>
    </row>
    <row r="45" spans="1:13" x14ac:dyDescent="0.25">
      <c r="A45">
        <v>1879483052</v>
      </c>
      <c r="B45" t="s">
        <v>2089</v>
      </c>
      <c r="C45" s="2"/>
      <c r="E45" t="s">
        <v>1718</v>
      </c>
      <c r="F45" t="str">
        <f t="shared" si="0"/>
        <v/>
      </c>
      <c r="G45" t="str">
        <f t="shared" si="1"/>
        <v>[44] = {["ID"] = 1879483052; }; -- The Streets of Râhal Bakh -- Tier 5 -- Leading the Charge</v>
      </c>
      <c r="H45">
        <f t="shared" si="2"/>
        <v>44</v>
      </c>
      <c r="I45" t="str">
        <f t="shared" si="3"/>
        <v>[44] = {</v>
      </c>
      <c r="J45" t="str">
        <f t="shared" si="4"/>
        <v xml:space="preserve">["ID"] = 1879483052; </v>
      </c>
      <c r="K45" t="str">
        <f t="shared" si="5"/>
        <v/>
      </c>
      <c r="L45" t="str">
        <f t="shared" si="6"/>
        <v xml:space="preserve">["TIER"] = 0; </v>
      </c>
      <c r="M45" t="str">
        <f t="shared" si="7"/>
        <v>};</v>
      </c>
    </row>
    <row r="46" spans="1:13" x14ac:dyDescent="0.25">
      <c r="A46">
        <v>1879483006</v>
      </c>
      <c r="B46" t="s">
        <v>2098</v>
      </c>
      <c r="C46" s="2"/>
      <c r="E46" t="s">
        <v>1718</v>
      </c>
      <c r="F46" t="str">
        <f t="shared" si="0"/>
        <v/>
      </c>
      <c r="G46" t="str">
        <f t="shared" si="1"/>
        <v>[45] = {["ID"] = 1879483006; }; -- The Isle of Storms -- Tier 5 -- Leading the Charge</v>
      </c>
      <c r="H46">
        <f t="shared" si="2"/>
        <v>45</v>
      </c>
      <c r="I46" t="str">
        <f t="shared" si="3"/>
        <v>[45] = {</v>
      </c>
      <c r="J46" t="str">
        <f t="shared" si="4"/>
        <v xml:space="preserve">["ID"] = 1879483006; </v>
      </c>
      <c r="K46" t="str">
        <f t="shared" si="5"/>
        <v/>
      </c>
      <c r="L46" t="str">
        <f t="shared" si="6"/>
        <v xml:space="preserve">["TIER"] = 0; </v>
      </c>
      <c r="M46" t="str">
        <f t="shared" si="7"/>
        <v>};</v>
      </c>
    </row>
    <row r="47" spans="1:13" x14ac:dyDescent="0.25">
      <c r="A47">
        <v>1879482857</v>
      </c>
      <c r="B47" t="s">
        <v>2109</v>
      </c>
      <c r="C47" s="2"/>
      <c r="E47" t="s">
        <v>1718</v>
      </c>
      <c r="F47" t="str">
        <f t="shared" si="0"/>
        <v/>
      </c>
      <c r="G47" t="str">
        <f t="shared" si="1"/>
        <v>[46] = {["ID"] = 1879482857; }; -- Dahâl Huliz, The Arena -- Tier 5 -- Leading the Charge</v>
      </c>
      <c r="H47">
        <f t="shared" si="2"/>
        <v>46</v>
      </c>
      <c r="I47" t="str">
        <f t="shared" si="3"/>
        <v>[46] = {</v>
      </c>
      <c r="J47" t="str">
        <f t="shared" si="4"/>
        <v xml:space="preserve">["ID"] = 1879482857; </v>
      </c>
      <c r="K47" t="str">
        <f t="shared" si="5"/>
        <v/>
      </c>
      <c r="L47" t="str">
        <f t="shared" si="6"/>
        <v xml:space="preserve">["TIER"] = 0; </v>
      </c>
      <c r="M47" t="str">
        <f t="shared" si="7"/>
        <v>};</v>
      </c>
    </row>
    <row r="48" spans="1:13" x14ac:dyDescent="0.25">
      <c r="A48">
        <v>1879482949</v>
      </c>
      <c r="B48" t="s">
        <v>2114</v>
      </c>
      <c r="E48" t="s">
        <v>1718</v>
      </c>
      <c r="F48" t="str">
        <f t="shared" si="0"/>
        <v/>
      </c>
      <c r="G48" t="str">
        <f t="shared" si="1"/>
        <v>[47] = {["ID"] = 1879482949; }; -- The Depths of Mâkhda Khorbo -- Leading the Charge</v>
      </c>
      <c r="H48">
        <f t="shared" si="2"/>
        <v>47</v>
      </c>
      <c r="I48" t="str">
        <f t="shared" si="3"/>
        <v>[47] = {</v>
      </c>
      <c r="J48" t="str">
        <f t="shared" si="4"/>
        <v xml:space="preserve">["ID"] = 1879482949; </v>
      </c>
      <c r="K48" t="str">
        <f t="shared" si="5"/>
        <v/>
      </c>
      <c r="L48" t="str">
        <f t="shared" si="6"/>
        <v xml:space="preserve">["TIER"] = 0; </v>
      </c>
      <c r="M48" t="str">
        <f t="shared" si="7"/>
        <v>};</v>
      </c>
    </row>
    <row r="49" spans="1:13" x14ac:dyDescent="0.25">
      <c r="A49">
        <v>1879482950</v>
      </c>
      <c r="B49" t="s">
        <v>2120</v>
      </c>
      <c r="E49" t="s">
        <v>1718</v>
      </c>
      <c r="F49" t="str">
        <f t="shared" si="0"/>
        <v/>
      </c>
      <c r="G49" t="str">
        <f t="shared" si="1"/>
        <v>[48] = {["ID"] = 1879482950; }; -- The Depths of Mâkhda Khorbo -- The Vanguard</v>
      </c>
      <c r="H49">
        <f t="shared" si="2"/>
        <v>48</v>
      </c>
      <c r="I49" t="str">
        <f t="shared" si="3"/>
        <v>[48] = {</v>
      </c>
      <c r="J49" t="str">
        <f t="shared" si="4"/>
        <v xml:space="preserve">["ID"] = 1879482950; </v>
      </c>
      <c r="K49" t="str">
        <f t="shared" si="5"/>
        <v/>
      </c>
      <c r="L49" t="str">
        <f t="shared" si="6"/>
        <v xml:space="preserve">["TIER"] = 0; </v>
      </c>
      <c r="M49" t="str">
        <f t="shared" si="7"/>
        <v>};</v>
      </c>
    </row>
    <row r="50" spans="1:13" x14ac:dyDescent="0.25">
      <c r="A50">
        <v>1879482951</v>
      </c>
      <c r="B50" t="s">
        <v>2121</v>
      </c>
      <c r="E50" t="s">
        <v>1718</v>
      </c>
      <c r="F50" t="str">
        <f t="shared" si="0"/>
        <v/>
      </c>
      <c r="G50" t="str">
        <f t="shared" si="1"/>
        <v>[49] = {["ID"] = 1879482951; }; -- The Depths of Mâkhda Khorbo -- Original Challenger</v>
      </c>
      <c r="H50">
        <f t="shared" si="2"/>
        <v>49</v>
      </c>
      <c r="I50" t="str">
        <f t="shared" si="3"/>
        <v>[49] = {</v>
      </c>
      <c r="J50" t="str">
        <f t="shared" si="4"/>
        <v xml:space="preserve">["ID"] = 1879482951; </v>
      </c>
      <c r="K50" t="str">
        <f t="shared" si="5"/>
        <v/>
      </c>
      <c r="L50" t="str">
        <f t="shared" si="6"/>
        <v xml:space="preserve">["TIER"] = 0; </v>
      </c>
      <c r="M50" t="str">
        <f t="shared" si="7"/>
        <v>};</v>
      </c>
    </row>
    <row r="51" spans="1:13" x14ac:dyDescent="0.25">
      <c r="A51">
        <v>1879491108</v>
      </c>
      <c r="B51" t="s">
        <v>2130</v>
      </c>
      <c r="E51" t="s">
        <v>1718</v>
      </c>
      <c r="F51" t="str">
        <f t="shared" si="0"/>
        <v/>
      </c>
      <c r="G51" t="str">
        <f t="shared" si="1"/>
        <v>[50] = {["ID"] = 1879491108; }; -- The Dragon and the Storm -- Tier 5 -- Leading the Charge</v>
      </c>
      <c r="H51">
        <f t="shared" si="2"/>
        <v>50</v>
      </c>
      <c r="I51" t="str">
        <f t="shared" si="3"/>
        <v>[50] = {</v>
      </c>
      <c r="J51" t="str">
        <f t="shared" si="4"/>
        <v xml:space="preserve">["ID"] = 1879491108; </v>
      </c>
      <c r="K51" t="str">
        <f t="shared" si="5"/>
        <v/>
      </c>
      <c r="L51" t="str">
        <f t="shared" si="6"/>
        <v xml:space="preserve">["TIER"] = 0; </v>
      </c>
      <c r="M51" t="str">
        <f t="shared" si="7"/>
        <v>};</v>
      </c>
    </row>
    <row r="52" spans="1:13" x14ac:dyDescent="0.25">
      <c r="F52" t="str">
        <f t="shared" si="0"/>
        <v/>
      </c>
      <c r="G52" t="str">
        <f t="shared" si="1"/>
        <v xml:space="preserve">[51] = {}; -- </v>
      </c>
      <c r="H52">
        <f t="shared" si="2"/>
        <v>51</v>
      </c>
      <c r="I52" t="str">
        <f t="shared" si="3"/>
        <v>[51] = {</v>
      </c>
      <c r="J52" t="str">
        <f t="shared" si="4"/>
        <v/>
      </c>
      <c r="K52" t="str">
        <f t="shared" si="5"/>
        <v/>
      </c>
      <c r="L52" t="str">
        <f t="shared" si="6"/>
        <v xml:space="preserve">["TIER"] = 0; </v>
      </c>
      <c r="M52" t="str">
        <f t="shared" si="7"/>
        <v>};</v>
      </c>
    </row>
    <row r="53" spans="1:13" x14ac:dyDescent="0.25">
      <c r="F53" t="str">
        <f t="shared" si="0"/>
        <v/>
      </c>
      <c r="G53" t="str">
        <f t="shared" si="1"/>
        <v xml:space="preserve">[52] = {}; -- </v>
      </c>
      <c r="H53">
        <f t="shared" si="2"/>
        <v>52</v>
      </c>
      <c r="I53" t="str">
        <f t="shared" si="3"/>
        <v>[52] = {</v>
      </c>
      <c r="J53" t="str">
        <f t="shared" si="4"/>
        <v/>
      </c>
      <c r="K53" t="str">
        <f t="shared" si="5"/>
        <v/>
      </c>
      <c r="L53" t="str">
        <f t="shared" si="6"/>
        <v xml:space="preserve">["TIER"] = 0; </v>
      </c>
      <c r="M53"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2021-03-09T00:19:41Z</cp:lastPrinted>
  <dcterms:created xsi:type="dcterms:W3CDTF">2020-12-14T02:27:01Z</dcterms:created>
  <dcterms:modified xsi:type="dcterms:W3CDTF">2024-08-28T22:41:29Z</dcterms:modified>
</cp:coreProperties>
</file>