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_SourceFiles\"/>
    </mc:Choice>
  </mc:AlternateContent>
  <xr:revisionPtr revIDLastSave="0" documentId="13_ncr:1_{689AA7FF-03F4-4D57-96A6-0FA5B8F044A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9" i="2" l="1"/>
  <c r="U19" i="2"/>
  <c r="V19" i="2"/>
  <c r="W19" i="2"/>
  <c r="X19" i="2"/>
  <c r="Y19" i="2"/>
  <c r="Z19" i="2"/>
  <c r="AA19" i="2"/>
  <c r="AB19" i="2"/>
  <c r="AC19" i="2"/>
  <c r="AD19" i="2"/>
  <c r="AE19" i="2" s="1"/>
  <c r="AF19" i="2"/>
  <c r="AG19" i="2" s="1"/>
  <c r="AH19" i="2"/>
  <c r="AI19" i="2" s="1"/>
  <c r="AJ19" i="2"/>
  <c r="AK19" i="2"/>
  <c r="AL19" i="2"/>
  <c r="AM19" i="2"/>
  <c r="AN19" i="2"/>
  <c r="AO19" i="2"/>
  <c r="AP19" i="2"/>
  <c r="AQ19" i="2"/>
  <c r="AR19" i="2"/>
  <c r="AS19" i="2"/>
  <c r="T20" i="2"/>
  <c r="U20" i="2"/>
  <c r="V20" i="2"/>
  <c r="W20" i="2"/>
  <c r="X20" i="2"/>
  <c r="Y20" i="2"/>
  <c r="Z20" i="2"/>
  <c r="AA20" i="2"/>
  <c r="AB20" i="2"/>
  <c r="AC20" i="2"/>
  <c r="AD20" i="2"/>
  <c r="AE20" i="2" s="1"/>
  <c r="AF20" i="2"/>
  <c r="AG20" i="2" s="1"/>
  <c r="AH20" i="2"/>
  <c r="AI20" i="2" s="1"/>
  <c r="AJ20" i="2"/>
  <c r="AK20" i="2" s="1"/>
  <c r="AL20" i="2"/>
  <c r="AM20" i="2"/>
  <c r="AN20" i="2"/>
  <c r="AO20" i="2"/>
  <c r="AP20" i="2"/>
  <c r="AQ20" i="2"/>
  <c r="AR20" i="2"/>
  <c r="AS20" i="2"/>
  <c r="T21" i="2"/>
  <c r="U21" i="2"/>
  <c r="V21" i="2"/>
  <c r="W21" i="2"/>
  <c r="X21" i="2"/>
  <c r="Y21" i="2"/>
  <c r="Z21" i="2"/>
  <c r="AA21" i="2" s="1"/>
  <c r="AB21" i="2"/>
  <c r="AC21" i="2"/>
  <c r="AD21" i="2"/>
  <c r="AE21" i="2"/>
  <c r="AF21" i="2"/>
  <c r="AG21" i="2"/>
  <c r="AH21" i="2"/>
  <c r="AI21" i="2" s="1"/>
  <c r="AJ21" i="2"/>
  <c r="AK21" i="2"/>
  <c r="AL21" i="2"/>
  <c r="AM21" i="2"/>
  <c r="AN21" i="2"/>
  <c r="AO21" i="2"/>
  <c r="AP21" i="2"/>
  <c r="AQ21" i="2"/>
  <c r="AR21" i="2"/>
  <c r="AS21" i="2"/>
  <c r="T22" i="2"/>
  <c r="U22" i="2"/>
  <c r="V22" i="2"/>
  <c r="W22" i="2"/>
  <c r="X22" i="2"/>
  <c r="Y22" i="2"/>
  <c r="Z22" i="2"/>
  <c r="AA22" i="2" s="1"/>
  <c r="AB22" i="2"/>
  <c r="AC22" i="2"/>
  <c r="AD22" i="2"/>
  <c r="AE22" i="2" s="1"/>
  <c r="AF22" i="2"/>
  <c r="AG22" i="2" s="1"/>
  <c r="AH22" i="2"/>
  <c r="AI22" i="2" s="1"/>
  <c r="AJ22" i="2"/>
  <c r="AK22" i="2" s="1"/>
  <c r="AL22" i="2"/>
  <c r="AM22" i="2"/>
  <c r="AN22" i="2"/>
  <c r="AO22" i="2"/>
  <c r="AP22" i="2"/>
  <c r="AQ22" i="2"/>
  <c r="AR22" i="2"/>
  <c r="AS22" i="2"/>
  <c r="R3" i="3"/>
  <c r="R4" i="3"/>
  <c r="R5" i="3"/>
  <c r="R6" i="3"/>
  <c r="R7" i="3"/>
  <c r="R8" i="3"/>
  <c r="R9" i="3"/>
  <c r="R2" i="3"/>
  <c r="AL3" i="3"/>
  <c r="AL4" i="3"/>
  <c r="AL5" i="3"/>
  <c r="AL6" i="3"/>
  <c r="AL7" i="3"/>
  <c r="AL8" i="3"/>
  <c r="AL9" i="3"/>
  <c r="AL2" i="3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2" i="1"/>
  <c r="AL3" i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2" i="1"/>
  <c r="T3" i="2"/>
  <c r="U3" i="2" s="1"/>
  <c r="V3" i="2"/>
  <c r="W3" i="2"/>
  <c r="X3" i="2"/>
  <c r="Y3" i="2"/>
  <c r="Z3" i="2"/>
  <c r="AA3" i="2" s="1"/>
  <c r="AB3" i="2"/>
  <c r="AC3" i="2"/>
  <c r="AD3" i="2"/>
  <c r="AE3" i="2" s="1"/>
  <c r="AF3" i="2"/>
  <c r="AG3" i="2" s="1"/>
  <c r="AH3" i="2"/>
  <c r="AI3" i="2" s="1"/>
  <c r="AJ3" i="2"/>
  <c r="AK3" i="2" s="1"/>
  <c r="AL3" i="2"/>
  <c r="AM3" i="2"/>
  <c r="AN3" i="2"/>
  <c r="AO3" i="2"/>
  <c r="AP3" i="2"/>
  <c r="AQ3" i="2"/>
  <c r="AR3" i="2"/>
  <c r="AS3" i="2"/>
  <c r="T4" i="2"/>
  <c r="U4" i="2" s="1"/>
  <c r="V4" i="2"/>
  <c r="W4" i="2"/>
  <c r="X4" i="2"/>
  <c r="Y4" i="2"/>
  <c r="Z4" i="2"/>
  <c r="AA4" i="2" s="1"/>
  <c r="AB4" i="2"/>
  <c r="AC4" i="2"/>
  <c r="AD4" i="2"/>
  <c r="AE4" i="2" s="1"/>
  <c r="AF4" i="2"/>
  <c r="AG4" i="2" s="1"/>
  <c r="AH4" i="2"/>
  <c r="AI4" i="2" s="1"/>
  <c r="AJ4" i="2"/>
  <c r="AK4" i="2" s="1"/>
  <c r="AL4" i="2"/>
  <c r="AM4" i="2"/>
  <c r="AN4" i="2"/>
  <c r="AO4" i="2"/>
  <c r="AP4" i="2"/>
  <c r="AQ4" i="2"/>
  <c r="AR4" i="2"/>
  <c r="AS4" i="2"/>
  <c r="T5" i="2"/>
  <c r="U5" i="2" s="1"/>
  <c r="R5" i="2" s="1"/>
  <c r="V5" i="2"/>
  <c r="W5" i="2"/>
  <c r="X5" i="2"/>
  <c r="Y5" i="2"/>
  <c r="Z5" i="2"/>
  <c r="AA5" i="2" s="1"/>
  <c r="AB5" i="2"/>
  <c r="AC5" i="2"/>
  <c r="AD5" i="2"/>
  <c r="AE5" i="2" s="1"/>
  <c r="AF5" i="2"/>
  <c r="AG5" i="2" s="1"/>
  <c r="AH5" i="2"/>
  <c r="AI5" i="2" s="1"/>
  <c r="AJ5" i="2"/>
  <c r="AK5" i="2" s="1"/>
  <c r="AL5" i="2"/>
  <c r="AM5" i="2"/>
  <c r="AN5" i="2"/>
  <c r="AO5" i="2"/>
  <c r="AP5" i="2"/>
  <c r="AQ5" i="2"/>
  <c r="AR5" i="2"/>
  <c r="AS5" i="2"/>
  <c r="T6" i="2"/>
  <c r="U6" i="2" s="1"/>
  <c r="V6" i="2"/>
  <c r="W6" i="2"/>
  <c r="X6" i="2"/>
  <c r="Y6" i="2"/>
  <c r="Z6" i="2"/>
  <c r="AA6" i="2" s="1"/>
  <c r="AB6" i="2"/>
  <c r="AC6" i="2"/>
  <c r="AD6" i="2"/>
  <c r="AE6" i="2" s="1"/>
  <c r="AF6" i="2"/>
  <c r="AG6" i="2" s="1"/>
  <c r="AH6" i="2"/>
  <c r="AI6" i="2" s="1"/>
  <c r="AJ6" i="2"/>
  <c r="AK6" i="2" s="1"/>
  <c r="AL6" i="2"/>
  <c r="AM6" i="2"/>
  <c r="AN6" i="2"/>
  <c r="AO6" i="2"/>
  <c r="AP6" i="2"/>
  <c r="AQ6" i="2"/>
  <c r="AR6" i="2"/>
  <c r="AS6" i="2"/>
  <c r="T7" i="2"/>
  <c r="U7" i="2" s="1"/>
  <c r="V7" i="2"/>
  <c r="W7" i="2"/>
  <c r="X7" i="2"/>
  <c r="Y7" i="2"/>
  <c r="Z7" i="2"/>
  <c r="AA7" i="2" s="1"/>
  <c r="AB7" i="2"/>
  <c r="AC7" i="2" s="1"/>
  <c r="AD7" i="2"/>
  <c r="AE7" i="2" s="1"/>
  <c r="AF7" i="2"/>
  <c r="AG7" i="2" s="1"/>
  <c r="AH7" i="2"/>
  <c r="AI7" i="2" s="1"/>
  <c r="AJ7" i="2"/>
  <c r="AK7" i="2" s="1"/>
  <c r="AL7" i="2"/>
  <c r="AM7" i="2"/>
  <c r="AN7" i="2"/>
  <c r="AO7" i="2"/>
  <c r="AP7" i="2"/>
  <c r="AQ7" i="2"/>
  <c r="AR7" i="2"/>
  <c r="AS7" i="2"/>
  <c r="T8" i="2"/>
  <c r="U8" i="2" s="1"/>
  <c r="R8" i="2" s="1"/>
  <c r="V8" i="2"/>
  <c r="W8" i="2"/>
  <c r="X8" i="2"/>
  <c r="Y8" i="2"/>
  <c r="Z8" i="2"/>
  <c r="AA8" i="2" s="1"/>
  <c r="AB8" i="2"/>
  <c r="AC8" i="2" s="1"/>
  <c r="AD8" i="2"/>
  <c r="AE8" i="2" s="1"/>
  <c r="AF8" i="2"/>
  <c r="AG8" i="2" s="1"/>
  <c r="AH8" i="2"/>
  <c r="AI8" i="2" s="1"/>
  <c r="AJ8" i="2"/>
  <c r="AK8" i="2" s="1"/>
  <c r="AL8" i="2"/>
  <c r="AM8" i="2"/>
  <c r="AN8" i="2"/>
  <c r="AO8" i="2"/>
  <c r="AP8" i="2"/>
  <c r="AQ8" i="2"/>
  <c r="AR8" i="2"/>
  <c r="AS8" i="2"/>
  <c r="T9" i="2"/>
  <c r="U9" i="2"/>
  <c r="V9" i="2"/>
  <c r="W9" i="2"/>
  <c r="X9" i="2"/>
  <c r="Y9" i="2"/>
  <c r="Z9" i="2"/>
  <c r="AA9" i="2" s="1"/>
  <c r="AB9" i="2"/>
  <c r="AC9" i="2" s="1"/>
  <c r="AD9" i="2"/>
  <c r="AE9" i="2" s="1"/>
  <c r="AF9" i="2"/>
  <c r="AG9" i="2" s="1"/>
  <c r="AH9" i="2"/>
  <c r="AI9" i="2" s="1"/>
  <c r="AJ9" i="2"/>
  <c r="AK9" i="2" s="1"/>
  <c r="AL9" i="2"/>
  <c r="AM9" i="2"/>
  <c r="AN9" i="2"/>
  <c r="AO9" i="2"/>
  <c r="AP9" i="2"/>
  <c r="AQ9" i="2"/>
  <c r="AR9" i="2"/>
  <c r="AS9" i="2"/>
  <c r="T10" i="2"/>
  <c r="U10" i="2" s="1"/>
  <c r="V10" i="2"/>
  <c r="W10" i="2"/>
  <c r="X10" i="2"/>
  <c r="Y10" i="2"/>
  <c r="Z10" i="2"/>
  <c r="AA10" i="2" s="1"/>
  <c r="AB10" i="2"/>
  <c r="AC10" i="2" s="1"/>
  <c r="AD10" i="2"/>
  <c r="AE10" i="2" s="1"/>
  <c r="AF10" i="2"/>
  <c r="AG10" i="2" s="1"/>
  <c r="AH10" i="2"/>
  <c r="AI10" i="2" s="1"/>
  <c r="AJ10" i="2"/>
  <c r="AK10" i="2" s="1"/>
  <c r="AL10" i="2"/>
  <c r="AM10" i="2"/>
  <c r="AN10" i="2"/>
  <c r="AO10" i="2"/>
  <c r="AP10" i="2"/>
  <c r="AQ10" i="2"/>
  <c r="AR10" i="2"/>
  <c r="AS10" i="2"/>
  <c r="T11" i="2"/>
  <c r="U11" i="2" s="1"/>
  <c r="V11" i="2"/>
  <c r="W11" i="2"/>
  <c r="X11" i="2"/>
  <c r="Y11" i="2"/>
  <c r="Z11" i="2"/>
  <c r="AA11" i="2" s="1"/>
  <c r="AB11" i="2"/>
  <c r="AC11" i="2"/>
  <c r="AD11" i="2"/>
  <c r="AE11" i="2" s="1"/>
  <c r="AF11" i="2"/>
  <c r="AG11" i="2" s="1"/>
  <c r="AH11" i="2"/>
  <c r="AI11" i="2" s="1"/>
  <c r="AJ11" i="2"/>
  <c r="AK11" i="2" s="1"/>
  <c r="AL11" i="2"/>
  <c r="AM11" i="2"/>
  <c r="AN11" i="2"/>
  <c r="AO11" i="2"/>
  <c r="AP11" i="2"/>
  <c r="AQ11" i="2"/>
  <c r="AR11" i="2"/>
  <c r="AS11" i="2"/>
  <c r="T12" i="2"/>
  <c r="U12" i="2" s="1"/>
  <c r="R12" i="2" s="1"/>
  <c r="V12" i="2"/>
  <c r="W12" i="2"/>
  <c r="X12" i="2"/>
  <c r="Y12" i="2"/>
  <c r="Z12" i="2"/>
  <c r="AA12" i="2" s="1"/>
  <c r="AB12" i="2"/>
  <c r="AC12" i="2"/>
  <c r="AD12" i="2"/>
  <c r="AE12" i="2" s="1"/>
  <c r="AF12" i="2"/>
  <c r="AG12" i="2" s="1"/>
  <c r="AH12" i="2"/>
  <c r="AI12" i="2" s="1"/>
  <c r="AJ12" i="2"/>
  <c r="AK12" i="2" s="1"/>
  <c r="AL12" i="2"/>
  <c r="AM12" i="2"/>
  <c r="AN12" i="2"/>
  <c r="AO12" i="2"/>
  <c r="AP12" i="2"/>
  <c r="AQ12" i="2"/>
  <c r="AR12" i="2"/>
  <c r="AS12" i="2"/>
  <c r="T13" i="2"/>
  <c r="U13" i="2" s="1"/>
  <c r="V13" i="2"/>
  <c r="W13" i="2"/>
  <c r="X13" i="2"/>
  <c r="Y13" i="2"/>
  <c r="Z13" i="2"/>
  <c r="AA13" i="2" s="1"/>
  <c r="AB13" i="2"/>
  <c r="AC13" i="2"/>
  <c r="AD13" i="2"/>
  <c r="AE13" i="2" s="1"/>
  <c r="AF13" i="2"/>
  <c r="AG13" i="2" s="1"/>
  <c r="AH13" i="2"/>
  <c r="AI13" i="2" s="1"/>
  <c r="AJ13" i="2"/>
  <c r="AK13" i="2" s="1"/>
  <c r="AL13" i="2"/>
  <c r="AM13" i="2"/>
  <c r="AN13" i="2"/>
  <c r="AO13" i="2"/>
  <c r="AP13" i="2"/>
  <c r="AQ13" i="2"/>
  <c r="AR13" i="2"/>
  <c r="AS13" i="2"/>
  <c r="T14" i="2"/>
  <c r="U14" i="2"/>
  <c r="V14" i="2"/>
  <c r="W14" i="2"/>
  <c r="X14" i="2"/>
  <c r="Y14" i="2"/>
  <c r="Z14" i="2"/>
  <c r="AA14" i="2" s="1"/>
  <c r="AB14" i="2"/>
  <c r="AC14" i="2"/>
  <c r="AD14" i="2"/>
  <c r="AE14" i="2" s="1"/>
  <c r="AF14" i="2"/>
  <c r="AG14" i="2" s="1"/>
  <c r="AH14" i="2"/>
  <c r="AI14" i="2" s="1"/>
  <c r="AJ14" i="2"/>
  <c r="AK14" i="2" s="1"/>
  <c r="AL14" i="2"/>
  <c r="AM14" i="2"/>
  <c r="AN14" i="2"/>
  <c r="AO14" i="2"/>
  <c r="AP14" i="2"/>
  <c r="AQ14" i="2"/>
  <c r="AR14" i="2"/>
  <c r="AS14" i="2"/>
  <c r="T15" i="2"/>
  <c r="U15" i="2" s="1"/>
  <c r="V15" i="2"/>
  <c r="W15" i="2"/>
  <c r="X15" i="2"/>
  <c r="Y15" i="2"/>
  <c r="Z15" i="2"/>
  <c r="AA15" i="2" s="1"/>
  <c r="AB15" i="2"/>
  <c r="AC15" i="2"/>
  <c r="AD15" i="2"/>
  <c r="AE15" i="2" s="1"/>
  <c r="AF15" i="2"/>
  <c r="AG15" i="2" s="1"/>
  <c r="AH15" i="2"/>
  <c r="AI15" i="2" s="1"/>
  <c r="AJ15" i="2"/>
  <c r="AK15" i="2" s="1"/>
  <c r="AL15" i="2"/>
  <c r="AM15" i="2"/>
  <c r="AN15" i="2"/>
  <c r="AO15" i="2"/>
  <c r="AP15" i="2"/>
  <c r="AQ15" i="2"/>
  <c r="AR15" i="2"/>
  <c r="AS15" i="2"/>
  <c r="T16" i="2"/>
  <c r="U16" i="2"/>
  <c r="V16" i="2"/>
  <c r="W16" i="2"/>
  <c r="X16" i="2"/>
  <c r="Y16" i="2"/>
  <c r="Z16" i="2"/>
  <c r="AA16" i="2" s="1"/>
  <c r="AB16" i="2"/>
  <c r="AC16" i="2"/>
  <c r="AD16" i="2"/>
  <c r="AE16" i="2" s="1"/>
  <c r="AF16" i="2"/>
  <c r="AG16" i="2" s="1"/>
  <c r="AH16" i="2"/>
  <c r="AI16" i="2" s="1"/>
  <c r="AJ16" i="2"/>
  <c r="AK16" i="2" s="1"/>
  <c r="AL16" i="2"/>
  <c r="AM16" i="2"/>
  <c r="AN16" i="2"/>
  <c r="AO16" i="2"/>
  <c r="AP16" i="2"/>
  <c r="AQ16" i="2"/>
  <c r="AR16" i="2"/>
  <c r="AS16" i="2"/>
  <c r="T17" i="2"/>
  <c r="U17" i="2" s="1"/>
  <c r="V17" i="2"/>
  <c r="W17" i="2"/>
  <c r="X17" i="2"/>
  <c r="Y17" i="2"/>
  <c r="Z17" i="2"/>
  <c r="AA17" i="2" s="1"/>
  <c r="AB17" i="2"/>
  <c r="AC17" i="2"/>
  <c r="AD17" i="2"/>
  <c r="AE17" i="2" s="1"/>
  <c r="AF17" i="2"/>
  <c r="AG17" i="2" s="1"/>
  <c r="AH17" i="2"/>
  <c r="AI17" i="2" s="1"/>
  <c r="AJ17" i="2"/>
  <c r="AK17" i="2" s="1"/>
  <c r="AL17" i="2"/>
  <c r="AM17" i="2"/>
  <c r="AN17" i="2"/>
  <c r="AO17" i="2"/>
  <c r="AP17" i="2"/>
  <c r="AQ17" i="2"/>
  <c r="AR17" i="2"/>
  <c r="AS17" i="2"/>
  <c r="T18" i="2"/>
  <c r="U18" i="2"/>
  <c r="V18" i="2"/>
  <c r="W18" i="2"/>
  <c r="X18" i="2"/>
  <c r="Y18" i="2"/>
  <c r="Z18" i="2"/>
  <c r="AA18" i="2" s="1"/>
  <c r="AB18" i="2"/>
  <c r="AC18" i="2"/>
  <c r="AD18" i="2"/>
  <c r="AE18" i="2" s="1"/>
  <c r="AF18" i="2"/>
  <c r="AG18" i="2" s="1"/>
  <c r="AH18" i="2"/>
  <c r="AI18" i="2" s="1"/>
  <c r="AJ18" i="2"/>
  <c r="AK18" i="2" s="1"/>
  <c r="AL18" i="2"/>
  <c r="AM18" i="2"/>
  <c r="AN18" i="2"/>
  <c r="AO18" i="2"/>
  <c r="AP18" i="2"/>
  <c r="AQ18" i="2"/>
  <c r="AR18" i="2"/>
  <c r="AS18" i="2"/>
  <c r="T3" i="3"/>
  <c r="U3" i="3" s="1"/>
  <c r="V3" i="3"/>
  <c r="W3" i="3"/>
  <c r="X3" i="3"/>
  <c r="Y3" i="3"/>
  <c r="Z3" i="3"/>
  <c r="AA3" i="3" s="1"/>
  <c r="AB3" i="3"/>
  <c r="AC3" i="3"/>
  <c r="AD3" i="3"/>
  <c r="AE3" i="3"/>
  <c r="AF3" i="3"/>
  <c r="AG3" i="3" s="1"/>
  <c r="AH3" i="3"/>
  <c r="AI3" i="3" s="1"/>
  <c r="AJ3" i="3"/>
  <c r="AK3" i="3" s="1"/>
  <c r="AM3" i="3"/>
  <c r="AN3" i="3"/>
  <c r="AO3" i="3"/>
  <c r="AP3" i="3"/>
  <c r="AQ3" i="3"/>
  <c r="AR3" i="3"/>
  <c r="AS3" i="3"/>
  <c r="T4" i="3"/>
  <c r="U4" i="3" s="1"/>
  <c r="V4" i="3"/>
  <c r="W4" i="3"/>
  <c r="X4" i="3"/>
  <c r="Y4" i="3"/>
  <c r="Z4" i="3"/>
  <c r="AA4" i="3" s="1"/>
  <c r="AB4" i="3"/>
  <c r="AC4" i="3"/>
  <c r="AD4" i="3"/>
  <c r="AE4" i="3" s="1"/>
  <c r="AF4" i="3"/>
  <c r="AG4" i="3" s="1"/>
  <c r="AH4" i="3"/>
  <c r="AI4" i="3"/>
  <c r="AJ4" i="3"/>
  <c r="AK4" i="3" s="1"/>
  <c r="AM4" i="3"/>
  <c r="AN4" i="3"/>
  <c r="AO4" i="3"/>
  <c r="AP4" i="3"/>
  <c r="AQ4" i="3"/>
  <c r="AR4" i="3"/>
  <c r="AS4" i="3"/>
  <c r="T5" i="3"/>
  <c r="U5" i="3" s="1"/>
  <c r="V5" i="3"/>
  <c r="W5" i="3"/>
  <c r="X5" i="3"/>
  <c r="Y5" i="3"/>
  <c r="Z5" i="3"/>
  <c r="AA5" i="3" s="1"/>
  <c r="AB5" i="3"/>
  <c r="AC5" i="3"/>
  <c r="AD5" i="3"/>
  <c r="AE5" i="3" s="1"/>
  <c r="AF5" i="3"/>
  <c r="AG5" i="3"/>
  <c r="AH5" i="3"/>
  <c r="AI5" i="3" s="1"/>
  <c r="AJ5" i="3"/>
  <c r="AK5" i="3" s="1"/>
  <c r="AM5" i="3"/>
  <c r="AN5" i="3"/>
  <c r="AO5" i="3"/>
  <c r="AP5" i="3"/>
  <c r="AQ5" i="3"/>
  <c r="AR5" i="3"/>
  <c r="AS5" i="3"/>
  <c r="T6" i="3"/>
  <c r="U6" i="3"/>
  <c r="V6" i="3"/>
  <c r="W6" i="3"/>
  <c r="X6" i="3"/>
  <c r="Y6" i="3"/>
  <c r="Z6" i="3"/>
  <c r="AA6" i="3" s="1"/>
  <c r="AB6" i="3"/>
  <c r="AC6" i="3"/>
  <c r="AD6" i="3"/>
  <c r="AE6" i="3" s="1"/>
  <c r="AF6" i="3"/>
  <c r="AG6" i="3" s="1"/>
  <c r="AH6" i="3"/>
  <c r="AI6" i="3" s="1"/>
  <c r="AJ6" i="3"/>
  <c r="AK6" i="3" s="1"/>
  <c r="AM6" i="3"/>
  <c r="AN6" i="3"/>
  <c r="AO6" i="3"/>
  <c r="AP6" i="3"/>
  <c r="AQ6" i="3"/>
  <c r="AR6" i="3"/>
  <c r="AS6" i="3"/>
  <c r="T7" i="3"/>
  <c r="U7" i="3" s="1"/>
  <c r="V7" i="3"/>
  <c r="W7" i="3"/>
  <c r="X7" i="3"/>
  <c r="Y7" i="3"/>
  <c r="Z7" i="3"/>
  <c r="AA7" i="3" s="1"/>
  <c r="AB7" i="3"/>
  <c r="AC7" i="3"/>
  <c r="AD7" i="3"/>
  <c r="AE7" i="3"/>
  <c r="AF7" i="3"/>
  <c r="AG7" i="3" s="1"/>
  <c r="AH7" i="3"/>
  <c r="AI7" i="3" s="1"/>
  <c r="AJ7" i="3"/>
  <c r="AK7" i="3" s="1"/>
  <c r="AM7" i="3"/>
  <c r="AN7" i="3"/>
  <c r="AO7" i="3"/>
  <c r="AP7" i="3"/>
  <c r="AQ7" i="3"/>
  <c r="AR7" i="3"/>
  <c r="AS7" i="3"/>
  <c r="T8" i="3"/>
  <c r="U8" i="3" s="1"/>
  <c r="V8" i="3"/>
  <c r="W8" i="3"/>
  <c r="X8" i="3"/>
  <c r="Y8" i="3"/>
  <c r="Z8" i="3"/>
  <c r="AA8" i="3" s="1"/>
  <c r="AB8" i="3"/>
  <c r="AC8" i="3"/>
  <c r="AD8" i="3"/>
  <c r="AE8" i="3" s="1"/>
  <c r="AF8" i="3"/>
  <c r="AG8" i="3" s="1"/>
  <c r="AH8" i="3"/>
  <c r="AI8" i="3"/>
  <c r="AJ8" i="3"/>
  <c r="AK8" i="3" s="1"/>
  <c r="AM8" i="3"/>
  <c r="AN8" i="3"/>
  <c r="AO8" i="3"/>
  <c r="AP8" i="3"/>
  <c r="AQ8" i="3"/>
  <c r="AR8" i="3"/>
  <c r="AS8" i="3"/>
  <c r="T9" i="3"/>
  <c r="U9" i="3" s="1"/>
  <c r="V9" i="3"/>
  <c r="W9" i="3"/>
  <c r="X9" i="3"/>
  <c r="Y9" i="3"/>
  <c r="Z9" i="3"/>
  <c r="AA9" i="3" s="1"/>
  <c r="AB9" i="3"/>
  <c r="AC9" i="3"/>
  <c r="AD9" i="3"/>
  <c r="AE9" i="3" s="1"/>
  <c r="AF9" i="3"/>
  <c r="AG9" i="3"/>
  <c r="AH9" i="3"/>
  <c r="AI9" i="3" s="1"/>
  <c r="AJ9" i="3"/>
  <c r="AK9" i="3" s="1"/>
  <c r="AM9" i="3"/>
  <c r="AN9" i="3"/>
  <c r="AO9" i="3"/>
  <c r="AP9" i="3"/>
  <c r="AQ9" i="3"/>
  <c r="AR9" i="3"/>
  <c r="AS9" i="3"/>
  <c r="X2" i="2"/>
  <c r="X2" i="3"/>
  <c r="W2" i="3"/>
  <c r="W2" i="2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X2" i="1"/>
  <c r="W2" i="1"/>
  <c r="AJ2" i="3"/>
  <c r="AK2" i="3" s="1"/>
  <c r="AJ2" i="2"/>
  <c r="AK2" i="2" s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K4" i="1" s="1"/>
  <c r="AJ3" i="1"/>
  <c r="AK3" i="1" s="1"/>
  <c r="AJ2" i="1"/>
  <c r="AK2" i="1" s="1"/>
  <c r="AB2" i="3"/>
  <c r="Z2" i="3"/>
  <c r="AA2" i="3" s="1"/>
  <c r="AB2" i="2"/>
  <c r="Z2" i="2"/>
  <c r="AA2" i="2" s="1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Y2" i="3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2" i="3"/>
  <c r="AC2" i="3"/>
  <c r="AC2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2" i="3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AS2" i="3"/>
  <c r="AR2" i="3"/>
  <c r="AQ2" i="3"/>
  <c r="AP2" i="3"/>
  <c r="AO2" i="3"/>
  <c r="AN2" i="3"/>
  <c r="AH2" i="3"/>
  <c r="AI2" i="3" s="1"/>
  <c r="AF2" i="3"/>
  <c r="AG2" i="3" s="1"/>
  <c r="AD2" i="3"/>
  <c r="AE2" i="3" s="1"/>
  <c r="T2" i="3"/>
  <c r="U2" i="3" s="1"/>
  <c r="AS2" i="2"/>
  <c r="AR2" i="2"/>
  <c r="AQ2" i="2"/>
  <c r="AP2" i="2"/>
  <c r="AO2" i="2"/>
  <c r="AN2" i="2"/>
  <c r="AL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R3" i="1"/>
  <c r="AS3" i="1"/>
  <c r="AD4" i="1"/>
  <c r="AE4" i="1" s="1"/>
  <c r="AF4" i="1"/>
  <c r="AG4" i="1" s="1"/>
  <c r="AH4" i="1"/>
  <c r="AI4" i="1" s="1"/>
  <c r="AR4" i="1"/>
  <c r="AS4" i="1"/>
  <c r="AD5" i="1"/>
  <c r="AE5" i="1" s="1"/>
  <c r="AF5" i="1"/>
  <c r="AG5" i="1" s="1"/>
  <c r="AH5" i="1"/>
  <c r="AI5" i="1" s="1"/>
  <c r="AR5" i="1"/>
  <c r="AS5" i="1"/>
  <c r="AD6" i="1"/>
  <c r="AE6" i="1" s="1"/>
  <c r="AF6" i="1"/>
  <c r="AG6" i="1" s="1"/>
  <c r="AH6" i="1"/>
  <c r="AI6" i="1" s="1"/>
  <c r="AR6" i="1"/>
  <c r="AS6" i="1"/>
  <c r="AD7" i="1"/>
  <c r="AE7" i="1" s="1"/>
  <c r="AF7" i="1"/>
  <c r="AG7" i="1" s="1"/>
  <c r="AH7" i="1"/>
  <c r="AI7" i="1" s="1"/>
  <c r="AR7" i="1"/>
  <c r="AS7" i="1"/>
  <c r="AD8" i="1"/>
  <c r="AE8" i="1" s="1"/>
  <c r="AF8" i="1"/>
  <c r="AG8" i="1" s="1"/>
  <c r="AH8" i="1"/>
  <c r="AI8" i="1" s="1"/>
  <c r="AR8" i="1"/>
  <c r="AS8" i="1"/>
  <c r="AD9" i="1"/>
  <c r="AE9" i="1" s="1"/>
  <c r="AF9" i="1"/>
  <c r="AG9" i="1" s="1"/>
  <c r="AH9" i="1"/>
  <c r="AI9" i="1" s="1"/>
  <c r="AR9" i="1"/>
  <c r="AS9" i="1"/>
  <c r="AD10" i="1"/>
  <c r="AE10" i="1" s="1"/>
  <c r="AF10" i="1"/>
  <c r="AG10" i="1" s="1"/>
  <c r="AH10" i="1"/>
  <c r="AI10" i="1" s="1"/>
  <c r="AR10" i="1"/>
  <c r="AS10" i="1"/>
  <c r="AD11" i="1"/>
  <c r="AE11" i="1" s="1"/>
  <c r="AF11" i="1"/>
  <c r="AG11" i="1" s="1"/>
  <c r="AH11" i="1"/>
  <c r="AI11" i="1" s="1"/>
  <c r="AR11" i="1"/>
  <c r="AS11" i="1"/>
  <c r="AD12" i="1"/>
  <c r="AE12" i="1" s="1"/>
  <c r="AF12" i="1"/>
  <c r="AG12" i="1" s="1"/>
  <c r="AH12" i="1"/>
  <c r="AI12" i="1" s="1"/>
  <c r="AR12" i="1"/>
  <c r="AS12" i="1"/>
  <c r="AD13" i="1"/>
  <c r="AE13" i="1" s="1"/>
  <c r="AF13" i="1"/>
  <c r="AG13" i="1" s="1"/>
  <c r="AH13" i="1"/>
  <c r="AI13" i="1" s="1"/>
  <c r="AR13" i="1"/>
  <c r="AS13" i="1"/>
  <c r="AD14" i="1"/>
  <c r="AE14" i="1" s="1"/>
  <c r="AF14" i="1"/>
  <c r="AG14" i="1" s="1"/>
  <c r="AH14" i="1"/>
  <c r="AI14" i="1" s="1"/>
  <c r="AR14" i="1"/>
  <c r="AS14" i="1"/>
  <c r="AD15" i="1"/>
  <c r="AE15" i="1" s="1"/>
  <c r="AF15" i="1"/>
  <c r="AG15" i="1" s="1"/>
  <c r="AH15" i="1"/>
  <c r="AI15" i="1" s="1"/>
  <c r="AR15" i="1"/>
  <c r="AS15" i="1"/>
  <c r="AD16" i="1"/>
  <c r="AE16" i="1" s="1"/>
  <c r="AF16" i="1"/>
  <c r="AG16" i="1" s="1"/>
  <c r="AH16" i="1"/>
  <c r="AI16" i="1" s="1"/>
  <c r="AR16" i="1"/>
  <c r="AS16" i="1"/>
  <c r="AD17" i="1"/>
  <c r="AE17" i="1" s="1"/>
  <c r="AF17" i="1"/>
  <c r="AG17" i="1" s="1"/>
  <c r="AH17" i="1"/>
  <c r="AI17" i="1" s="1"/>
  <c r="AR17" i="1"/>
  <c r="AS17" i="1"/>
  <c r="AD18" i="1"/>
  <c r="AE18" i="1" s="1"/>
  <c r="AF18" i="1"/>
  <c r="AG18" i="1" s="1"/>
  <c r="AH18" i="1"/>
  <c r="AI18" i="1" s="1"/>
  <c r="AR18" i="1"/>
  <c r="AS18" i="1"/>
  <c r="AD19" i="1"/>
  <c r="AE19" i="1" s="1"/>
  <c r="AF19" i="1"/>
  <c r="AG19" i="1" s="1"/>
  <c r="AH19" i="1"/>
  <c r="AI19" i="1" s="1"/>
  <c r="AR19" i="1"/>
  <c r="AS19" i="1"/>
  <c r="AD20" i="1"/>
  <c r="AF20" i="1"/>
  <c r="AH20" i="1"/>
  <c r="AI20" i="1" s="1"/>
  <c r="AR20" i="1"/>
  <c r="AS20" i="1"/>
  <c r="AD21" i="1"/>
  <c r="AE21" i="1" s="1"/>
  <c r="AF21" i="1"/>
  <c r="AG21" i="1" s="1"/>
  <c r="AH21" i="1"/>
  <c r="AI21" i="1" s="1"/>
  <c r="AR21" i="1"/>
  <c r="AS21" i="1"/>
  <c r="AD22" i="1"/>
  <c r="AE22" i="1" s="1"/>
  <c r="AF22" i="1"/>
  <c r="AG22" i="1" s="1"/>
  <c r="AH22" i="1"/>
  <c r="AI22" i="1" s="1"/>
  <c r="AR22" i="1"/>
  <c r="AS22" i="1"/>
  <c r="AD23" i="1"/>
  <c r="AF23" i="1"/>
  <c r="AG23" i="1" s="1"/>
  <c r="AH23" i="1"/>
  <c r="AI23" i="1" s="1"/>
  <c r="AR23" i="1"/>
  <c r="AS23" i="1"/>
  <c r="AD24" i="1"/>
  <c r="AE24" i="1" s="1"/>
  <c r="AF24" i="1"/>
  <c r="AG24" i="1" s="1"/>
  <c r="AH24" i="1"/>
  <c r="AI24" i="1" s="1"/>
  <c r="AR24" i="1"/>
  <c r="AS24" i="1"/>
  <c r="AD25" i="1"/>
  <c r="AE25" i="1" s="1"/>
  <c r="AF25" i="1"/>
  <c r="AG25" i="1" s="1"/>
  <c r="AH25" i="1"/>
  <c r="AI25" i="1" s="1"/>
  <c r="AR25" i="1"/>
  <c r="AS25" i="1"/>
  <c r="AD26" i="1"/>
  <c r="AE26" i="1" s="1"/>
  <c r="AF26" i="1"/>
  <c r="AH26" i="1"/>
  <c r="AI26" i="1" s="1"/>
  <c r="AR26" i="1"/>
  <c r="AS26" i="1"/>
  <c r="AD27" i="1"/>
  <c r="AE27" i="1" s="1"/>
  <c r="AF27" i="1"/>
  <c r="AG27" i="1" s="1"/>
  <c r="AH27" i="1"/>
  <c r="AI27" i="1" s="1"/>
  <c r="AR27" i="1"/>
  <c r="AS27" i="1"/>
  <c r="AD28" i="1"/>
  <c r="AE28" i="1" s="1"/>
  <c r="AF28" i="1"/>
  <c r="AH28" i="1"/>
  <c r="AI28" i="1" s="1"/>
  <c r="AR28" i="1"/>
  <c r="AS28" i="1"/>
  <c r="AD29" i="1"/>
  <c r="AE29" i="1" s="1"/>
  <c r="AF29" i="1"/>
  <c r="AG29" i="1" s="1"/>
  <c r="AH29" i="1"/>
  <c r="AI29" i="1" s="1"/>
  <c r="AR29" i="1"/>
  <c r="AS29" i="1"/>
  <c r="AD30" i="1"/>
  <c r="AE30" i="1" s="1"/>
  <c r="AF30" i="1"/>
  <c r="AG30" i="1" s="1"/>
  <c r="AH30" i="1"/>
  <c r="AI30" i="1" s="1"/>
  <c r="AR30" i="1"/>
  <c r="AS30" i="1"/>
  <c r="AD31" i="1"/>
  <c r="AF31" i="1"/>
  <c r="AG31" i="1" s="1"/>
  <c r="AH31" i="1"/>
  <c r="AI31" i="1" s="1"/>
  <c r="AR31" i="1"/>
  <c r="AS31" i="1"/>
  <c r="AD32" i="1"/>
  <c r="AE32" i="1" s="1"/>
  <c r="AF32" i="1"/>
  <c r="AG32" i="1" s="1"/>
  <c r="AH32" i="1"/>
  <c r="AI32" i="1" s="1"/>
  <c r="AR32" i="1"/>
  <c r="AS32" i="1"/>
  <c r="AD33" i="1"/>
  <c r="AF33" i="1"/>
  <c r="AG33" i="1" s="1"/>
  <c r="AH33" i="1"/>
  <c r="AR33" i="1"/>
  <c r="AS33" i="1"/>
  <c r="AD34" i="1"/>
  <c r="AE34" i="1" s="1"/>
  <c r="AF34" i="1"/>
  <c r="AG34" i="1" s="1"/>
  <c r="AH34" i="1"/>
  <c r="AI34" i="1" s="1"/>
  <c r="AR34" i="1"/>
  <c r="AS34" i="1"/>
  <c r="AD35" i="1"/>
  <c r="AE35" i="1" s="1"/>
  <c r="AF35" i="1"/>
  <c r="AG35" i="1" s="1"/>
  <c r="AH35" i="1"/>
  <c r="AI35" i="1" s="1"/>
  <c r="AR35" i="1"/>
  <c r="AS35" i="1"/>
  <c r="AD36" i="1"/>
  <c r="AF36" i="1"/>
  <c r="AG36" i="1" s="1"/>
  <c r="AH36" i="1"/>
  <c r="AR36" i="1"/>
  <c r="AS36" i="1"/>
  <c r="AD37" i="1"/>
  <c r="AE37" i="1" s="1"/>
  <c r="AF37" i="1"/>
  <c r="AG37" i="1" s="1"/>
  <c r="AH37" i="1"/>
  <c r="AI37" i="1" s="1"/>
  <c r="AR37" i="1"/>
  <c r="AS37" i="1"/>
  <c r="AD38" i="1"/>
  <c r="AE38" i="1" s="1"/>
  <c r="AF38" i="1"/>
  <c r="AG38" i="1" s="1"/>
  <c r="AH38" i="1"/>
  <c r="AI38" i="1" s="1"/>
  <c r="AR38" i="1"/>
  <c r="AS38" i="1"/>
  <c r="AD39" i="1"/>
  <c r="AE39" i="1" s="1"/>
  <c r="AF39" i="1"/>
  <c r="AG39" i="1" s="1"/>
  <c r="AH39" i="1"/>
  <c r="AI39" i="1" s="1"/>
  <c r="AR39" i="1"/>
  <c r="AS39" i="1"/>
  <c r="AD40" i="1"/>
  <c r="AE40" i="1" s="1"/>
  <c r="AF40" i="1"/>
  <c r="AG40" i="1" s="1"/>
  <c r="AH40" i="1"/>
  <c r="AI40" i="1" s="1"/>
  <c r="AR40" i="1"/>
  <c r="AS40" i="1"/>
  <c r="AD41" i="1"/>
  <c r="AE41" i="1" s="1"/>
  <c r="AF41" i="1"/>
  <c r="AG41" i="1" s="1"/>
  <c r="AH41" i="1"/>
  <c r="AI41" i="1" s="1"/>
  <c r="AR41" i="1"/>
  <c r="AS41" i="1"/>
  <c r="AD42" i="1"/>
  <c r="AE42" i="1" s="1"/>
  <c r="AF42" i="1"/>
  <c r="AG42" i="1" s="1"/>
  <c r="AH42" i="1"/>
  <c r="AI42" i="1" s="1"/>
  <c r="AR42" i="1"/>
  <c r="AS42" i="1"/>
  <c r="AD43" i="1"/>
  <c r="AE43" i="1" s="1"/>
  <c r="AF43" i="1"/>
  <c r="AG43" i="1" s="1"/>
  <c r="AH43" i="1"/>
  <c r="AI43" i="1" s="1"/>
  <c r="AR43" i="1"/>
  <c r="AS43" i="1"/>
  <c r="AD44" i="1"/>
  <c r="AE44" i="1" s="1"/>
  <c r="AF44" i="1"/>
  <c r="AG44" i="1" s="1"/>
  <c r="AH44" i="1"/>
  <c r="AI44" i="1" s="1"/>
  <c r="AR44" i="1"/>
  <c r="AS44" i="1"/>
  <c r="AD45" i="1"/>
  <c r="AE45" i="1" s="1"/>
  <c r="AF45" i="1"/>
  <c r="AG45" i="1" s="1"/>
  <c r="AH45" i="1"/>
  <c r="AI45" i="1" s="1"/>
  <c r="AR45" i="1"/>
  <c r="AS45" i="1"/>
  <c r="AD46" i="1"/>
  <c r="AE46" i="1" s="1"/>
  <c r="AF46" i="1"/>
  <c r="AG46" i="1" s="1"/>
  <c r="AH46" i="1"/>
  <c r="AI46" i="1" s="1"/>
  <c r="AR46" i="1"/>
  <c r="AS46" i="1"/>
  <c r="AS2" i="1"/>
  <c r="AR2" i="1"/>
  <c r="AO2" i="1"/>
  <c r="AN2" i="1"/>
  <c r="AH2" i="1"/>
  <c r="AI2" i="1" s="1"/>
  <c r="AF2" i="1"/>
  <c r="AG2" i="1" s="1"/>
  <c r="AD2" i="1"/>
  <c r="AE2" i="1" s="1"/>
  <c r="T2" i="1"/>
  <c r="U2" i="1" s="1"/>
  <c r="R19" i="2" l="1"/>
  <c r="S19" i="2"/>
  <c r="R20" i="2"/>
  <c r="S20" i="2"/>
  <c r="R21" i="2"/>
  <c r="S21" i="2"/>
  <c r="R22" i="2"/>
  <c r="S22" i="2"/>
  <c r="R16" i="2"/>
  <c r="R9" i="2"/>
  <c r="S14" i="2"/>
  <c r="S4" i="2"/>
  <c r="R13" i="2"/>
  <c r="S10" i="2"/>
  <c r="S6" i="2"/>
  <c r="S17" i="2"/>
  <c r="S15" i="2"/>
  <c r="R15" i="2"/>
  <c r="S11" i="2"/>
  <c r="R11" i="2"/>
  <c r="S7" i="2"/>
  <c r="R7" i="2"/>
  <c r="S18" i="2"/>
  <c r="S3" i="2"/>
  <c r="R3" i="2"/>
  <c r="S16" i="2"/>
  <c r="S12" i="2"/>
  <c r="R4" i="2"/>
  <c r="S9" i="2"/>
  <c r="S5" i="2"/>
  <c r="R17" i="2"/>
  <c r="R18" i="2"/>
  <c r="R14" i="2"/>
  <c r="R10" i="2"/>
  <c r="R6" i="2"/>
  <c r="S13" i="2"/>
  <c r="S8" i="2"/>
  <c r="R2" i="2"/>
  <c r="S8" i="3"/>
  <c r="S5" i="3"/>
  <c r="S7" i="3"/>
  <c r="S4" i="3"/>
  <c r="S9" i="3"/>
  <c r="S3" i="3"/>
  <c r="S6" i="3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<sst xmlns="http://schemas.openxmlformats.org/spreadsheetml/2006/main" count="423" uniqueCount="211">
  <si>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</si>
  <si>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</si>
  <si>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</si>
  <si>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</si>
  <si>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</si>
  <si>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</si>
  <si>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</si>
  <si>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</si>
  <si>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</si>
  <si>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</si>
  <si>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</si>
  <si>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</si>
  <si>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</si>
  <si>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</si>
  <si>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</si>
  <si>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</si>
  <si>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</si>
  <si>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</si>
  <si>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</si>
  <si>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</si>
  <si>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</si>
  <si>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</si>
  <si>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</si>
  <si>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</si>
  <si>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</si>
  <si>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</si>
  <si>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</si>
  <si>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</si>
  <si>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</si>
  <si>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</si>
  <si>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</si>
  <si>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</si>
  <si>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</si>
  <si>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</si>
  <si>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</si>
  <si>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</si>
  <si>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</si>
  <si>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</si>
  <si>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</si>
  <si>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</si>
  <si>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</si>
  <si>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</si>
  <si>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</si>
  <si>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</si>
  <si>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</si>
  <si>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</si>
  <si>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</si>
  <si>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</si>
  <si>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</si>
  <si>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</si>
  <si>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</si>
  <si>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</si>
  <si>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</si>
  <si>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</si>
  <si>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</si>
  <si>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</si>
  <si>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</si>
  <si>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</si>
  <si>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</si>
  <si>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</si>
  <si>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</si>
  <si>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</si>
  <si>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</si>
  <si>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</si>
  <si>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</si>
  <si>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</si>
  <si>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</si>
  <si>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</si>
  <si>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</si>
  <si>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</si>
  <si>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</si>
  <si>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</si>
  <si>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</si>
  <si>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</si>
  <si>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</si>
  <si>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</si>
  <si>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</si>
  <si>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</si>
  <si>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</si>
  <si>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</si>
  <si>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</si>
  <si>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</si>
  <si>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</si>
  <si>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</si>
  <si>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</si>
  <si>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</si>
  <si>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</si>
  <si>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</si>
  <si>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</si>
  <si>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</si>
  <si>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</si>
  <si>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</si>
  <si>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</si>
  <si>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</si>
  <si>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</si>
  <si>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</si>
  <si>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</si>
  <si>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</si>
  <si>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</si>
  <si>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</si>
  <si>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</si>
  <si>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</si>
  <si>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</si>
  <si>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</si>
  <si>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</si>
  <si>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</si>
  <si>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</si>
  <si>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</si>
  <si>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</si>
  <si>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</si>
  <si>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</si>
  <si>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</si>
  <si>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</si>
  <si>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</si>
  <si>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</si>
  <si>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</si>
  <si>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</si>
  <si>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</si>
  <si>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</si>
  <si>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</si>
  <si>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</si>
  <si>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</si>
  <si>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</si>
  <si>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</si>
  <si>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</si>
  <si>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</si>
  <si>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</si>
  <si>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</si>
  <si>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</si>
  <si>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</si>
  <si>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</si>
  <si>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</si>
  <si>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</si>
  <si>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</si>
  <si>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</si>
  <si>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</si>
  <si>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</si>
  <si>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</si>
  <si>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</si>
  <si>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</si>
  <si>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</si>
  <si>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</si>
  <si>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</si>
  <si>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</si>
  <si>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</si>
  <si>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</si>
  <si>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</si>
  <si>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</si>
  <si>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</si>
  <si>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</si>
  <si>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</si>
  <si>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</si>
  <si>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</si>
  <si>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</si>
  <si>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</si>
  <si>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</si>
  <si>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</si>
  <si>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</si>
  <si>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</si>
  <si>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</si>
  <si>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</si>
  <si>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</si>
  <si>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</si>
  <si>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</si>
  <si>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</si>
  <si>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</si>
  <si>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</si>
  <si>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</si>
  <si>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</si>
  <si>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</si>
  <si>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</si>
  <si>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</si>
  <si>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</si>
  <si>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</si>
  <si>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</si>
  <si>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</si>
  <si>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</si>
  <si>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</si>
  <si>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</si>
  <si>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</si>
  <si>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</si>
  <si>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</si>
  <si>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</si>
  <si>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</si>
  <si>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</si>
  <si>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</si>
  <si>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</si>
  <si>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</si>
  <si>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</si>
  <si>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</si>
  <si>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</si>
  <si>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</si>
  <si>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</si>
  <si>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</si>
  <si>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</si>
  <si>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</si>
  <si>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</si>
  <si>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Preserver of Order</t>
  </si>
  <si>
    <t>- Monster Player Reward Season 1 -</t>
  </si>
  <si>
    <t>Title: Exemplar</t>
  </si>
  <si>
    <t>Limited Time Only</t>
  </si>
  <si>
    <t>- Season of the Nemesis -</t>
  </si>
  <si>
    <t>Title: Benevolence Incarnate</t>
  </si>
  <si>
    <t>Title: The Respected Voice</t>
  </si>
  <si>
    <t>- Season of Scorn -</t>
  </si>
  <si>
    <t>- Season of Spirit -</t>
  </si>
  <si>
    <t>- Season of Malice -</t>
  </si>
  <si>
    <t>Title: The Spirit's Guide</t>
  </si>
  <si>
    <t>Title: Bearer of Truth</t>
  </si>
  <si>
    <t>Title: Bastion of Light</t>
  </si>
  <si>
    <t>- Monster Player Reward Season 6 -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</si>
</sst>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quotePrefix="1"/>
    <xf numFmtId="0" fontId="1" fillId="0" borderId="0" xfId="0" quotePrefix="1" applyFon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bkckx\Documents\The%20Lord%20of%20the%20Rings%20Online\Plugins\CubePlugins\DeedTracker\_SourceFiles\DeedInfo-2-Instances.xlsx" TargetMode="External"/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The Legacy of Morgoth"/>
      <sheetName val="Kingdoms of Harad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S2" activePane="bottomRight" state="frozen"/>
      <selection pane="topRight" activeCell="D1" sqref="D1"/>
      <selection pane="bottomLeft" activeCell="A2" sqref="A2"/>
      <selection pane="bottomRight" activeCell="AA2" sqref="AA2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29.85546875" customWidth="1"/>
    <col min="19" max="19" width="18" customWidth="1"/>
    <col min="25" max="25" width="14" customWidth="1"/>
    <col min="38" max="38" width="11.710937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CONCATENATE(U2,W2,X2,AL2,AS2,"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CONCATENATE(U3,W3,X3,AL3,AS3,"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IF(M3&gt;0,CONCATENATE("[""TIER""] = ",TEXT(M3,"0"),"; "),"")</f>
        <v/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["TIER"] = 1;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["TIER"] = 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["TIER"] = 3;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["TIER"] = 4;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["TIER"] = 5;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["TIER"] = 6;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/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/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["TIER"] = 1;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["TIER"] = 2;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["TIER"] = 3;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["TIER"] = 4;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/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/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["TIER"] = 1;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["TIER"] = 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["TIER"] = 3;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["TIER"] = 4;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/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/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["TIER"] = 1;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["TIER"] = 2;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["TIER"] = 3;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["TIER"] = 4;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/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/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["TIER"] = 1;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["TIER"] = 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["TIER"] = 3;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["TIER"] = 4;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/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/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["TIER"] = 1;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["TIER"] = 2;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["TIER"] = 3;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["TIER"] = 4;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/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/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["TIER"] = 1;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["TIER"] = 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["TIER"] = 3;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["TIER"] = 4;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/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2"/>
  <sheetViews>
    <sheetView tabSelected="1"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R2" sqref="R2:R20"/>
    </sheetView>
  </sheetViews>
  <sheetFormatPr defaultRowHeight="15" x14ac:dyDescent="0.25"/>
  <cols>
    <col min="1" max="1" width="11" bestFit="1" customWidth="1"/>
    <col min="2" max="2" width="0" hidden="1" customWidth="1"/>
    <col min="3" max="3" width="34.42578125" customWidth="1"/>
    <col min="5" max="10" width="0" hidden="1" customWidth="1"/>
    <col min="11" max="11" width="12.140625" hidden="1" customWidth="1"/>
    <col min="12" max="15" width="0" hidden="1" customWidth="1"/>
    <col min="17" max="17" width="12.140625" bestFit="1" customWidth="1"/>
    <col min="18" max="18" width="12.140625" customWidth="1"/>
    <col min="19" max="19" width="18" customWidth="1"/>
    <col min="25" max="25" width="14" hidden="1" customWidth="1"/>
    <col min="26" max="26" width="0" hidden="1" customWidth="1"/>
    <col min="27" max="27" width="12.140625" hidden="1" customWidth="1"/>
    <col min="28" max="44" width="0" hidden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22" si="1">CONCATENATE(U3,W3,X3,AS3," -- ",C3)</f>
        <v xml:space="preserve">  [2] = {["ID"] = 1879071836; }; -- Conquest of Dargazag</v>
      </c>
      <c r="S3" s="1" t="str">
        <f t="shared" ref="S3:S22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22" si="3">ROW()-1</f>
        <v>2</v>
      </c>
      <c r="U3" t="str">
        <f t="shared" ref="U3:U22" si="4">CONCATENATE(REPT(" ",3-LEN(T3)),"[",T3,"] = {")</f>
        <v xml:space="preserve">  [2] = {</v>
      </c>
      <c r="V3" t="str">
        <f t="shared" ref="V3:V22" si="5">IF(LEN(A3)&gt;0,CONCATENATE("[""ID""] = ",A3,"; "),"                     ")</f>
        <v xml:space="preserve">["ID"] = 1879071836; </v>
      </c>
      <c r="W3" t="str">
        <f t="shared" ref="W3:W22" si="6">IF(LEN(A3)&gt;0,CONCATENATE("[""ID""] = ",A3,"; "),"")</f>
        <v xml:space="preserve">["ID"] = 1879071836; </v>
      </c>
      <c r="X3" t="str">
        <f t="shared" ref="X3:X22" si="7">IF(LEN(P3)&gt;0,CONCATENATE("[""CAT_ID""] = ",P3,"; "),"")</f>
        <v/>
      </c>
      <c r="Y3" s="1" t="str">
        <f t="shared" ref="Y3:Y22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22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22" si="10">IF(NOT(ISBLANK(E3)),CONCATENATE("[""NA""] = ",AB3,"; "),"")</f>
        <v/>
      </c>
      <c r="AD3" t="str">
        <f t="shared" ref="AD3:AD22" si="11">TEXT(F3,0)</f>
        <v>0</v>
      </c>
      <c r="AE3" t="str">
        <f t="shared" ref="AE3:AE22" si="12">CONCATENATE("[""VXP""] = ",REPT(" ",1-LEN(AD3)),TEXT(AD3,"0"),"; ")</f>
        <v xml:space="preserve">["VXP"] = 0; </v>
      </c>
      <c r="AF3" t="str">
        <f t="shared" ref="AF3:AF22" si="13">TEXT(H3,0)</f>
        <v>0</v>
      </c>
      <c r="AG3" t="str">
        <f t="shared" ref="AG3:AG22" si="14">CONCATENATE("[""LP""] = ",REPT(" ",1-LEN(AF3)),TEXT(AF3,"0"),"; ")</f>
        <v xml:space="preserve">["LP"] = 0; </v>
      </c>
      <c r="AH3" t="str">
        <f t="shared" ref="AH3:AH22" si="15">TEXT(I3,0)</f>
        <v>0</v>
      </c>
      <c r="AI3" t="str">
        <f t="shared" ref="AI3:AI22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22" si="17">CONCATENATE("[""FACTION""] = ",TEXT(AJ3,"0"),"; ")</f>
        <v xml:space="preserve">["FACTION"] = 1; </v>
      </c>
      <c r="AL3" t="str">
        <f t="shared" ref="AL3:AL22" si="18">CONCATENATE("[""TIER""] = ",TEXT(M3,"0"),"; ")</f>
        <v xml:space="preserve">["TIER"] = 0; </v>
      </c>
      <c r="AM3" t="str">
        <f t="shared" ref="AM3:AM22" si="19">IF(LEN(N3)&gt;0,CONCATENATE("[""MIN_LVL""] = ",REPT(" ",2-LEN(N3)),"""",N3,"""; "),"")</f>
        <v xml:space="preserve">["MIN_LVL"] = "50"; </v>
      </c>
      <c r="AN3" t="str">
        <f t="shared" ref="AN3:AN22" si="20">IF(LEN(O3)&gt;0,CONCATENATE("[""MIN_LVL""] = ",REPT(" ",3-LEN(O3)),"""",O3,"""; "),"")</f>
        <v/>
      </c>
      <c r="AO3" t="str">
        <f t="shared" ref="AO3:AO22" si="21">CONCATENATE("[""NAME""] = { [""EN""] = """,C3,"""; }; ")</f>
        <v xml:space="preserve">["NAME"] = { ["EN"] = "Conquest of Dargazag"; }; </v>
      </c>
      <c r="AP3" t="str">
        <f t="shared" ref="AP3:AP22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22" si="23">CONCATENATE("[""SUMMARY""] = { [""EN""] = """,K3,"""; }; ")</f>
        <v xml:space="preserve">["SUMMARY"] = { ["EN"] = "Defeat 4 chieftains"; }; </v>
      </c>
      <c r="AR3" t="str">
        <f t="shared" ref="AR3:AR22" si="24">IF(LEN(G3)&gt;0,CONCATENATE("[""TITLE""] = { [""EN""] = """,G3,"""; }; "),"")</f>
        <v xml:space="preserve">["TITLE"] = { ["EN"] = "Conqueror of Dargazag"; }; </v>
      </c>
      <c r="AS3" t="str">
        <f t="shared" ref="AS3:AS22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4" t="s">
        <v>198</v>
      </c>
      <c r="D6" s="2" t="s">
        <v>29</v>
      </c>
      <c r="P6">
        <v>308</v>
      </c>
      <c r="R6" t="str">
        <f t="shared" si="1"/>
        <v xml:space="preserve">  [5] = {["CAT_ID"] = 308; }; -- - Monster Player Reward Season 1 -</v>
      </c>
      <c r="S6" s="1" t="str">
        <f t="shared" si="2"/>
        <v xml:space="preserve">  [5] = {                                         ["TYPE"] = 14; ["VXP"] = 0; ["LP"] = 0; ["REP"] = 0; ["FACTION"] = 1; ["TIER"] = 0; ["NAME"] = { ["EN"] = "- Monster Player Reward Season 1 -"; }; ["LORE"] = { ["EN"] = ""; }; ["SUMMARY"] = { ["EN"] = "";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                     </v>
      </c>
      <c r="W6" t="str">
        <f t="shared" si="6"/>
        <v/>
      </c>
      <c r="X6" t="str">
        <f t="shared" si="7"/>
        <v xml:space="preserve">["CAT_ID"] = 308; </v>
      </c>
      <c r="Y6" s="1" t="str">
        <f t="shared" si="8"/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/>
      </c>
      <c r="AN6" t="str">
        <f t="shared" si="20"/>
        <v/>
      </c>
      <c r="AO6" t="str">
        <f t="shared" si="21"/>
        <v xml:space="preserve">["NAME"] = { ["EN"] = "- Monster Player Reward Season 1 -"; }; </v>
      </c>
      <c r="AP6" t="str">
        <f t="shared" si="22"/>
        <v xml:space="preserve">["LORE"] = { ["EN"] = ""; }; </v>
      </c>
      <c r="AQ6" t="str">
        <f t="shared" si="23"/>
        <v xml:space="preserve">["SUMMARY"] = { ["EN"] = ""; }; </v>
      </c>
      <c r="AR6" t="str">
        <f t="shared" si="24"/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E7" t="s">
        <v>200</v>
      </c>
      <c r="N7" s="2"/>
      <c r="R7" t="str">
        <f t="shared" si="1"/>
        <v xml:space="preserve">  [6] = {["ID"] = 1879490385; }; -- Title: Protector of Life</v>
      </c>
      <c r="S7" s="1" t="str">
        <f t="shared" si="2"/>
        <v xml:space="preserve">  [6] = {["ID"] = 1879490385;                     ["TYPE"] =  7; ["NA"] = 3;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1879490385; </v>
      </c>
      <c r="W7" t="str">
        <f t="shared" si="6"/>
        <v xml:space="preserve">["ID"] = 1879490385; </v>
      </c>
      <c r="X7" t="str">
        <f t="shared" si="7"/>
        <v/>
      </c>
      <c r="Y7" s="1" t="str">
        <f t="shared" si="8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>
        <f>IF(NOT(ISBLANK(E7)),VLOOKUP(E7,[1]Type!D$2:E$6,2,FALSE),"")</f>
        <v>3</v>
      </c>
      <c r="AC7" t="str">
        <f t="shared" si="10"/>
        <v xml:space="preserve">["NA"] = 3; </v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/>
      </c>
      <c r="AN7" t="str">
        <f t="shared" si="20"/>
        <v/>
      </c>
      <c r="AO7" t="str">
        <f t="shared" si="21"/>
        <v xml:space="preserve">["NAME"] = { ["EN"] = "Title: Protector of Life"; }; </v>
      </c>
      <c r="AP7" t="str">
        <f t="shared" si="22"/>
        <v xml:space="preserve">["LORE"] = { ["EN"] = ""; }; </v>
      </c>
      <c r="AQ7" t="str">
        <f t="shared" si="23"/>
        <v xml:space="preserve">["SUMMARY"] = { ["EN"] = ""; }; </v>
      </c>
      <c r="AR7" t="str">
        <f t="shared" si="24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E8" t="s">
        <v>200</v>
      </c>
      <c r="N8" s="2"/>
      <c r="R8" t="str">
        <f t="shared" si="1"/>
        <v xml:space="preserve">  [7] = {["ID"] = 1879490388; }; -- Title: Steward of the Ettenmoors</v>
      </c>
      <c r="S8" s="1" t="str">
        <f t="shared" si="2"/>
        <v xml:space="preserve">  [7] = {["ID"] = 1879490388;                     ["TYPE"] =  7; ["NA"] = 3;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1879490388; </v>
      </c>
      <c r="W8" t="str">
        <f t="shared" si="6"/>
        <v xml:space="preserve">["ID"] = 1879490388; </v>
      </c>
      <c r="X8" t="str">
        <f t="shared" si="7"/>
        <v/>
      </c>
      <c r="Y8" s="1" t="str">
        <f t="shared" si="8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>
        <f>IF(NOT(ISBLANK(E8)),VLOOKUP(E8,[1]Type!D$2:E$6,2,FALSE),"")</f>
        <v>3</v>
      </c>
      <c r="AC8" t="str">
        <f t="shared" si="10"/>
        <v xml:space="preserve">["NA"] = 3; </v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/>
      </c>
      <c r="AN8" t="str">
        <f t="shared" si="20"/>
        <v/>
      </c>
      <c r="AO8" t="str">
        <f t="shared" si="21"/>
        <v xml:space="preserve">["NAME"] = { ["EN"] = "Title: Steward of the Ettenmoors"; }; </v>
      </c>
      <c r="AP8" t="str">
        <f t="shared" si="22"/>
        <v xml:space="preserve">["LORE"] = { ["EN"] = ""; }; </v>
      </c>
      <c r="AQ8" t="str">
        <f t="shared" si="23"/>
        <v xml:space="preserve">["SUMMARY"] = { ["EN"] = ""; }; </v>
      </c>
      <c r="AR8" t="str">
        <f t="shared" si="24"/>
        <v/>
      </c>
      <c r="AS8" t="str">
        <f t="shared" si="25"/>
        <v>};</v>
      </c>
    </row>
    <row r="9" spans="1:45" x14ac:dyDescent="0.25">
      <c r="A9">
        <v>1879490390</v>
      </c>
      <c r="C9" t="s">
        <v>197</v>
      </c>
      <c r="D9" t="s">
        <v>154</v>
      </c>
      <c r="E9" t="s">
        <v>200</v>
      </c>
      <c r="N9" s="2"/>
      <c r="R9" t="str">
        <f t="shared" si="1"/>
        <v xml:space="preserve">  [8] = {["ID"] = 1879490390; }; -- Title: Preserver of Order</v>
      </c>
      <c r="S9" s="1" t="str">
        <f t="shared" si="2"/>
        <v xml:space="preserve">  [8] = {["ID"] = 1879490390;                     ["TYPE"] =  7; ["NA"] = 3; ["VXP"] = 0; ["LP"] = 0; ["REP"] = 0; ["FACTION"] = 1; ["TIER"] = 0; ["NAME"] = { ["EN"] = "Title: Preserver of Order"; }; ["LORE"] = { ["EN"] = ""; }; ["SUMMARY"] = { ["EN"] = "";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1879490390; </v>
      </c>
      <c r="W9" t="str">
        <f t="shared" si="6"/>
        <v xml:space="preserve">["ID"] = 1879490390; </v>
      </c>
      <c r="X9" t="str">
        <f t="shared" si="7"/>
        <v/>
      </c>
      <c r="Y9" s="1" t="str">
        <f t="shared" si="8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>
        <f>IF(NOT(ISBLANK(E9)),VLOOKUP(E9,[1]Type!D$2:E$6,2,FALSE),"")</f>
        <v>3</v>
      </c>
      <c r="AC9" t="str">
        <f t="shared" si="10"/>
        <v xml:space="preserve">["NA"] = 3; </v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"Title: Preserver of Order";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A10">
        <v>1879490393</v>
      </c>
      <c r="C10" t="s">
        <v>199</v>
      </c>
      <c r="D10" t="s">
        <v>154</v>
      </c>
      <c r="E10" t="s">
        <v>200</v>
      </c>
      <c r="N10" s="2"/>
      <c r="R10" t="str">
        <f t="shared" si="1"/>
        <v xml:space="preserve">  [9] = {["ID"] = 1879490393; }; -- Title: Exemplar</v>
      </c>
      <c r="S10" s="1" t="str">
        <f t="shared" si="2"/>
        <v xml:space="preserve">  [9] = {["ID"] = 1879490393;                     ["TYPE"] =  7; ["NA"] = 3; ["VXP"] = 0; ["LP"] = 0; ["REP"] = 0; ["FACTION"] = 1; ["TIER"] = 0; ["NAME"] = { ["EN"] = "Title: Exemplar"; }; ["LORE"] = { ["EN"] = ""; }; ["SUMMARY"] = { ["EN"] = "";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["ID"] = 1879490393; </v>
      </c>
      <c r="W10" t="str">
        <f t="shared" si="6"/>
        <v xml:space="preserve">["ID"] = 1879490393; </v>
      </c>
      <c r="X10" t="str">
        <f t="shared" si="7"/>
        <v/>
      </c>
      <c r="Y10" s="1" t="str">
        <f t="shared" si="8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>
        <f>IF(NOT(ISBLANK(E10)),VLOOKUP(E10,[1]Type!D$2:E$6,2,FALSE),"")</f>
        <v>3</v>
      </c>
      <c r="AC10" t="str">
        <f t="shared" si="10"/>
        <v xml:space="preserve">["NA"] = 3; </v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/>
      </c>
      <c r="AN10" t="str">
        <f t="shared" si="20"/>
        <v/>
      </c>
      <c r="AO10" t="str">
        <f t="shared" si="21"/>
        <v xml:space="preserve">["NAME"] = { ["EN"] = "Title: Exemplar"; }; </v>
      </c>
      <c r="AP10" t="str">
        <f t="shared" si="22"/>
        <v xml:space="preserve">["LORE"] = { ["EN"] = ""; }; </v>
      </c>
      <c r="AQ10" t="str">
        <f t="shared" si="23"/>
        <v xml:space="preserve">["SUMMARY"] = { ["EN"] = ""; }; </v>
      </c>
      <c r="AR10" t="str">
        <f t="shared" si="24"/>
        <v/>
      </c>
      <c r="AS10" t="str">
        <f t="shared" si="25"/>
        <v>};</v>
      </c>
    </row>
    <row r="11" spans="1:45" x14ac:dyDescent="0.25">
      <c r="C11" s="3" t="s">
        <v>201</v>
      </c>
      <c r="D11" s="2" t="s">
        <v>29</v>
      </c>
      <c r="N11" s="2"/>
      <c r="P11">
        <v>327</v>
      </c>
      <c r="R11" t="str">
        <f t="shared" si="1"/>
        <v xml:space="preserve"> [10] = {["CAT_ID"] = 327; }; -- - Season of the Nemesis -</v>
      </c>
      <c r="S11" s="1" t="str">
        <f t="shared" si="2"/>
        <v xml:space="preserve"> [10] = {                                         ["TYPE"] = 14; ["VXP"] = 0; ["LP"] = 0; ["REP"] = 0; ["FACTION"] = 1; ["TIER"] = 0; ["NAME"] = { ["EN"] = "- Season of the Nemesis -"; }; ["LORE"] = { ["EN"] = ""; }; ["SUMMARY"] = { ["EN"] = "";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                     </v>
      </c>
      <c r="W11" t="str">
        <f t="shared" si="6"/>
        <v/>
      </c>
      <c r="X11" t="str">
        <f t="shared" si="7"/>
        <v xml:space="preserve">["CAT_ID"] = 327; </v>
      </c>
      <c r="Y11" s="1" t="str">
        <f t="shared" si="8"/>
        <v xml:space="preserve">                    </v>
      </c>
      <c r="Z11">
        <f>VLOOKUP(D11,[1]Type!A$2:B$18,2,FALSE)</f>
        <v>14</v>
      </c>
      <c r="AA11" t="str">
        <f t="shared" si="9"/>
        <v xml:space="preserve">["TYPE"] = 14;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/>
      </c>
      <c r="AN11" t="str">
        <f t="shared" si="20"/>
        <v/>
      </c>
      <c r="AO11" t="str">
        <f t="shared" si="21"/>
        <v xml:space="preserve">["NAME"] = { ["EN"] = "- Season of the Nemesis -"; }; </v>
      </c>
      <c r="AP11" t="str">
        <f t="shared" si="22"/>
        <v xml:space="preserve">["LORE"] = { ["EN"] = ""; }; </v>
      </c>
      <c r="AQ11" t="str">
        <f t="shared" si="23"/>
        <v xml:space="preserve">["SUMMARY"] = { ["EN"] = ""; }; </v>
      </c>
      <c r="AR11" t="str">
        <f t="shared" si="24"/>
        <v/>
      </c>
      <c r="AS11" t="str">
        <f t="shared" si="25"/>
        <v>};</v>
      </c>
    </row>
    <row r="12" spans="1:45" x14ac:dyDescent="0.25">
      <c r="A12">
        <v>1879509060</v>
      </c>
      <c r="C12" t="s">
        <v>208</v>
      </c>
      <c r="D12" t="s">
        <v>154</v>
      </c>
      <c r="N12" s="2"/>
      <c r="R12" t="str">
        <f t="shared" si="1"/>
        <v xml:space="preserve"> [11] = {["ID"] = 1879509060; }; -- Title: Bearer of Truth</v>
      </c>
      <c r="S12" s="1" t="str">
        <f t="shared" si="2"/>
        <v xml:space="preserve"> [11] = {["ID"] = 1879509060;                     ["TYPE"] =  7; ["VXP"] = 0; ["LP"] = 0; ["REP"] = 0; ["FACTION"] = 1; ["TIER"] = 0; ["NAME"] = { ["EN"] = "Title: Bearer of Truth"; }; ["LORE"] = { ["EN"] = ""; }; ["SUMMARY"] = { ["EN"] = "";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1879509060; </v>
      </c>
      <c r="W12" t="str">
        <f t="shared" si="6"/>
        <v xml:space="preserve">["ID"] = 1879509060; </v>
      </c>
      <c r="X12" t="str">
        <f t="shared" si="7"/>
        <v/>
      </c>
      <c r="Y12" s="1" t="str">
        <f t="shared" si="8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0; </v>
      </c>
      <c r="AM12" t="str">
        <f t="shared" si="19"/>
        <v/>
      </c>
      <c r="AN12" t="str">
        <f t="shared" si="20"/>
        <v/>
      </c>
      <c r="AO12" t="str">
        <f t="shared" si="21"/>
        <v xml:space="preserve">["NAME"] = { ["EN"] = "Title: Bearer of Truth"; }; </v>
      </c>
      <c r="AP12" t="str">
        <f t="shared" si="22"/>
        <v xml:space="preserve">["LORE"] = { ["EN"] = ""; }; </v>
      </c>
      <c r="AQ12" t="str">
        <f t="shared" si="23"/>
        <v xml:space="preserve">["SUMMARY"] = { ["EN"] = ""; }; </v>
      </c>
      <c r="AR12" t="str">
        <f t="shared" si="24"/>
        <v/>
      </c>
      <c r="AS12" t="str">
        <f t="shared" si="25"/>
        <v>};</v>
      </c>
    </row>
    <row r="13" spans="1:45" x14ac:dyDescent="0.25">
      <c r="C13" s="3" t="s">
        <v>206</v>
      </c>
      <c r="D13" s="2" t="s">
        <v>29</v>
      </c>
      <c r="N13" s="2"/>
      <c r="P13">
        <v>328</v>
      </c>
      <c r="R13" t="str">
        <f t="shared" si="1"/>
        <v xml:space="preserve"> [12] = {["CAT_ID"] = 328; }; -- - Season of Malice -</v>
      </c>
      <c r="S13" s="1" t="str">
        <f t="shared" si="2"/>
        <v xml:space="preserve"> [12] = {                                         ["TYPE"] = 14; ["VXP"] = 0; ["LP"] = 0; ["REP"] = 0; ["FACTION"] = 1; ["TIER"] = 0; ["NAME"] = { ["EN"] = "- Season of Malice -"; }; ["LORE"] = { ["EN"] = ""; }; ["SUMMARY"] = { ["EN"] = "";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                     </v>
      </c>
      <c r="W13" t="str">
        <f t="shared" si="6"/>
        <v/>
      </c>
      <c r="X13" t="str">
        <f t="shared" si="7"/>
        <v xml:space="preserve">["CAT_ID"] = 328; </v>
      </c>
      <c r="Y13" s="1" t="str">
        <f t="shared" si="8"/>
        <v xml:space="preserve">                    </v>
      </c>
      <c r="Z13">
        <f>VLOOKUP(D13,[1]Type!A$2:B$18,2,FALSE)</f>
        <v>14</v>
      </c>
      <c r="AA13" t="str">
        <f t="shared" si="9"/>
        <v xml:space="preserve">["TYPE"] = 14;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0; </v>
      </c>
      <c r="AM13" t="str">
        <f t="shared" si="19"/>
        <v/>
      </c>
      <c r="AN13" t="str">
        <f t="shared" si="20"/>
        <v/>
      </c>
      <c r="AO13" t="str">
        <f t="shared" si="21"/>
        <v xml:space="preserve">["NAME"] = { ["EN"] = "- Season of Malice -"; }; </v>
      </c>
      <c r="AP13" t="str">
        <f t="shared" si="22"/>
        <v xml:space="preserve">["LORE"] = { ["EN"] = ""; }; </v>
      </c>
      <c r="AQ13" t="str">
        <f t="shared" si="23"/>
        <v xml:space="preserve">["SUMMARY"] = { ["EN"] = ""; }; </v>
      </c>
      <c r="AR13" t="str">
        <f t="shared" si="24"/>
        <v/>
      </c>
      <c r="AS13" t="str">
        <f t="shared" si="25"/>
        <v>};</v>
      </c>
    </row>
    <row r="14" spans="1:45" x14ac:dyDescent="0.25">
      <c r="A14">
        <v>1879509057</v>
      </c>
      <c r="C14" t="s">
        <v>202</v>
      </c>
      <c r="D14" t="s">
        <v>154</v>
      </c>
      <c r="N14" s="2"/>
      <c r="R14" t="str">
        <f t="shared" si="1"/>
        <v xml:space="preserve"> [13] = {["ID"] = 1879509057; }; -- Title: Benevolence Incarnate</v>
      </c>
      <c r="S14" s="1" t="str">
        <f t="shared" si="2"/>
        <v xml:space="preserve"> [13] = {["ID"] = 1879509057;                     ["TYPE"] =  7; ["VXP"] = 0; ["LP"] = 0; ["REP"] = 0; ["FACTION"] = 1; ["TIER"] = 0; ["NAME"] = { ["EN"] = "Title: Benevolence Incarnate"; }; ["LORE"] = { ["EN"] = ""; }; ["SUMMARY"] = { ["EN"] = "";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1879509057; </v>
      </c>
      <c r="W14" t="str">
        <f t="shared" si="6"/>
        <v xml:space="preserve">["ID"] = 1879509057; </v>
      </c>
      <c r="X14" t="str">
        <f t="shared" si="7"/>
        <v/>
      </c>
      <c r="Y14" s="1" t="str">
        <f t="shared" si="8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0; </v>
      </c>
      <c r="AM14" t="str">
        <f t="shared" si="19"/>
        <v/>
      </c>
      <c r="AN14" t="str">
        <f t="shared" si="20"/>
        <v/>
      </c>
      <c r="AO14" t="str">
        <f t="shared" si="21"/>
        <v xml:space="preserve">["NAME"] = { ["EN"] = "Title: Benevolence Incarnate"; }; </v>
      </c>
      <c r="AP14" t="str">
        <f t="shared" si="22"/>
        <v xml:space="preserve">["LORE"] = { ["EN"] = ""; }; </v>
      </c>
      <c r="AQ14" t="str">
        <f t="shared" si="23"/>
        <v xml:space="preserve">["SUMMARY"] = { ["EN"] = ""; }; </v>
      </c>
      <c r="AR14" t="str">
        <f t="shared" si="24"/>
        <v/>
      </c>
      <c r="AS14" t="str">
        <f t="shared" si="25"/>
        <v>};</v>
      </c>
    </row>
    <row r="15" spans="1:45" x14ac:dyDescent="0.25">
      <c r="C15" s="3" t="s">
        <v>204</v>
      </c>
      <c r="D15" s="2" t="s">
        <v>29</v>
      </c>
      <c r="N15" s="2"/>
      <c r="P15">
        <v>329</v>
      </c>
      <c r="R15" t="str">
        <f t="shared" si="1"/>
        <v xml:space="preserve"> [14] = {["CAT_ID"] = 329; }; -- - Season of Scorn -</v>
      </c>
      <c r="S15" s="1" t="str">
        <f t="shared" si="2"/>
        <v xml:space="preserve"> [14] = {                                         ["TYPE"] = 14; ["VXP"] = 0; ["LP"] = 0; ["REP"] = 0; ["FACTION"] = 1; ["TIER"] = 0; ["NAME"] = { ["EN"] = "- Season of Scorn -"; }; ["LORE"] = { ["EN"] = ""; }; ["SUMMARY"] = { ["EN"] = "";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                     </v>
      </c>
      <c r="W15" t="str">
        <f t="shared" si="6"/>
        <v/>
      </c>
      <c r="X15" t="str">
        <f t="shared" si="7"/>
        <v xml:space="preserve">["CAT_ID"] = 329; </v>
      </c>
      <c r="Y15" s="1" t="str">
        <f t="shared" si="8"/>
        <v xml:space="preserve">                    </v>
      </c>
      <c r="Z15">
        <f>VLOOKUP(D15,[1]Type!A$2:B$18,2,FALSE)</f>
        <v>14</v>
      </c>
      <c r="AA15" t="str">
        <f t="shared" si="9"/>
        <v xml:space="preserve">["TYPE"] = 14;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0; </v>
      </c>
      <c r="AM15" t="str">
        <f t="shared" si="19"/>
        <v/>
      </c>
      <c r="AN15" t="str">
        <f t="shared" si="20"/>
        <v/>
      </c>
      <c r="AO15" t="str">
        <f t="shared" si="21"/>
        <v xml:space="preserve">["NAME"] = { ["EN"] = "- Season of Scorn -"; }; </v>
      </c>
      <c r="AP15" t="str">
        <f t="shared" si="22"/>
        <v xml:space="preserve">["LORE"] = { ["EN"] = ""; }; </v>
      </c>
      <c r="AQ15" t="str">
        <f t="shared" si="23"/>
        <v xml:space="preserve">["SUMMARY"] = { ["EN"] = ""; }; </v>
      </c>
      <c r="AR15" t="str">
        <f t="shared" si="24"/>
        <v/>
      </c>
      <c r="AS15" t="str">
        <f t="shared" si="25"/>
        <v>};</v>
      </c>
    </row>
    <row r="16" spans="1:45" x14ac:dyDescent="0.25">
      <c r="A16">
        <v>1879509058</v>
      </c>
      <c r="C16" t="s">
        <v>203</v>
      </c>
      <c r="D16" t="s">
        <v>154</v>
      </c>
      <c r="N16" s="2"/>
      <c r="R16" t="str">
        <f t="shared" si="1"/>
        <v xml:space="preserve"> [15] = {["ID"] = 1879509058; }; -- Title: The Respected Voice</v>
      </c>
      <c r="S16" s="1" t="str">
        <f t="shared" si="2"/>
        <v xml:space="preserve"> [15] = {["ID"] = 1879509058;                     ["TYPE"] =  7; ["VXP"] = 0; ["LP"] = 0; ["REP"] = 0; ["FACTION"] = 1; ["TIER"] = 0; ["NAME"] = { ["EN"] = "Title: The Respected Voice"; }; ["LORE"] = { ["EN"] = ""; }; ["SUMMARY"] = { ["EN"] = "";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["ID"] = 1879509058; </v>
      </c>
      <c r="W16" t="str">
        <f t="shared" si="6"/>
        <v xml:space="preserve">["ID"] = 1879509058; </v>
      </c>
      <c r="X16" t="str">
        <f t="shared" si="7"/>
        <v/>
      </c>
      <c r="Y16" s="1" t="str">
        <f t="shared" si="8"/>
        <v xml:space="preserve">                    </v>
      </c>
      <c r="Z16">
        <f>VLOOKUP(D16,[1]Type!A$2:B$18,2,FALSE)</f>
        <v>7</v>
      </c>
      <c r="AA16" t="str">
        <f t="shared" si="9"/>
        <v xml:space="preserve">["TYPE"] =  7;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/>
      </c>
      <c r="AN16" t="str">
        <f t="shared" si="20"/>
        <v/>
      </c>
      <c r="AO16" t="str">
        <f t="shared" si="21"/>
        <v xml:space="preserve">["NAME"] = { ["EN"] = "Title: The Respected Voice"; }; </v>
      </c>
      <c r="AP16" t="str">
        <f t="shared" si="22"/>
        <v xml:space="preserve">["LORE"] = { ["EN"] = ""; }; </v>
      </c>
      <c r="AQ16" t="str">
        <f t="shared" si="23"/>
        <v xml:space="preserve">["SUMMARY"] = { ["EN"] = ""; }; </v>
      </c>
      <c r="AR16" t="str">
        <f t="shared" si="24"/>
        <v/>
      </c>
      <c r="AS16" t="str">
        <f t="shared" si="25"/>
        <v>};</v>
      </c>
    </row>
    <row r="17" spans="1:45" x14ac:dyDescent="0.25">
      <c r="C17" s="3" t="s">
        <v>205</v>
      </c>
      <c r="D17" s="2" t="s">
        <v>29</v>
      </c>
      <c r="N17" s="2"/>
      <c r="P17">
        <v>330</v>
      </c>
      <c r="R17" t="str">
        <f t="shared" si="1"/>
        <v xml:space="preserve"> [16] = {["CAT_ID"] = 330; }; -- - Season of Spirit -</v>
      </c>
      <c r="S17" s="1" t="str">
        <f t="shared" si="2"/>
        <v xml:space="preserve"> [16] = {                                         ["TYPE"] = 14; ["VXP"] = 0; ["LP"] = 0; ["REP"] = 0; ["FACTION"] = 1; ["TIER"] = 0; ["NAME"] = { ["EN"] = "- Season of Spirit -"; }; ["LORE"] = { ["EN"] = ""; }; ["SUMMARY"] = { ["EN"] = "";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                     </v>
      </c>
      <c r="W17" t="str">
        <f t="shared" si="6"/>
        <v/>
      </c>
      <c r="X17" t="str">
        <f t="shared" si="7"/>
        <v xml:space="preserve">["CAT_ID"] = 330; </v>
      </c>
      <c r="Y17" s="1" t="str">
        <f t="shared" si="8"/>
        <v xml:space="preserve">                    </v>
      </c>
      <c r="Z17">
        <f>VLOOKUP(D17,[1]Type!A$2:B$18,2,FALSE)</f>
        <v>14</v>
      </c>
      <c r="AA17" t="str">
        <f t="shared" si="9"/>
        <v xml:space="preserve">["TYPE"] = 14;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/>
      </c>
      <c r="AN17" t="str">
        <f t="shared" si="20"/>
        <v/>
      </c>
      <c r="AO17" t="str">
        <f t="shared" si="21"/>
        <v xml:space="preserve">["NAME"] = { ["EN"] = "- Season of Spirit -"; }; </v>
      </c>
      <c r="AP17" t="str">
        <f t="shared" si="22"/>
        <v xml:space="preserve">["LORE"] = { ["EN"] = ""; }; </v>
      </c>
      <c r="AQ17" t="str">
        <f t="shared" si="23"/>
        <v xml:space="preserve">["SUMMARY"] = { ["EN"] = ""; }; </v>
      </c>
      <c r="AR17" t="str">
        <f t="shared" si="24"/>
        <v/>
      </c>
      <c r="AS17" t="str">
        <f t="shared" si="25"/>
        <v>};</v>
      </c>
    </row>
    <row r="18" spans="1:45" x14ac:dyDescent="0.25">
      <c r="A18">
        <v>1879509059</v>
      </c>
      <c r="C18" t="s">
        <v>207</v>
      </c>
      <c r="D18" t="s">
        <v>154</v>
      </c>
      <c r="N18" s="2"/>
      <c r="R18" t="str">
        <f t="shared" si="1"/>
        <v xml:space="preserve"> [17] = {["ID"] = 1879509059; }; -- Title: The Spirit's Guide</v>
      </c>
      <c r="S18" s="1" t="str">
        <f t="shared" si="2"/>
        <v xml:space="preserve"> [17] = {["ID"] = 1879509059;                     ["TYPE"] =  7; ["VXP"] = 0; ["LP"] = 0; ["REP"] = 0; ["FACTION"] = 1; ["TIER"] = 0; ["NAME"] = { ["EN"] = "Title: The Spirit's Guide"; }; ["LORE"] = { ["EN"] = ""; }; ["SUMMARY"] = { ["EN"] = "";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1879509059; </v>
      </c>
      <c r="W18" t="str">
        <f t="shared" si="6"/>
        <v xml:space="preserve">["ID"] = 1879509059; </v>
      </c>
      <c r="X18" t="str">
        <f t="shared" si="7"/>
        <v/>
      </c>
      <c r="Y18" s="1" t="str">
        <f t="shared" si="8"/>
        <v xml:space="preserve">                    </v>
      </c>
      <c r="Z18">
        <f>VLOOKUP(D18,[1]Type!A$2:B$18,2,FALSE)</f>
        <v>7</v>
      </c>
      <c r="AA18" t="str">
        <f t="shared" si="9"/>
        <v xml:space="preserve">["TYPE"] =  7;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0; </v>
      </c>
      <c r="AM18" t="str">
        <f t="shared" si="19"/>
        <v/>
      </c>
      <c r="AN18" t="str">
        <f t="shared" si="20"/>
        <v/>
      </c>
      <c r="AO18" t="str">
        <f t="shared" si="21"/>
        <v xml:space="preserve">["NAME"] = { ["EN"] = "Title: The Spirit's Guide"; }; </v>
      </c>
      <c r="AP18" t="str">
        <f t="shared" si="22"/>
        <v xml:space="preserve">["LORE"] = { ["EN"] = ""; }; </v>
      </c>
      <c r="AQ18" t="str">
        <f t="shared" si="23"/>
        <v xml:space="preserve">["SUMMARY"] = { ["EN"] = ""; }; </v>
      </c>
      <c r="AR18" t="str">
        <f t="shared" si="24"/>
        <v/>
      </c>
      <c r="AS18" t="str">
        <f t="shared" si="25"/>
        <v>};</v>
      </c>
    </row>
    <row r="19" spans="1:45" x14ac:dyDescent="0.25">
      <c r="C19" s="3" t="s">
        <v>210</v>
      </c>
      <c r="D19" s="2" t="s">
        <v>29</v>
      </c>
      <c r="N19" s="2"/>
      <c r="P19">
        <v>342</v>
      </c>
      <c r="R19" t="str">
        <f t="shared" ref="R19:R22" si="26">CONCATENATE(U19,W19,X19,AS19," -- ",C19)</f>
        <v xml:space="preserve"> [18] = {["CAT_ID"] = 342; }; -- - Monster Player Reward Season 6 -</v>
      </c>
      <c r="S19" s="1" t="str">
        <f t="shared" ref="S19:S22" si="27">CONCATENATE(U19,V19,Y19,AA19,AC19,AE19,AG19,AI19,AK19,AL19,AM19,AN19,AO19,AP19,AQ19,AR19,AS19)</f>
        <v xml:space="preserve"> [18] = {                                         ["TYPE"] = 14; ["VXP"] = 0; ["LP"] = 0; ["REP"] = 0; ["FACTION"] = 1; ["TIER"] = 0; ["NAME"] = { ["EN"] = "- Monster Player Reward Season 6 -"; }; ["LORE"] = { ["EN"] = ""; }; ["SUMMARY"] = { ["EN"] = ""; }; };</v>
      </c>
      <c r="T19">
        <f t="shared" si="3"/>
        <v>18</v>
      </c>
      <c r="U19" t="str">
        <f t="shared" ref="U19:U22" si="28">CONCATENATE(REPT(" ",3-LEN(T19)),"[",T19,"] = {")</f>
        <v xml:space="preserve"> [18] = {</v>
      </c>
      <c r="V19" t="str">
        <f t="shared" ref="V19:V22" si="29">IF(LEN(A19)&gt;0,CONCATENATE("[""ID""] = ",A19,"; "),"                     ")</f>
        <v xml:space="preserve">                     </v>
      </c>
      <c r="W19" t="str">
        <f t="shared" ref="W19:W22" si="30">IF(LEN(A19)&gt;0,CONCATENATE("[""ID""] = ",A19,"; "),"")</f>
        <v/>
      </c>
      <c r="X19" t="str">
        <f t="shared" ref="X19:X22" si="31">IF(LEN(P19)&gt;0,CONCATENATE("[""CAT_ID""] = ",P19,"; "),"")</f>
        <v xml:space="preserve">["CAT_ID"] = 342; </v>
      </c>
      <c r="Y19" s="1" t="str">
        <f t="shared" ref="Y19:Y22" si="32">IF(LEN(B19)&gt;0,CONCATENATE("[""SAVE_INDEX""] = ",REPT(" ",1-LEN(B19)),B19,"; "),REPT(" ",20))</f>
        <v xml:space="preserve">                    </v>
      </c>
      <c r="Z19">
        <f>VLOOKUP(D19,[1]Type!A$2:B$18,2,FALSE)</f>
        <v>14</v>
      </c>
      <c r="AA19" t="str">
        <f t="shared" ref="AA19:AA22" si="33">CONCATENATE("[""TYPE""] = ",REPT(" ",2-LEN(Z19)),Z19,"; ")</f>
        <v xml:space="preserve">["TYPE"] = 14; </v>
      </c>
      <c r="AB19" t="str">
        <f>IF(NOT(ISBLANK(E19)),VLOOKUP(E19,[1]Type!D$2:E$6,2,FALSE),"")</f>
        <v/>
      </c>
      <c r="AC19" t="str">
        <f t="shared" ref="AC19:AC22" si="34">IF(NOT(ISBLANK(E19)),CONCATENATE("[""NA""] = ",AB19,"; "),"")</f>
        <v/>
      </c>
      <c r="AD19" t="str">
        <f t="shared" ref="AD19:AD22" si="35">TEXT(F19,0)</f>
        <v>0</v>
      </c>
      <c r="AE19" t="str">
        <f t="shared" ref="AE19:AE22" si="36">CONCATENATE("[""VXP""] = ",REPT(" ",1-LEN(AD19)),TEXT(AD19,"0"),"; ")</f>
        <v xml:space="preserve">["VXP"] = 0; </v>
      </c>
      <c r="AF19" t="str">
        <f t="shared" ref="AF19:AF22" si="37">TEXT(H19,0)</f>
        <v>0</v>
      </c>
      <c r="AG19" t="str">
        <f t="shared" ref="AG19:AG22" si="38">CONCATENATE("[""LP""] = ",REPT(" ",1-LEN(AF19)),TEXT(AF19,"0"),"; ")</f>
        <v xml:space="preserve">["LP"] = 0; </v>
      </c>
      <c r="AH19" t="str">
        <f t="shared" ref="AH19:AH22" si="39">TEXT(I19,0)</f>
        <v>0</v>
      </c>
      <c r="AI19" t="str">
        <f t="shared" ref="AI19:AI22" si="40">CONCATENATE("[""REP""] = ",REPT(" ",1-LEN(AH19)),TEXT(AH19,"0"),"; ")</f>
        <v xml:space="preserve">["REP"] = 0; </v>
      </c>
      <c r="AJ19">
        <f>IF(NOT(ISBLANK(J19)),VLOOKUP(J19,[1]Faction!A$2:B$77,2,FALSE),1)</f>
        <v>1</v>
      </c>
      <c r="AK19" t="str">
        <f t="shared" ref="AK19:AK22" si="41">CONCATENATE("[""FACTION""] = ",TEXT(AJ19,"0"),"; ")</f>
        <v xml:space="preserve">["FACTION"] = 1; </v>
      </c>
      <c r="AL19" t="str">
        <f t="shared" ref="AL19:AL22" si="42">CONCATENATE("[""TIER""] = ",TEXT(M19,"0"),"; ")</f>
        <v xml:space="preserve">["TIER"] = 0; </v>
      </c>
      <c r="AM19" t="str">
        <f t="shared" ref="AM19:AM22" si="43">IF(LEN(N19)&gt;0,CONCATENATE("[""MIN_LVL""] = ",REPT(" ",2-LEN(N19)),"""",N19,"""; "),"")</f>
        <v/>
      </c>
      <c r="AN19" t="str">
        <f t="shared" ref="AN19:AN22" si="44">IF(LEN(O19)&gt;0,CONCATENATE("[""MIN_LVL""] = ",REPT(" ",3-LEN(O19)),"""",O19,"""; "),"")</f>
        <v/>
      </c>
      <c r="AO19" t="str">
        <f t="shared" ref="AO19:AO22" si="45">CONCATENATE("[""NAME""] = { [""EN""] = """,C19,"""; }; ")</f>
        <v xml:space="preserve">["NAME"] = { ["EN"] = "- Monster Player Reward Season 6 -"; }; </v>
      </c>
      <c r="AP19" t="str">
        <f t="shared" ref="AP19:AP22" si="46">CONCATENATE("[""LORE""] = { [""EN""] = """,L19,"""; }; ")</f>
        <v xml:space="preserve">["LORE"] = { ["EN"] = ""; }; </v>
      </c>
      <c r="AQ19" t="str">
        <f t="shared" ref="AQ19:AQ22" si="47">CONCATENATE("[""SUMMARY""] = { [""EN""] = """,K19,"""; }; ")</f>
        <v xml:space="preserve">["SUMMARY"] = { ["EN"] = ""; }; </v>
      </c>
      <c r="AR19" t="str">
        <f t="shared" ref="AR19:AR22" si="48">IF(LEN(G19)&gt;0,CONCATENATE("[""TITLE""] = { [""EN""] = """,G19,"""; }; "),"")</f>
        <v/>
      </c>
      <c r="AS19" t="str">
        <f t="shared" si="25"/>
        <v>};</v>
      </c>
    </row>
    <row r="20" spans="1:45" x14ac:dyDescent="0.25">
      <c r="A20">
        <v>1879523597</v>
      </c>
      <c r="C20" t="s">
        <v>209</v>
      </c>
      <c r="D20" t="s">
        <v>154</v>
      </c>
      <c r="N20" s="2"/>
      <c r="R20" t="str">
        <f t="shared" si="26"/>
        <v xml:space="preserve"> [19] = {["ID"] = 1879523597; }; -- Title: Bastion of Light</v>
      </c>
      <c r="S20" s="1" t="str">
        <f t="shared" si="27"/>
        <v xml:space="preserve"> [19] = {["ID"] = 1879523597;                     ["TYPE"] =  7; ["VXP"] = 0; ["LP"] = 0; ["REP"] = 0; ["FACTION"] = 1; ["TIER"] = 0; ["NAME"] = { ["EN"] = "Title: Bastion of Light"; }; ["LORE"] = { ["EN"] = ""; }; ["SUMMARY"] = { ["EN"] = ""; }; };</v>
      </c>
      <c r="T20">
        <f t="shared" si="3"/>
        <v>19</v>
      </c>
      <c r="U20" t="str">
        <f t="shared" si="28"/>
        <v xml:space="preserve"> [19] = {</v>
      </c>
      <c r="V20" t="str">
        <f t="shared" si="29"/>
        <v xml:space="preserve">["ID"] = 1879523597; </v>
      </c>
      <c r="W20" t="str">
        <f t="shared" si="30"/>
        <v xml:space="preserve">["ID"] = 1879523597; </v>
      </c>
      <c r="X20" t="str">
        <f t="shared" si="31"/>
        <v/>
      </c>
      <c r="Y20" s="1" t="str">
        <f t="shared" si="32"/>
        <v xml:space="preserve">                    </v>
      </c>
      <c r="Z20">
        <f>VLOOKUP(D20,[1]Type!A$2:B$18,2,FALSE)</f>
        <v>7</v>
      </c>
      <c r="AA20" t="str">
        <f t="shared" si="33"/>
        <v xml:space="preserve">["TYPE"] =  7; </v>
      </c>
      <c r="AB20" t="str">
        <f>IF(NOT(ISBLANK(E20)),VLOOKUP(E20,[1]Type!D$2:E$6,2,FALSE),"")</f>
        <v/>
      </c>
      <c r="AC20" t="str">
        <f t="shared" si="34"/>
        <v/>
      </c>
      <c r="AD20" t="str">
        <f t="shared" si="35"/>
        <v>0</v>
      </c>
      <c r="AE20" t="str">
        <f t="shared" si="36"/>
        <v xml:space="preserve">["VXP"] = 0; </v>
      </c>
      <c r="AF20" t="str">
        <f t="shared" si="37"/>
        <v>0</v>
      </c>
      <c r="AG20" t="str">
        <f t="shared" si="38"/>
        <v xml:space="preserve">["LP"] = 0; </v>
      </c>
      <c r="AH20" t="str">
        <f t="shared" si="39"/>
        <v>0</v>
      </c>
      <c r="AI20" t="str">
        <f t="shared" si="40"/>
        <v xml:space="preserve">["REP"] = 0; </v>
      </c>
      <c r="AJ20">
        <f>IF(NOT(ISBLANK(J20)),VLOOKUP(J20,[1]Faction!A$2:B$77,2,FALSE),1)</f>
        <v>1</v>
      </c>
      <c r="AK20" t="str">
        <f t="shared" si="41"/>
        <v xml:space="preserve">["FACTION"] = 1; </v>
      </c>
      <c r="AL20" t="str">
        <f t="shared" si="42"/>
        <v xml:space="preserve">["TIER"] = 0; </v>
      </c>
      <c r="AM20" t="str">
        <f t="shared" si="43"/>
        <v/>
      </c>
      <c r="AN20" t="str">
        <f t="shared" si="44"/>
        <v/>
      </c>
      <c r="AO20" t="str">
        <f t="shared" si="45"/>
        <v xml:space="preserve">["NAME"] = { ["EN"] = "Title: Bastion of Light"; }; </v>
      </c>
      <c r="AP20" t="str">
        <f t="shared" si="46"/>
        <v xml:space="preserve">["LORE"] = { ["EN"] = ""; }; </v>
      </c>
      <c r="AQ20" t="str">
        <f t="shared" si="47"/>
        <v xml:space="preserve">["SUMMARY"] = { ["EN"] = ""; }; </v>
      </c>
      <c r="AR20" t="str">
        <f t="shared" si="48"/>
        <v/>
      </c>
      <c r="AS20" t="str">
        <f t="shared" si="25"/>
        <v>};</v>
      </c>
    </row>
    <row r="21" spans="1:45" x14ac:dyDescent="0.25">
      <c r="D21" s="2"/>
      <c r="N21" s="2"/>
      <c r="R21" t="str">
        <f t="shared" si="26"/>
        <v xml:space="preserve"> [20] = {}; -- </v>
      </c>
      <c r="S21" s="1" t="e">
        <f t="shared" si="27"/>
        <v>#N/A</v>
      </c>
      <c r="T21">
        <f t="shared" si="3"/>
        <v>20</v>
      </c>
      <c r="U21" t="str">
        <f t="shared" si="28"/>
        <v xml:space="preserve"> [20] = {</v>
      </c>
      <c r="V21" t="str">
        <f t="shared" si="29"/>
        <v xml:space="preserve">                     </v>
      </c>
      <c r="W21" t="str">
        <f t="shared" si="30"/>
        <v/>
      </c>
      <c r="X21" t="str">
        <f t="shared" si="31"/>
        <v/>
      </c>
      <c r="Y21" s="1" t="str">
        <f t="shared" si="32"/>
        <v xml:space="preserve">                    </v>
      </c>
      <c r="Z21" t="e">
        <f>VLOOKUP(D21,[1]Type!A$2:B$18,2,FALSE)</f>
        <v>#N/A</v>
      </c>
      <c r="AA21" t="e">
        <f t="shared" si="33"/>
        <v>#N/A</v>
      </c>
      <c r="AB21" t="str">
        <f>IF(NOT(ISBLANK(E21)),VLOOKUP(E21,[1]Type!D$2:E$6,2,FALSE),"")</f>
        <v/>
      </c>
      <c r="AC21" t="str">
        <f t="shared" si="34"/>
        <v/>
      </c>
      <c r="AD21" t="str">
        <f t="shared" si="35"/>
        <v>0</v>
      </c>
      <c r="AE21" t="str">
        <f t="shared" si="36"/>
        <v xml:space="preserve">["VXP"] = 0; </v>
      </c>
      <c r="AF21" t="str">
        <f t="shared" si="37"/>
        <v>0</v>
      </c>
      <c r="AG21" t="str">
        <f t="shared" si="38"/>
        <v xml:space="preserve">["LP"] = 0; </v>
      </c>
      <c r="AH21" t="str">
        <f t="shared" si="39"/>
        <v>0</v>
      </c>
      <c r="AI21" t="str">
        <f t="shared" si="40"/>
        <v xml:space="preserve">["REP"] = 0; </v>
      </c>
      <c r="AJ21">
        <f>IF(NOT(ISBLANK(J21)),VLOOKUP(J21,[1]Faction!A$2:B$77,2,FALSE),1)</f>
        <v>1</v>
      </c>
      <c r="AK21" t="str">
        <f t="shared" si="41"/>
        <v xml:space="preserve">["FACTION"] = 1; </v>
      </c>
      <c r="AL21" t="str">
        <f t="shared" si="42"/>
        <v xml:space="preserve">["TIER"] = 0; </v>
      </c>
      <c r="AM21" t="str">
        <f t="shared" si="43"/>
        <v/>
      </c>
      <c r="AN21" t="str">
        <f t="shared" si="44"/>
        <v/>
      </c>
      <c r="AO21" t="str">
        <f t="shared" si="45"/>
        <v xml:space="preserve">["NAME"] = { ["EN"] = ""; }; </v>
      </c>
      <c r="AP21" t="str">
        <f t="shared" si="46"/>
        <v xml:space="preserve">["LORE"] = { ["EN"] = ""; }; </v>
      </c>
      <c r="AQ21" t="str">
        <f t="shared" si="47"/>
        <v xml:space="preserve">["SUMMARY"] = { ["EN"] = ""; }; </v>
      </c>
      <c r="AR21" t="str">
        <f t="shared" si="48"/>
        <v/>
      </c>
      <c r="AS21" t="str">
        <f t="shared" si="25"/>
        <v>};</v>
      </c>
    </row>
    <row r="22" spans="1:45" x14ac:dyDescent="0.25">
      <c r="D22" s="2"/>
      <c r="N22" s="2"/>
      <c r="R22" t="str">
        <f t="shared" si="26"/>
        <v xml:space="preserve"> [21] = {}; -- </v>
      </c>
      <c r="S22" s="1" t="e">
        <f t="shared" si="27"/>
        <v>#N/A</v>
      </c>
      <c r="T22">
        <f t="shared" si="3"/>
        <v>21</v>
      </c>
      <c r="U22" t="str">
        <f t="shared" si="28"/>
        <v xml:space="preserve"> [21] = {</v>
      </c>
      <c r="V22" t="str">
        <f t="shared" si="29"/>
        <v xml:space="preserve">                     </v>
      </c>
      <c r="W22" t="str">
        <f t="shared" si="30"/>
        <v/>
      </c>
      <c r="X22" t="str">
        <f t="shared" si="31"/>
        <v/>
      </c>
      <c r="Y22" s="1" t="str">
        <f t="shared" si="32"/>
        <v xml:space="preserve">                    </v>
      </c>
      <c r="Z22" t="e">
        <f>VLOOKUP(D22,[1]Type!A$2:B$18,2,FALSE)</f>
        <v>#N/A</v>
      </c>
      <c r="AA22" t="e">
        <f t="shared" si="33"/>
        <v>#N/A</v>
      </c>
      <c r="AB22" t="str">
        <f>IF(NOT(ISBLANK(E22)),VLOOKUP(E22,[1]Type!D$2:E$6,2,FALSE),"")</f>
        <v/>
      </c>
      <c r="AC22" t="str">
        <f t="shared" si="34"/>
        <v/>
      </c>
      <c r="AD22" t="str">
        <f t="shared" si="35"/>
        <v>0</v>
      </c>
      <c r="AE22" t="str">
        <f t="shared" si="36"/>
        <v xml:space="preserve">["VXP"] = 0; </v>
      </c>
      <c r="AF22" t="str">
        <f t="shared" si="37"/>
        <v>0</v>
      </c>
      <c r="AG22" t="str">
        <f t="shared" si="38"/>
        <v xml:space="preserve">["LP"] = 0; </v>
      </c>
      <c r="AH22" t="str">
        <f t="shared" si="39"/>
        <v>0</v>
      </c>
      <c r="AI22" t="str">
        <f t="shared" si="40"/>
        <v xml:space="preserve">["REP"] = 0; </v>
      </c>
      <c r="AJ22">
        <f>IF(NOT(ISBLANK(J22)),VLOOKUP(J22,[1]Faction!A$2:B$77,2,FALSE),1)</f>
        <v>1</v>
      </c>
      <c r="AK22" t="str">
        <f t="shared" si="41"/>
        <v xml:space="preserve">["FACTION"] = 1; </v>
      </c>
      <c r="AL22" t="str">
        <f t="shared" si="42"/>
        <v xml:space="preserve">["TIER"] = 0; </v>
      </c>
      <c r="AM22" t="str">
        <f t="shared" si="43"/>
        <v/>
      </c>
      <c r="AN22" t="str">
        <f t="shared" si="44"/>
        <v/>
      </c>
      <c r="AO22" t="str">
        <f t="shared" si="45"/>
        <v xml:space="preserve">["NAME"] = { ["EN"] = ""; }; </v>
      </c>
      <c r="AP22" t="str">
        <f t="shared" si="46"/>
        <v xml:space="preserve">["LORE"] = { ["EN"] = ""; }; </v>
      </c>
      <c r="AQ22" t="str">
        <f t="shared" si="47"/>
        <v xml:space="preserve">["SUMMARY"] = { ["EN"] = ""; }; </v>
      </c>
      <c r="AR22" t="str">
        <f t="shared" si="48"/>
        <v/>
      </c>
      <c r="AS22" t="str">
        <f t="shared" si="25"/>
        <v>};</v>
      </c>
    </row>
    <row r="23" spans="1:45" x14ac:dyDescent="0.25">
      <c r="D23" s="2"/>
      <c r="N23" s="2"/>
      <c r="S23" s="1"/>
      <c r="Y23" s="1"/>
    </row>
    <row r="24" spans="1:45" x14ac:dyDescent="0.25">
      <c r="N24" s="2"/>
      <c r="S24" s="1"/>
      <c r="Y24" s="1"/>
    </row>
    <row r="25" spans="1:45" x14ac:dyDescent="0.25">
      <c r="S25" s="1"/>
      <c r="Y25" s="1"/>
    </row>
    <row r="26" spans="1:45" x14ac:dyDescent="0.25">
      <c r="S26" s="1"/>
      <c r="Y26" s="1"/>
    </row>
    <row r="27" spans="1:45" x14ac:dyDescent="0.25">
      <c r="S27" s="1"/>
      <c r="Y27" s="1"/>
    </row>
    <row r="28" spans="1:45" x14ac:dyDescent="0.25">
      <c r="S28" s="1"/>
      <c r="Y28" s="1"/>
    </row>
    <row r="29" spans="1:45" x14ac:dyDescent="0.25">
      <c r="S29" s="1"/>
      <c r="Y29" s="1"/>
    </row>
    <row r="30" spans="1:45" x14ac:dyDescent="0.25">
      <c r="S30" s="1"/>
      <c r="Y30" s="1"/>
    </row>
    <row r="31" spans="1:45" x14ac:dyDescent="0.25">
      <c r="S31" s="1"/>
      <c r="Y31" s="1"/>
    </row>
    <row r="32" spans="1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</sheetData>
  <conditionalFormatting sqref="B1:B8">
    <cfRule type="duplicateValues" dxfId="5" priority="15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workbookViewId="0">
      <selection activeCell="F17" sqref="F17"/>
    </sheetView>
  </sheetViews>
  <sheetFormatPr defaultRowHeight="15" x14ac:dyDescent="0.25"/>
  <cols>
    <col min="1" max="1" width="11" bestFit="1" customWidth="1"/>
    <col min="3" max="3" width="34.42578125" customWidth="1"/>
    <col min="11" max="11" width="55" bestFit="1" customWidth="1"/>
    <col min="17" max="17" width="12.140625" bestFit="1" customWidth="1"/>
    <col min="18" max="18" width="31.42578125" customWidth="1"/>
    <col min="19" max="19" width="18" customWidth="1"/>
    <col min="25" max="25" width="14" customWidth="1"/>
    <col min="38" max="38" width="17.7109375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CONCATENATE(U2,W2,X2,AL2,AS2,"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IF(M2&gt;0,CONCATENATE("[""TIER""] = ",TEXT(M2,"0"),"; "),"")</f>
        <v/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1879326399</v>
      </c>
      <c r="B3">
        <v>4</v>
      </c>
      <c r="C3" t="s">
        <v>143</v>
      </c>
      <c r="D3" t="s">
        <v>154</v>
      </c>
      <c r="G3" t="s">
        <v>157</v>
      </c>
      <c r="K3" t="s">
        <v>158</v>
      </c>
      <c r="L3" t="s">
        <v>151</v>
      </c>
      <c r="N3">
        <v>50</v>
      </c>
      <c r="R3" t="str">
        <f t="shared" ref="R3:R9" si="1">CONCATENATE(U3,W3,X3,AL3,AS3," -- ",C3)</f>
        <v xml:space="preserve">  [2] = {["ID"] = 1879326399; }; -- Quest of the Court of Anárion -- Tier 3</v>
      </c>
      <c r="S3" s="1" t="str">
        <f t="shared" ref="S3:S9" si="2">CONCATENATE(U3,V3,Y3,AA3,AC3,AE3,AG3,AI3,AK3,AL3,AM3,AN3,AO3,AP3,AQ3,AR3,AS3)</f>
        <v xml:space="preserve">  [2] = {["ID"] = 1879326399; ["SAVE_INDEX"] = 4; ["TYPE"] = 7; ["VXP"] = 0; ["LP"] = 0; ["REP"] = 0; ["FACTION"] = 1;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1879326399; </v>
      </c>
      <c r="W3" t="str">
        <f t="shared" ref="W3:W9" si="6">IF(LEN(A3)&gt;0,CONCATENATE("[""ID""] = ",A3,"; "),"")</f>
        <v xml:space="preserve">["ID"] = 1879326399;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4;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IF(M3&gt;0,CONCATENATE("[""TIER""] = ",TEXT(M3,"0"),"; "),"")</f>
        <v/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3";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50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Warrior";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M4">
        <v>1</v>
      </c>
      <c r="N4">
        <v>50</v>
      </c>
      <c r="R4" t="str">
        <f t="shared" si="1"/>
        <v xml:space="preserve">  [3] = {["ID"] = 1879326396; ["TIER"] = 1;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1;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1879326410</v>
      </c>
      <c r="B5">
        <v>2</v>
      </c>
      <c r="C5" t="s">
        <v>141</v>
      </c>
      <c r="D5" t="s">
        <v>154</v>
      </c>
      <c r="G5" t="s">
        <v>153</v>
      </c>
      <c r="K5" t="s">
        <v>152</v>
      </c>
      <c r="L5" t="s">
        <v>151</v>
      </c>
      <c r="M5">
        <v>2</v>
      </c>
      <c r="N5">
        <v>50</v>
      </c>
      <c r="R5" t="str">
        <f t="shared" si="1"/>
        <v xml:space="preserve">  [4] = {["ID"] = 1879326410; ["TIER"] = 2; }; -- Quest of the Court of Anárion -- Tier 1</v>
      </c>
      <c r="S5" s="1" t="str">
        <f t="shared" si="2"/>
        <v xml:space="preserve">  [4] = {["ID"] = 1879326410; ["SAVE_INDEX"] = 2; ["TYPE"] = 7; ["VXP"] = 0; ["LP"] = 0; ["REP"] = 0; ["FACTION"] = 1; ["TIER"] = 2;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1879326410; </v>
      </c>
      <c r="W5" t="str">
        <f t="shared" si="6"/>
        <v xml:space="preserve">["ID"] = 1879326410; </v>
      </c>
      <c r="X5" t="str">
        <f t="shared" si="7"/>
        <v/>
      </c>
      <c r="Y5" s="1" t="str">
        <f t="shared" si="8"/>
        <v xml:space="preserve">["SAVE_INDEX"] = 2;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1";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10 quests for the benefit of the Court of Anárion!"; }; </v>
      </c>
      <c r="AR5" t="str">
        <f t="shared" si="24"/>
        <v xml:space="preserve">["TITLE"] = { ["EN"] = "Gondorian Recruit"; }; </v>
      </c>
      <c r="AS5" t="str">
        <f t="shared" si="25"/>
        <v>};</v>
      </c>
    </row>
    <row r="6" spans="1:45" x14ac:dyDescent="0.25">
      <c r="A6">
        <v>1879326398</v>
      </c>
      <c r="B6">
        <v>7</v>
      </c>
      <c r="C6" t="s">
        <v>146</v>
      </c>
      <c r="D6" t="s">
        <v>154</v>
      </c>
      <c r="G6" t="s">
        <v>164</v>
      </c>
      <c r="K6" t="s">
        <v>165</v>
      </c>
      <c r="L6" t="s">
        <v>159</v>
      </c>
      <c r="N6">
        <v>50</v>
      </c>
      <c r="R6" t="str">
        <f t="shared" si="1"/>
        <v xml:space="preserve">  [5] = {["ID"] = 1879326398; }; -- Quest of the Palace of Eldacar -- Tier 3</v>
      </c>
      <c r="S6" s="1" t="str">
        <f t="shared" si="2"/>
        <v xml:space="preserve">  [5] = {["ID"] = 1879326398; ["SAVE_INDEX"] = 7; ["TYPE"] = 7; ["VXP"] = 0; ["LP"] = 0; ["REP"] = 0; ["FACTION"] = 1;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1879326398; </v>
      </c>
      <c r="W6" t="str">
        <f t="shared" si="6"/>
        <v xml:space="preserve">["ID"] = 1879326398; </v>
      </c>
      <c r="X6" t="str">
        <f t="shared" si="7"/>
        <v/>
      </c>
      <c r="Y6" s="1" t="str">
        <f t="shared" si="8"/>
        <v xml:space="preserve">["SAVE_INDEX"] = 7;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/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3";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80 quests for the benefit of the Palace of Eldacar!"; }; </v>
      </c>
      <c r="AR6" t="str">
        <f t="shared" si="24"/>
        <v xml:space="preserve">["TITLE"] = { ["EN"] = "Shield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M7">
        <v>1</v>
      </c>
      <c r="N7">
        <v>50</v>
      </c>
      <c r="R7" t="str">
        <f t="shared" si="1"/>
        <v xml:space="preserve">  [6] = {["ID"] = 1879326401; ["TIER"] = 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1;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1;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1879326404</v>
      </c>
      <c r="B8">
        <v>5</v>
      </c>
      <c r="C8" t="s">
        <v>144</v>
      </c>
      <c r="D8" t="s">
        <v>154</v>
      </c>
      <c r="G8" t="s">
        <v>160</v>
      </c>
      <c r="K8" t="s">
        <v>161</v>
      </c>
      <c r="L8" t="s">
        <v>159</v>
      </c>
      <c r="M8">
        <v>2</v>
      </c>
      <c r="N8">
        <v>50</v>
      </c>
      <c r="R8" t="str">
        <f t="shared" si="1"/>
        <v xml:space="preserve">  [7] = {["ID"] = 1879326404; ["TIER"] = 2; }; -- Quest of the Palace of Eldacar -- Tier 1</v>
      </c>
      <c r="S8" s="1" t="str">
        <f t="shared" si="2"/>
        <v xml:space="preserve">  [7] = {["ID"] = 1879326404; ["SAVE_INDEX"] = 5; ["TYPE"] = 7; ["VXP"] = 0; ["LP"] = 0; ["REP"] = 0; ["FACTION"] = 1; ["TIER"] = 2;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1879326404; </v>
      </c>
      <c r="W8" t="str">
        <f t="shared" si="6"/>
        <v xml:space="preserve">["ID"] = 1879326404; </v>
      </c>
      <c r="X8" t="str">
        <f t="shared" si="7"/>
        <v/>
      </c>
      <c r="Y8" s="1" t="str">
        <f t="shared" si="8"/>
        <v xml:space="preserve">["SAVE_INDEX"] = 5;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2;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1";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15 quests for the benefit of the Palace of Eldacar!"; }; </v>
      </c>
      <c r="AR8" t="str">
        <f t="shared" si="24"/>
        <v xml:space="preserve">["TITLE"] = { ["EN"] = "Defender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/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2026-03-17T17:25:48Z</dcterms:modified>
</cp:coreProperties>
</file>