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3405BE3B-F258-4AF4-B7A7-ACB27A73D981}" xr6:coauthVersionLast="47" xr6:coauthVersionMax="47" xr10:uidLastSave="{00000000-0000-0000-0000-000000000000}"/>
  <bookViews>
    <workbookView xWindow="195" yWindow="15" windowWidth="21285" windowHeight="14325"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422" i="10" l="1"/>
  <c r="X422" i="10"/>
  <c r="U422" i="10" s="1"/>
  <c r="Y422" i="10"/>
  <c r="Z422" i="10"/>
  <c r="AA422" i="10"/>
  <c r="AB422" i="10"/>
  <c r="AC422" i="10"/>
  <c r="AD422" i="10"/>
  <c r="AE422" i="10"/>
  <c r="AF422" i="10"/>
  <c r="AG422" i="10"/>
  <c r="AH422" i="10"/>
  <c r="AI422" i="10"/>
  <c r="AJ422" i="10"/>
  <c r="AK422" i="10"/>
  <c r="AL422" i="10" s="1"/>
  <c r="AM422" i="10"/>
  <c r="AN422" i="10"/>
  <c r="AO422" i="10"/>
  <c r="AP422" i="10"/>
  <c r="AQ422" i="10"/>
  <c r="AR422" i="10"/>
  <c r="AS422" i="10"/>
  <c r="AT422" i="10"/>
  <c r="AU422" i="10"/>
  <c r="AV422" i="10"/>
  <c r="AW422" i="10"/>
  <c r="W410" i="10"/>
  <c r="X410" i="10" s="1"/>
  <c r="U410" i="10" s="1"/>
  <c r="Y410" i="10"/>
  <c r="Z410" i="10"/>
  <c r="AA410" i="10"/>
  <c r="AB410" i="10"/>
  <c r="AC410" i="10"/>
  <c r="AD410" i="10"/>
  <c r="AE410" i="10"/>
  <c r="AF410" i="10"/>
  <c r="AG410" i="10"/>
  <c r="AH410" i="10" s="1"/>
  <c r="AI410" i="10"/>
  <c r="AJ410" i="10" s="1"/>
  <c r="AK410" i="10"/>
  <c r="AL410" i="10" s="1"/>
  <c r="AM410" i="10"/>
  <c r="AN410" i="10" s="1"/>
  <c r="AO410" i="10"/>
  <c r="AP410" i="10"/>
  <c r="AQ410" i="10"/>
  <c r="AR410" i="10"/>
  <c r="AS410" i="10"/>
  <c r="AT410" i="10"/>
  <c r="AU410" i="10"/>
  <c r="AV410" i="10"/>
  <c r="AW410" i="10"/>
  <c r="W411" i="10"/>
  <c r="X411" i="10" s="1"/>
  <c r="Y411" i="10"/>
  <c r="Z411" i="10"/>
  <c r="AA411" i="10"/>
  <c r="AB411" i="10"/>
  <c r="AC411" i="10"/>
  <c r="AD411" i="10" s="1"/>
  <c r="AE411" i="10"/>
  <c r="AF411" i="10"/>
  <c r="AG411" i="10"/>
  <c r="AH411" i="10" s="1"/>
  <c r="AI411" i="10"/>
  <c r="AJ411" i="10" s="1"/>
  <c r="AK411" i="10"/>
  <c r="AL411" i="10" s="1"/>
  <c r="AM411" i="10"/>
  <c r="AN411" i="10" s="1"/>
  <c r="AO411" i="10"/>
  <c r="AP411" i="10"/>
  <c r="AQ411" i="10"/>
  <c r="AR411" i="10"/>
  <c r="AS411" i="10"/>
  <c r="AT411" i="10"/>
  <c r="AU411" i="10"/>
  <c r="AV411" i="10"/>
  <c r="AW411" i="10"/>
  <c r="W412" i="10"/>
  <c r="X412" i="10" s="1"/>
  <c r="Y412" i="10"/>
  <c r="Z412" i="10"/>
  <c r="AA412" i="10"/>
  <c r="AB412" i="10"/>
  <c r="AC412" i="10"/>
  <c r="AD412" i="10"/>
  <c r="AE412" i="10"/>
  <c r="AF412" i="10"/>
  <c r="AG412" i="10"/>
  <c r="AH412" i="10" s="1"/>
  <c r="AI412" i="10"/>
  <c r="AJ412" i="10" s="1"/>
  <c r="AK412" i="10"/>
  <c r="AL412" i="10"/>
  <c r="AM412" i="10"/>
  <c r="AN412" i="10" s="1"/>
  <c r="AO412" i="10"/>
  <c r="AP412" i="10"/>
  <c r="AQ412" i="10"/>
  <c r="AR412" i="10"/>
  <c r="AS412" i="10"/>
  <c r="AT412" i="10"/>
  <c r="AU412" i="10"/>
  <c r="AV412" i="10"/>
  <c r="AW412" i="10"/>
  <c r="W413" i="10"/>
  <c r="X413" i="10"/>
  <c r="Y413" i="10"/>
  <c r="Z413" i="10"/>
  <c r="AA413" i="10"/>
  <c r="AB413" i="10"/>
  <c r="AC413" i="10"/>
  <c r="AD413" i="10" s="1"/>
  <c r="AE413" i="10"/>
  <c r="AF413" i="10"/>
  <c r="AG413" i="10"/>
  <c r="AH413" i="10"/>
  <c r="AI413" i="10"/>
  <c r="AJ413" i="10" s="1"/>
  <c r="AK413" i="10"/>
  <c r="AL413" i="10" s="1"/>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s="1"/>
  <c r="AI414" i="10"/>
  <c r="AJ414" i="10" s="1"/>
  <c r="AK414" i="10"/>
  <c r="AL414" i="10"/>
  <c r="AM414" i="10"/>
  <c r="AN414" i="10" s="1"/>
  <c r="AO414" i="10"/>
  <c r="AP414" i="10"/>
  <c r="AQ414" i="10"/>
  <c r="AR414" i="10"/>
  <c r="AS414" i="10"/>
  <c r="AT414" i="10"/>
  <c r="AU414" i="10"/>
  <c r="AV414" i="10"/>
  <c r="AW414" i="10"/>
  <c r="W415" i="10"/>
  <c r="X415" i="10"/>
  <c r="Y415" i="10"/>
  <c r="Z415" i="10"/>
  <c r="AA415" i="10"/>
  <c r="AB415" i="10"/>
  <c r="AC415" i="10"/>
  <c r="AD415" i="10" s="1"/>
  <c r="AE415" i="10"/>
  <c r="AF415" i="10"/>
  <c r="AG415" i="10"/>
  <c r="AH415" i="10" s="1"/>
  <c r="AI415" i="10"/>
  <c r="AJ415" i="10" s="1"/>
  <c r="AK415" i="10"/>
  <c r="AL415" i="10"/>
  <c r="AM415" i="10"/>
  <c r="AN415" i="10" s="1"/>
  <c r="AO415" i="10"/>
  <c r="AP415" i="10"/>
  <c r="AQ415" i="10"/>
  <c r="AR415" i="10"/>
  <c r="AS415" i="10"/>
  <c r="AT415" i="10"/>
  <c r="AU415" i="10"/>
  <c r="AV415" i="10"/>
  <c r="AW415" i="10"/>
  <c r="W416" i="10"/>
  <c r="X416" i="10" s="1"/>
  <c r="Y416" i="10"/>
  <c r="Z416" i="10"/>
  <c r="AA416" i="10"/>
  <c r="AB416" i="10"/>
  <c r="AC416" i="10"/>
  <c r="AD416" i="10" s="1"/>
  <c r="AE416" i="10"/>
  <c r="AF416" i="10"/>
  <c r="AG416" i="10"/>
  <c r="AH416" i="10" s="1"/>
  <c r="AI416" i="10"/>
  <c r="AJ416" i="10" s="1"/>
  <c r="AK416" i="10"/>
  <c r="AL416" i="10" s="1"/>
  <c r="AM416" i="10"/>
  <c r="AN416" i="10" s="1"/>
  <c r="AO416" i="10"/>
  <c r="AP416" i="10"/>
  <c r="AQ416" i="10"/>
  <c r="AR416" i="10"/>
  <c r="AS416" i="10"/>
  <c r="AT416" i="10"/>
  <c r="AU416" i="10"/>
  <c r="AV416" i="10"/>
  <c r="AW416" i="10"/>
  <c r="W417" i="10"/>
  <c r="X417" i="10" s="1"/>
  <c r="U417" i="10" s="1"/>
  <c r="Y417" i="10"/>
  <c r="Z417" i="10"/>
  <c r="AA417" i="10"/>
  <c r="AB417" i="10"/>
  <c r="AC417" i="10"/>
  <c r="AD417" i="10" s="1"/>
  <c r="AE417" i="10"/>
  <c r="AF417" i="10"/>
  <c r="AG417" i="10"/>
  <c r="AH417" i="10" s="1"/>
  <c r="AI417" i="10"/>
  <c r="AJ417" i="10"/>
  <c r="AK417" i="10"/>
  <c r="AL417" i="10"/>
  <c r="AM417" i="10"/>
  <c r="AN417" i="10" s="1"/>
  <c r="AO417" i="10"/>
  <c r="AP417" i="10"/>
  <c r="AQ417" i="10"/>
  <c r="AR417" i="10"/>
  <c r="AS417" i="10"/>
  <c r="AT417" i="10"/>
  <c r="AU417" i="10"/>
  <c r="AV417" i="10"/>
  <c r="AW417" i="10"/>
  <c r="W418" i="10"/>
  <c r="X418" i="10"/>
  <c r="Y418" i="10"/>
  <c r="Z418" i="10"/>
  <c r="AA418" i="10"/>
  <c r="AB418" i="10"/>
  <c r="AC418" i="10"/>
  <c r="AD418" i="10" s="1"/>
  <c r="AE418" i="10"/>
  <c r="AF418" i="10"/>
  <c r="AG418" i="10"/>
  <c r="AH418" i="10" s="1"/>
  <c r="AI418" i="10"/>
  <c r="AJ418" i="10" s="1"/>
  <c r="AK418" i="10"/>
  <c r="AL418" i="10"/>
  <c r="AM418" i="10"/>
  <c r="AN418" i="10"/>
  <c r="AO418" i="10"/>
  <c r="AP418" i="10"/>
  <c r="AQ418" i="10"/>
  <c r="AR418" i="10"/>
  <c r="AS418" i="10"/>
  <c r="AT418" i="10"/>
  <c r="AU418" i="10"/>
  <c r="AV418" i="10"/>
  <c r="AW418" i="10"/>
  <c r="W419" i="10"/>
  <c r="X419" i="10" s="1"/>
  <c r="Y419" i="10"/>
  <c r="Z419" i="10"/>
  <c r="AA419" i="10"/>
  <c r="AB419" i="10"/>
  <c r="AC419" i="10"/>
  <c r="AD419" i="10" s="1"/>
  <c r="AE419" i="10"/>
  <c r="AF419" i="10"/>
  <c r="AG419" i="10"/>
  <c r="AH419" i="10"/>
  <c r="AI419" i="10"/>
  <c r="AJ419" i="10" s="1"/>
  <c r="AK419" i="10"/>
  <c r="AL419" i="10" s="1"/>
  <c r="AM419" i="10"/>
  <c r="AN419" i="10" s="1"/>
  <c r="AO419" i="10"/>
  <c r="AP419" i="10"/>
  <c r="AQ419" i="10"/>
  <c r="AR419" i="10"/>
  <c r="AS419" i="10"/>
  <c r="AT419" i="10"/>
  <c r="AU419" i="10"/>
  <c r="AV419" i="10"/>
  <c r="AW419" i="10"/>
  <c r="W420" i="10"/>
  <c r="X420" i="10"/>
  <c r="Y420" i="10"/>
  <c r="Z420" i="10"/>
  <c r="AA420" i="10"/>
  <c r="AB420" i="10"/>
  <c r="AC420" i="10"/>
  <c r="AD420" i="10" s="1"/>
  <c r="AE420" i="10"/>
  <c r="AF420" i="10"/>
  <c r="AG420" i="10"/>
  <c r="AH420" i="10" s="1"/>
  <c r="AI420" i="10"/>
  <c r="AJ420" i="10" s="1"/>
  <c r="AK420" i="10"/>
  <c r="AL420" i="10"/>
  <c r="AM420" i="10"/>
  <c r="AN420" i="10" s="1"/>
  <c r="AO420" i="10"/>
  <c r="AP420" i="10"/>
  <c r="AQ420" i="10"/>
  <c r="AR420" i="10"/>
  <c r="AS420" i="10"/>
  <c r="AT420" i="10"/>
  <c r="AU420" i="10"/>
  <c r="AV420" i="10"/>
  <c r="AW420" i="10"/>
  <c r="W421" i="10"/>
  <c r="X421" i="10" s="1"/>
  <c r="V421" i="10" s="1"/>
  <c r="Y421" i="10"/>
  <c r="Z421" i="10"/>
  <c r="AA421" i="10"/>
  <c r="AB421" i="10"/>
  <c r="AC421" i="10"/>
  <c r="AD421" i="10"/>
  <c r="AE421" i="10"/>
  <c r="AF421" i="10"/>
  <c r="AG421" i="10"/>
  <c r="AH421" i="10"/>
  <c r="AI421" i="10"/>
  <c r="AJ421" i="10" s="1"/>
  <c r="AK421" i="10"/>
  <c r="AL421" i="10" s="1"/>
  <c r="AM421" i="10"/>
  <c r="AN421" i="10"/>
  <c r="AO421" i="10"/>
  <c r="AP421" i="10"/>
  <c r="AQ421" i="10"/>
  <c r="AR421" i="10"/>
  <c r="AS421" i="10"/>
  <c r="AT421" i="10"/>
  <c r="AU421" i="10"/>
  <c r="AV421" i="10"/>
  <c r="AW421" i="10"/>
  <c r="W423" i="10"/>
  <c r="X423" i="10" s="1"/>
  <c r="Y423" i="10"/>
  <c r="Z423" i="10"/>
  <c r="AA423" i="10"/>
  <c r="AB423" i="10"/>
  <c r="AC423" i="10"/>
  <c r="AD423" i="10"/>
  <c r="AE423" i="10"/>
  <c r="AF423" i="10"/>
  <c r="AG423" i="10"/>
  <c r="AH423" i="10" s="1"/>
  <c r="AI423" i="10"/>
  <c r="AJ423" i="10"/>
  <c r="AK423" i="10"/>
  <c r="AL423" i="10" s="1"/>
  <c r="AM423" i="10"/>
  <c r="AN423" i="10"/>
  <c r="AO423" i="10"/>
  <c r="AP423" i="10"/>
  <c r="AQ423" i="10"/>
  <c r="AR423" i="10"/>
  <c r="AS423" i="10"/>
  <c r="AT423" i="10"/>
  <c r="AU423" i="10"/>
  <c r="AV423" i="10"/>
  <c r="AW423" i="10"/>
  <c r="W424" i="10"/>
  <c r="X424" i="10" s="1"/>
  <c r="U424" i="10" s="1"/>
  <c r="Y424" i="10"/>
  <c r="Z424" i="10"/>
  <c r="AA424" i="10"/>
  <c r="AB424" i="10"/>
  <c r="AC424" i="10"/>
  <c r="AD424" i="10" s="1"/>
  <c r="AE424" i="10"/>
  <c r="AF424" i="10"/>
  <c r="AG424" i="10"/>
  <c r="AH424" i="10" s="1"/>
  <c r="AI424" i="10"/>
  <c r="AJ424" i="10" s="1"/>
  <c r="AK424" i="10"/>
  <c r="AL424" i="10" s="1"/>
  <c r="AM424" i="10"/>
  <c r="AN424" i="10"/>
  <c r="AO424" i="10"/>
  <c r="AP424" i="10"/>
  <c r="AQ424" i="10"/>
  <c r="AR424" i="10"/>
  <c r="AS424" i="10"/>
  <c r="AT424" i="10"/>
  <c r="AU424" i="10"/>
  <c r="AV424" i="10"/>
  <c r="AW424" i="10"/>
  <c r="T3" i="10"/>
  <c r="W3" i="10"/>
  <c r="X3" i="10" s="1"/>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T4" i="10"/>
  <c r="W4" i="10"/>
  <c r="X4" i="10" s="1"/>
  <c r="U4" i="10" s="1"/>
  <c r="Y4" i="10"/>
  <c r="Z4" i="10"/>
  <c r="AA4" i="10"/>
  <c r="AB4" i="10"/>
  <c r="AC4" i="10"/>
  <c r="AD4" i="10" s="1"/>
  <c r="AE4" i="10"/>
  <c r="AF4" i="10"/>
  <c r="AG4" i="10"/>
  <c r="AH4" i="10"/>
  <c r="AI4" i="10"/>
  <c r="AJ4" i="10" s="1"/>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s="1"/>
  <c r="AM5" i="10"/>
  <c r="AN5" i="10" s="1"/>
  <c r="AO5" i="10"/>
  <c r="AP5" i="10"/>
  <c r="AQ5" i="10"/>
  <c r="AR5" i="10"/>
  <c r="AS5" i="10"/>
  <c r="AT5" i="10"/>
  <c r="AU5" i="10"/>
  <c r="AV5" i="10"/>
  <c r="AW5" i="10"/>
  <c r="T6" i="10"/>
  <c r="W6" i="10"/>
  <c r="X6" i="10" s="1"/>
  <c r="Y6" i="10"/>
  <c r="Z6" i="10"/>
  <c r="AA6" i="10"/>
  <c r="AB6" i="10"/>
  <c r="AC6" i="10"/>
  <c r="AD6" i="10" s="1"/>
  <c r="AE6" i="10"/>
  <c r="AF6" i="10"/>
  <c r="AG6" i="10"/>
  <c r="AH6" i="10" s="1"/>
  <c r="AI6" i="10"/>
  <c r="AJ6" i="10" s="1"/>
  <c r="AK6" i="10"/>
  <c r="AL6" i="10" s="1"/>
  <c r="AM6" i="10"/>
  <c r="AN6" i="10" s="1"/>
  <c r="AO6" i="10"/>
  <c r="AP6" i="10"/>
  <c r="AQ6" i="10"/>
  <c r="AR6" i="10"/>
  <c r="AS6" i="10"/>
  <c r="AT6" i="10"/>
  <c r="AU6" i="10"/>
  <c r="AV6" i="10"/>
  <c r="AW6" i="10"/>
  <c r="T7" i="10"/>
  <c r="W7" i="10"/>
  <c r="X7" i="10" s="1"/>
  <c r="Y7" i="10"/>
  <c r="Z7" i="10"/>
  <c r="AA7" i="10"/>
  <c r="AB7" i="10"/>
  <c r="AC7" i="10"/>
  <c r="AD7" i="10" s="1"/>
  <c r="AE7" i="10"/>
  <c r="AF7" i="10"/>
  <c r="AG7" i="10"/>
  <c r="AH7" i="10" s="1"/>
  <c r="AI7" i="10"/>
  <c r="AJ7" i="10"/>
  <c r="AK7" i="10"/>
  <c r="AL7" i="10" s="1"/>
  <c r="AM7" i="10"/>
  <c r="AN7" i="10" s="1"/>
  <c r="AO7" i="10"/>
  <c r="AP7" i="10"/>
  <c r="AQ7" i="10"/>
  <c r="AR7" i="10"/>
  <c r="AS7" i="10"/>
  <c r="AT7" i="10"/>
  <c r="AU7" i="10"/>
  <c r="AV7" i="10"/>
  <c r="AW7" i="10"/>
  <c r="T8" i="10"/>
  <c r="W8" i="10"/>
  <c r="X8" i="10" s="1"/>
  <c r="Y8" i="10"/>
  <c r="Z8" i="10"/>
  <c r="AA8" i="10"/>
  <c r="AB8" i="10"/>
  <c r="AC8" i="10"/>
  <c r="AD8" i="10" s="1"/>
  <c r="AE8" i="10"/>
  <c r="AF8" i="10"/>
  <c r="AG8" i="10"/>
  <c r="AH8" i="10" s="1"/>
  <c r="AI8" i="10"/>
  <c r="AJ8" i="10" s="1"/>
  <c r="AK8" i="10"/>
  <c r="AL8" i="10" s="1"/>
  <c r="AM8" i="10"/>
  <c r="AN8" i="10" s="1"/>
  <c r="AO8" i="10"/>
  <c r="AP8" i="10"/>
  <c r="AQ8" i="10"/>
  <c r="AR8" i="10"/>
  <c r="AS8" i="10"/>
  <c r="AT8" i="10"/>
  <c r="AU8" i="10"/>
  <c r="AV8" i="10"/>
  <c r="AW8" i="10"/>
  <c r="T9" i="10"/>
  <c r="W9" i="10"/>
  <c r="X9" i="10" s="1"/>
  <c r="Y9" i="10"/>
  <c r="Z9" i="10"/>
  <c r="AA9" i="10"/>
  <c r="AB9" i="10"/>
  <c r="AC9" i="10"/>
  <c r="AD9" i="10" s="1"/>
  <c r="AE9" i="10"/>
  <c r="AF9" i="10"/>
  <c r="AG9" i="10"/>
  <c r="AH9" i="10" s="1"/>
  <c r="AI9" i="10"/>
  <c r="AJ9" i="10"/>
  <c r="AK9" i="10"/>
  <c r="AL9" i="10" s="1"/>
  <c r="AM9" i="10"/>
  <c r="AN9" i="10" s="1"/>
  <c r="AO9" i="10"/>
  <c r="AP9" i="10"/>
  <c r="AQ9" i="10"/>
  <c r="AR9" i="10"/>
  <c r="AS9" i="10"/>
  <c r="AT9" i="10"/>
  <c r="AU9" i="10"/>
  <c r="AV9" i="10"/>
  <c r="AW9" i="10"/>
  <c r="T10" i="10"/>
  <c r="W10" i="10"/>
  <c r="X10" i="10" s="1"/>
  <c r="Y10" i="10"/>
  <c r="Z10" i="10"/>
  <c r="AA10" i="10"/>
  <c r="AB10" i="10"/>
  <c r="AC10" i="10"/>
  <c r="AD10" i="10" s="1"/>
  <c r="AE10" i="10"/>
  <c r="AF10" i="10"/>
  <c r="AG10" i="10"/>
  <c r="AH10" i="10" s="1"/>
  <c r="AI10" i="10"/>
  <c r="AJ10" i="10"/>
  <c r="AK10" i="10"/>
  <c r="AL10" i="10" s="1"/>
  <c r="AM10" i="10"/>
  <c r="AN10" i="10"/>
  <c r="AO10" i="10"/>
  <c r="AP10" i="10"/>
  <c r="AQ10" i="10"/>
  <c r="AR10" i="10"/>
  <c r="AS10" i="10"/>
  <c r="AT10" i="10"/>
  <c r="AU10" i="10"/>
  <c r="AV10" i="10"/>
  <c r="AW10" i="10"/>
  <c r="T11" i="10"/>
  <c r="W11" i="10"/>
  <c r="X11" i="10" s="1"/>
  <c r="Y11" i="10"/>
  <c r="Z11" i="10"/>
  <c r="AA11" i="10"/>
  <c r="AB11" i="10"/>
  <c r="AC11" i="10"/>
  <c r="AD11" i="10" s="1"/>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c r="AK12" i="10"/>
  <c r="AL12" i="10" s="1"/>
  <c r="AM12" i="10"/>
  <c r="AN12" i="10"/>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s="1"/>
  <c r="AM13" i="10"/>
  <c r="AN13" i="10" s="1"/>
  <c r="AO13" i="10"/>
  <c r="AP13" i="10"/>
  <c r="AQ13" i="10"/>
  <c r="AR13" i="10"/>
  <c r="AS13" i="10"/>
  <c r="AT13" i="10"/>
  <c r="AU13" i="10"/>
  <c r="AV13" i="10"/>
  <c r="AW13" i="10"/>
  <c r="T14" i="10"/>
  <c r="W14" i="10"/>
  <c r="X14" i="10" s="1"/>
  <c r="Y14" i="10"/>
  <c r="Z14" i="10"/>
  <c r="AA14" i="10"/>
  <c r="AB14" i="10"/>
  <c r="AC14" i="10"/>
  <c r="AD14" i="10" s="1"/>
  <c r="AE14" i="10"/>
  <c r="AF14" i="10"/>
  <c r="AG14" i="10"/>
  <c r="AH14" i="10" s="1"/>
  <c r="AI14" i="10"/>
  <c r="AJ14" i="10" s="1"/>
  <c r="AK14" i="10"/>
  <c r="AL14" i="10"/>
  <c r="AM14" i="10"/>
  <c r="AN14" i="10" s="1"/>
  <c r="AO14" i="10"/>
  <c r="AP14" i="10"/>
  <c r="AQ14" i="10"/>
  <c r="AR14" i="10"/>
  <c r="AS14" i="10"/>
  <c r="AT14" i="10"/>
  <c r="AU14" i="10"/>
  <c r="AV14" i="10"/>
  <c r="AW14" i="10"/>
  <c r="T15" i="10"/>
  <c r="W15" i="10"/>
  <c r="X15" i="10"/>
  <c r="Y15" i="10"/>
  <c r="Z15" i="10"/>
  <c r="AA15" i="10"/>
  <c r="AB15" i="10"/>
  <c r="AC15" i="10"/>
  <c r="AD15" i="10" s="1"/>
  <c r="AE15" i="10"/>
  <c r="AF15" i="10"/>
  <c r="AG15" i="10"/>
  <c r="AH15" i="10"/>
  <c r="AI15" i="10"/>
  <c r="AJ15" i="10" s="1"/>
  <c r="AK15" i="10"/>
  <c r="AL15" i="10" s="1"/>
  <c r="AM15" i="10"/>
  <c r="AN15" i="10" s="1"/>
  <c r="AO15" i="10"/>
  <c r="AP15" i="10"/>
  <c r="AQ15" i="10"/>
  <c r="AR15" i="10"/>
  <c r="AS15" i="10"/>
  <c r="AT15" i="10"/>
  <c r="AU15" i="10"/>
  <c r="AV15" i="10"/>
  <c r="AW15" i="10"/>
  <c r="T16" i="10"/>
  <c r="W16" i="10"/>
  <c r="X16" i="10" s="1"/>
  <c r="Y16" i="10"/>
  <c r="Z16" i="10"/>
  <c r="AA16" i="10"/>
  <c r="AB16" i="10"/>
  <c r="AC16" i="10"/>
  <c r="AD16" i="10" s="1"/>
  <c r="AE16" i="10"/>
  <c r="AF16" i="10"/>
  <c r="AG16" i="10"/>
  <c r="AH16" i="10"/>
  <c r="AI16" i="10"/>
  <c r="AJ16" i="10" s="1"/>
  <c r="AK16" i="10"/>
  <c r="AL16" i="10" s="1"/>
  <c r="AM16" i="10"/>
  <c r="AN16" i="10" s="1"/>
  <c r="AO16" i="10"/>
  <c r="AP16" i="10"/>
  <c r="AQ16" i="10"/>
  <c r="AR16" i="10"/>
  <c r="AS16" i="10"/>
  <c r="AT16" i="10"/>
  <c r="AU16" i="10"/>
  <c r="AV16" i="10"/>
  <c r="AW16" i="10"/>
  <c r="T17" i="10"/>
  <c r="W17" i="10"/>
  <c r="X17" i="10"/>
  <c r="Y17" i="10"/>
  <c r="Z17" i="10"/>
  <c r="AA17" i="10"/>
  <c r="AB17" i="10"/>
  <c r="AC17" i="10"/>
  <c r="AD17" i="10" s="1"/>
  <c r="AE17" i="10"/>
  <c r="AF17" i="10"/>
  <c r="AG17" i="10"/>
  <c r="AH17" i="10"/>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s="1"/>
  <c r="AE18" i="10"/>
  <c r="AF18" i="10"/>
  <c r="AG18" i="10"/>
  <c r="AH18" i="10" s="1"/>
  <c r="AI18" i="10"/>
  <c r="AJ18" i="10"/>
  <c r="AK18" i="10"/>
  <c r="AL18" i="10" s="1"/>
  <c r="AM18" i="10"/>
  <c r="AN18" i="10"/>
  <c r="AO18" i="10"/>
  <c r="AP18" i="10"/>
  <c r="AQ18" i="10"/>
  <c r="AR18" i="10"/>
  <c r="AS18" i="10"/>
  <c r="AT18" i="10"/>
  <c r="AU18" i="10"/>
  <c r="AV18" i="10"/>
  <c r="AW18" i="10"/>
  <c r="T19" i="10"/>
  <c r="W19" i="10"/>
  <c r="X19" i="10"/>
  <c r="Y19" i="10"/>
  <c r="Z19" i="10"/>
  <c r="AA19" i="10"/>
  <c r="AB19" i="10"/>
  <c r="AC19" i="10"/>
  <c r="AD19" i="10" s="1"/>
  <c r="AE19" i="10"/>
  <c r="AF19" i="10"/>
  <c r="AG19" i="10"/>
  <c r="AH19" i="10" s="1"/>
  <c r="AI19" i="10"/>
  <c r="AJ19" i="10" s="1"/>
  <c r="AK19" i="10"/>
  <c r="AL19" i="10"/>
  <c r="AM19" i="10"/>
  <c r="AN19" i="10" s="1"/>
  <c r="AO19" i="10"/>
  <c r="AP19" i="10"/>
  <c r="AQ19" i="10"/>
  <c r="AR19" i="10"/>
  <c r="AS19" i="10"/>
  <c r="AT19" i="10"/>
  <c r="AU19" i="10"/>
  <c r="AV19" i="10"/>
  <c r="AW19" i="10"/>
  <c r="T20" i="10"/>
  <c r="W20" i="10"/>
  <c r="X20" i="10"/>
  <c r="Y20" i="10"/>
  <c r="Z20" i="10"/>
  <c r="AA20" i="10"/>
  <c r="AB20" i="10"/>
  <c r="AC20" i="10"/>
  <c r="AD20" i="10" s="1"/>
  <c r="AE20" i="10"/>
  <c r="AF20" i="10"/>
  <c r="AG20" i="10"/>
  <c r="AH20" i="10" s="1"/>
  <c r="AI20" i="10"/>
  <c r="AJ20" i="10" s="1"/>
  <c r="AK20" i="10"/>
  <c r="AL20" i="10" s="1"/>
  <c r="AM20" i="10"/>
  <c r="AN20" i="10"/>
  <c r="AO20" i="10"/>
  <c r="AP20" i="10"/>
  <c r="AQ20" i="10"/>
  <c r="AR20" i="10"/>
  <c r="AS20" i="10"/>
  <c r="AT20" i="10"/>
  <c r="AU20" i="10"/>
  <c r="AV20" i="10"/>
  <c r="AW20" i="10"/>
  <c r="T21" i="10"/>
  <c r="W21" i="10"/>
  <c r="X21" i="10" s="1"/>
  <c r="Y21" i="10"/>
  <c r="Z21" i="10"/>
  <c r="AA21" i="10"/>
  <c r="AB21" i="10"/>
  <c r="AC21" i="10"/>
  <c r="AD21" i="10" s="1"/>
  <c r="AE21" i="10"/>
  <c r="AF21" i="10"/>
  <c r="AG21" i="10"/>
  <c r="AH21" i="10" s="1"/>
  <c r="AI21" i="10"/>
  <c r="AJ21" i="10" s="1"/>
  <c r="AK21" i="10"/>
  <c r="AL21" i="10" s="1"/>
  <c r="AM21" i="10"/>
  <c r="AN21" i="10" s="1"/>
  <c r="AO21" i="10"/>
  <c r="AP21" i="10"/>
  <c r="AQ21" i="10"/>
  <c r="AR21" i="10"/>
  <c r="AS21" i="10"/>
  <c r="AT21" i="10"/>
  <c r="AU21" i="10"/>
  <c r="AV21" i="10"/>
  <c r="AW21" i="10"/>
  <c r="T22" i="10"/>
  <c r="W22" i="10"/>
  <c r="X22" i="10" s="1"/>
  <c r="Y22" i="10"/>
  <c r="Z22" i="10"/>
  <c r="AA22" i="10"/>
  <c r="AB22" i="10"/>
  <c r="AC22" i="10"/>
  <c r="AD22" i="10"/>
  <c r="AE22" i="10"/>
  <c r="AF22" i="10"/>
  <c r="AG22" i="10"/>
  <c r="AH22" i="10" s="1"/>
  <c r="AI22" i="10"/>
  <c r="AJ22" i="10" s="1"/>
  <c r="AK22" i="10"/>
  <c r="AL22" i="10" s="1"/>
  <c r="AM22" i="10"/>
  <c r="AN22" i="10" s="1"/>
  <c r="AO22" i="10"/>
  <c r="AP22" i="10"/>
  <c r="AQ22" i="10"/>
  <c r="AR22" i="10"/>
  <c r="AS22" i="10"/>
  <c r="AT22" i="10"/>
  <c r="AU22" i="10"/>
  <c r="AV22" i="10"/>
  <c r="AW22" i="10"/>
  <c r="T23" i="10"/>
  <c r="W23" i="10"/>
  <c r="X23" i="10" s="1"/>
  <c r="Y23" i="10"/>
  <c r="Z23" i="10"/>
  <c r="AA23" i="10"/>
  <c r="AB23" i="10"/>
  <c r="AC23" i="10"/>
  <c r="AD23" i="10" s="1"/>
  <c r="AE23" i="10"/>
  <c r="AF23" i="10"/>
  <c r="AG23" i="10"/>
  <c r="AH23" i="10" s="1"/>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c r="AI24" i="10"/>
  <c r="AJ24" i="10" s="1"/>
  <c r="AK24" i="10"/>
  <c r="AL24" i="10"/>
  <c r="AM24" i="10"/>
  <c r="AN24" i="10" s="1"/>
  <c r="AO24" i="10"/>
  <c r="AP24" i="10"/>
  <c r="AQ24" i="10"/>
  <c r="AR24" i="10"/>
  <c r="AS24" i="10"/>
  <c r="AT24" i="10"/>
  <c r="AU24" i="10"/>
  <c r="AV24" i="10"/>
  <c r="AW24" i="10"/>
  <c r="T25" i="10"/>
  <c r="W25" i="10"/>
  <c r="X25" i="10" s="1"/>
  <c r="Y25" i="10"/>
  <c r="Z25" i="10"/>
  <c r="AA25" i="10"/>
  <c r="AB25" i="10"/>
  <c r="AC25" i="10"/>
  <c r="AD25" i="10" s="1"/>
  <c r="AE25" i="10"/>
  <c r="AF25" i="10"/>
  <c r="AG25" i="10"/>
  <c r="AH25" i="10" s="1"/>
  <c r="AI25" i="10"/>
  <c r="AJ25" i="10"/>
  <c r="AK25" i="10"/>
  <c r="AL25" i="10" s="1"/>
  <c r="AM25" i="10"/>
  <c r="AN25" i="10"/>
  <c r="AO25" i="10"/>
  <c r="AP25" i="10"/>
  <c r="AQ25" i="10"/>
  <c r="AR25" i="10"/>
  <c r="AS25" i="10"/>
  <c r="AT25" i="10"/>
  <c r="AU25" i="10"/>
  <c r="AV25" i="10"/>
  <c r="AW25" i="10"/>
  <c r="T26" i="10"/>
  <c r="W26" i="10"/>
  <c r="X26" i="10" s="1"/>
  <c r="Y26" i="10"/>
  <c r="Z26" i="10"/>
  <c r="AA26" i="10"/>
  <c r="AB26" i="10"/>
  <c r="AC26" i="10"/>
  <c r="AD26" i="10" s="1"/>
  <c r="AE26" i="10"/>
  <c r="AF26" i="10"/>
  <c r="AG26" i="10"/>
  <c r="AH26" i="10" s="1"/>
  <c r="AI26" i="10"/>
  <c r="AJ26" i="10" s="1"/>
  <c r="AK26" i="10"/>
  <c r="AL26" i="10" s="1"/>
  <c r="AM26" i="10"/>
  <c r="AN26" i="10" s="1"/>
  <c r="AO26" i="10"/>
  <c r="AP26" i="10"/>
  <c r="AQ26" i="10"/>
  <c r="AR26" i="10"/>
  <c r="AS26" i="10"/>
  <c r="AT26" i="10"/>
  <c r="AU26" i="10"/>
  <c r="AV26" i="10"/>
  <c r="AW26" i="10"/>
  <c r="T27" i="10"/>
  <c r="W27" i="10"/>
  <c r="X27" i="10" s="1"/>
  <c r="Y27" i="10"/>
  <c r="Z27" i="10"/>
  <c r="AA27" i="10"/>
  <c r="AB27" i="10"/>
  <c r="AC27" i="10"/>
  <c r="AD27" i="10" s="1"/>
  <c r="AE27" i="10"/>
  <c r="AF27" i="10"/>
  <c r="AG27" i="10"/>
  <c r="AH27" i="10" s="1"/>
  <c r="AI27" i="10"/>
  <c r="AJ27" i="10" s="1"/>
  <c r="AK27" i="10"/>
  <c r="AL27" i="10" s="1"/>
  <c r="AM27" i="10"/>
  <c r="AN27" i="10"/>
  <c r="AO27" i="10"/>
  <c r="AP27" i="10"/>
  <c r="AQ27" i="10"/>
  <c r="AR27" i="10"/>
  <c r="AS27" i="10"/>
  <c r="AT27" i="10"/>
  <c r="AU27" i="10"/>
  <c r="AV27" i="10"/>
  <c r="AW27" i="10"/>
  <c r="T28" i="10"/>
  <c r="W28" i="10"/>
  <c r="X28" i="10"/>
  <c r="Y28" i="10"/>
  <c r="Z28" i="10"/>
  <c r="AA28" i="10"/>
  <c r="AB28" i="10"/>
  <c r="AC28" i="10"/>
  <c r="AD28" i="10" s="1"/>
  <c r="AE28" i="10"/>
  <c r="AF28" i="10"/>
  <c r="AG28" i="10"/>
  <c r="AH28" i="10" s="1"/>
  <c r="AI28" i="10"/>
  <c r="AJ28" i="10" s="1"/>
  <c r="AK28" i="10"/>
  <c r="AL28" i="10" s="1"/>
  <c r="AM28" i="10"/>
  <c r="AN28" i="10" s="1"/>
  <c r="AO28" i="10"/>
  <c r="AP28" i="10"/>
  <c r="AQ28" i="10"/>
  <c r="AR28" i="10"/>
  <c r="AS28" i="10"/>
  <c r="AT28" i="10"/>
  <c r="AU28" i="10"/>
  <c r="AV28" i="10"/>
  <c r="AW28" i="10"/>
  <c r="T29" i="10"/>
  <c r="W29" i="10"/>
  <c r="X29" i="10" s="1"/>
  <c r="Y29" i="10"/>
  <c r="Z29" i="10"/>
  <c r="AA29" i="10"/>
  <c r="AB29" i="10"/>
  <c r="AC29" i="10"/>
  <c r="AD29" i="10" s="1"/>
  <c r="AE29" i="10"/>
  <c r="AF29" i="10"/>
  <c r="AG29" i="10"/>
  <c r="AH29" i="10" s="1"/>
  <c r="AI29" i="10"/>
  <c r="AJ29" i="10" s="1"/>
  <c r="AK29" i="10"/>
  <c r="AL29" i="10" s="1"/>
  <c r="AM29" i="10"/>
  <c r="AN29" i="10" s="1"/>
  <c r="AO29" i="10"/>
  <c r="AP29" i="10"/>
  <c r="AQ29" i="10"/>
  <c r="AR29" i="10"/>
  <c r="AS29" i="10"/>
  <c r="AT29" i="10"/>
  <c r="AU29" i="10"/>
  <c r="AV29" i="10"/>
  <c r="AW29" i="10"/>
  <c r="T30" i="10"/>
  <c r="W30" i="10"/>
  <c r="X30" i="10" s="1"/>
  <c r="Y30" i="10"/>
  <c r="Z30" i="10"/>
  <c r="AA30" i="10"/>
  <c r="AB30" i="10"/>
  <c r="AC30" i="10"/>
  <c r="AD30" i="10" s="1"/>
  <c r="AE30" i="10"/>
  <c r="AF30" i="10"/>
  <c r="AG30" i="10"/>
  <c r="AH30" i="10" s="1"/>
  <c r="AI30" i="10"/>
  <c r="AJ30" i="10" s="1"/>
  <c r="AK30" i="10"/>
  <c r="AL30" i="10" s="1"/>
  <c r="AM30" i="10"/>
  <c r="AN30" i="10" s="1"/>
  <c r="AO30" i="10"/>
  <c r="AP30" i="10"/>
  <c r="AQ30" i="10"/>
  <c r="AR30" i="10"/>
  <c r="AS30" i="10"/>
  <c r="AT30" i="10"/>
  <c r="AU30" i="10"/>
  <c r="AV30" i="10"/>
  <c r="AW30" i="10"/>
  <c r="T31" i="10"/>
  <c r="W31" i="10"/>
  <c r="X31" i="10" s="1"/>
  <c r="Y31" i="10"/>
  <c r="Z31" i="10"/>
  <c r="AA31" i="10"/>
  <c r="AB31" i="10"/>
  <c r="AC31" i="10"/>
  <c r="AD31" i="10" s="1"/>
  <c r="AE31" i="10"/>
  <c r="AF31" i="10"/>
  <c r="AG31" i="10"/>
  <c r="AH31" i="10" s="1"/>
  <c r="AI31" i="10"/>
  <c r="AJ31" i="10"/>
  <c r="AK31" i="10"/>
  <c r="AL31" i="10" s="1"/>
  <c r="AM31" i="10"/>
  <c r="AN31" i="10" s="1"/>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s="1"/>
  <c r="AM32" i="10"/>
  <c r="AN32" i="10"/>
  <c r="AO32" i="10"/>
  <c r="AP32" i="10"/>
  <c r="AQ32" i="10"/>
  <c r="AR32" i="10"/>
  <c r="AS32" i="10"/>
  <c r="AT32" i="10"/>
  <c r="AU32" i="10"/>
  <c r="AV32" i="10"/>
  <c r="AW32" i="10"/>
  <c r="T33" i="10"/>
  <c r="W33" i="10"/>
  <c r="X33" i="10" s="1"/>
  <c r="Y33" i="10"/>
  <c r="Z33" i="10"/>
  <c r="AA33" i="10"/>
  <c r="AB33" i="10"/>
  <c r="AC33" i="10"/>
  <c r="AD33" i="10" s="1"/>
  <c r="AE33" i="10"/>
  <c r="AF33" i="10"/>
  <c r="AG33" i="10"/>
  <c r="AH33" i="10" s="1"/>
  <c r="AI33" i="10"/>
  <c r="AJ33" i="10" s="1"/>
  <c r="AK33" i="10"/>
  <c r="AL33" i="10" s="1"/>
  <c r="AM33" i="10"/>
  <c r="AN33" i="10" s="1"/>
  <c r="AO33" i="10"/>
  <c r="AP33" i="10"/>
  <c r="AQ33" i="10"/>
  <c r="AR33" i="10"/>
  <c r="AS33" i="10"/>
  <c r="AT33" i="10"/>
  <c r="AU33" i="10"/>
  <c r="AV33" i="10"/>
  <c r="AW33" i="10"/>
  <c r="T34" i="10"/>
  <c r="W34" i="10"/>
  <c r="X34" i="10" s="1"/>
  <c r="Y34" i="10"/>
  <c r="Z34" i="10"/>
  <c r="AA34" i="10"/>
  <c r="AB34" i="10"/>
  <c r="AC34" i="10"/>
  <c r="AD34" i="10" s="1"/>
  <c r="AE34" i="10"/>
  <c r="AF34" i="10"/>
  <c r="AG34" i="10"/>
  <c r="AH34" i="10" s="1"/>
  <c r="AI34" i="10"/>
  <c r="AJ34" i="10" s="1"/>
  <c r="AK34" i="10"/>
  <c r="AL34" i="10" s="1"/>
  <c r="AM34" i="10"/>
  <c r="AN34" i="10" s="1"/>
  <c r="AO34" i="10"/>
  <c r="AP34" i="10"/>
  <c r="AQ34" i="10"/>
  <c r="AR34" i="10"/>
  <c r="AS34" i="10"/>
  <c r="AT34" i="10"/>
  <c r="AU34" i="10"/>
  <c r="AV34" i="10"/>
  <c r="AW34" i="10"/>
  <c r="T35" i="10"/>
  <c r="W35" i="10"/>
  <c r="X35" i="10" s="1"/>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T36" i="10"/>
  <c r="W36" i="10"/>
  <c r="X36" i="10" s="1"/>
  <c r="Y36" i="10"/>
  <c r="Z36" i="10"/>
  <c r="AA36" i="10"/>
  <c r="AB36" i="10"/>
  <c r="AC36" i="10"/>
  <c r="AD36" i="10" s="1"/>
  <c r="AE36" i="10"/>
  <c r="AF36" i="10"/>
  <c r="AG36" i="10"/>
  <c r="AH36" i="10" s="1"/>
  <c r="AI36" i="10"/>
  <c r="AJ36" i="10" s="1"/>
  <c r="AK36" i="10"/>
  <c r="AL36" i="10" s="1"/>
  <c r="AM36" i="10"/>
  <c r="AN36" i="10"/>
  <c r="AO36" i="10"/>
  <c r="AP36" i="10"/>
  <c r="AQ36" i="10"/>
  <c r="AR36" i="10"/>
  <c r="AS36" i="10"/>
  <c r="AT36" i="10"/>
  <c r="AU36" i="10"/>
  <c r="AV36" i="10"/>
  <c r="AW36" i="10"/>
  <c r="T37" i="10"/>
  <c r="W37" i="10"/>
  <c r="X37" i="10" s="1"/>
  <c r="Y37" i="10"/>
  <c r="Z37" i="10"/>
  <c r="AA37" i="10"/>
  <c r="AB37" i="10"/>
  <c r="AC37" i="10"/>
  <c r="AD37" i="10" s="1"/>
  <c r="AE37" i="10"/>
  <c r="AF37" i="10"/>
  <c r="AG37" i="10"/>
  <c r="AH37" i="10" s="1"/>
  <c r="AI37" i="10"/>
  <c r="AJ37" i="10" s="1"/>
  <c r="AK37" i="10"/>
  <c r="AL37" i="10" s="1"/>
  <c r="AM37" i="10"/>
  <c r="AN37" i="10" s="1"/>
  <c r="AO37" i="10"/>
  <c r="AP37" i="10"/>
  <c r="AQ37" i="10"/>
  <c r="AR37" i="10"/>
  <c r="AS37" i="10"/>
  <c r="AT37" i="10"/>
  <c r="AU37" i="10"/>
  <c r="AV37" i="10"/>
  <c r="AW37" i="10"/>
  <c r="T38" i="10"/>
  <c r="W38" i="10"/>
  <c r="X38" i="10" s="1"/>
  <c r="Y38" i="10"/>
  <c r="Z38" i="10"/>
  <c r="AA38" i="10"/>
  <c r="AB38" i="10"/>
  <c r="AC38" i="10"/>
  <c r="AD38" i="10" s="1"/>
  <c r="AE38" i="10"/>
  <c r="AF38" i="10"/>
  <c r="AG38" i="10"/>
  <c r="AH38" i="10" s="1"/>
  <c r="AI38" i="10"/>
  <c r="AJ38" i="10" s="1"/>
  <c r="AK38" i="10"/>
  <c r="AL38" i="10" s="1"/>
  <c r="AM38" i="10"/>
  <c r="AN38" i="10" s="1"/>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s="1"/>
  <c r="AK39" i="10"/>
  <c r="AL39" i="10" s="1"/>
  <c r="AM39" i="10"/>
  <c r="AN39" i="10" s="1"/>
  <c r="AO39" i="10"/>
  <c r="AP39" i="10"/>
  <c r="AQ39" i="10"/>
  <c r="AR39" i="10"/>
  <c r="AS39" i="10"/>
  <c r="AT39" i="10"/>
  <c r="AU39" i="10"/>
  <c r="AV39" i="10"/>
  <c r="AW39" i="10"/>
  <c r="T40" i="10"/>
  <c r="W40" i="10"/>
  <c r="X40" i="10" s="1"/>
  <c r="Y40" i="10"/>
  <c r="Z40" i="10"/>
  <c r="AA40" i="10"/>
  <c r="AB40" i="10"/>
  <c r="AC40" i="10"/>
  <c r="AD40" i="10" s="1"/>
  <c r="AE40" i="10"/>
  <c r="AF40" i="10"/>
  <c r="AG40" i="10"/>
  <c r="AH40" i="10" s="1"/>
  <c r="AI40" i="10"/>
  <c r="AJ40" i="10" s="1"/>
  <c r="AK40" i="10"/>
  <c r="AL40" i="10" s="1"/>
  <c r="AM40" i="10"/>
  <c r="AN40" i="10" s="1"/>
  <c r="AO40" i="10"/>
  <c r="AP40" i="10"/>
  <c r="AQ40" i="10"/>
  <c r="AR40" i="10"/>
  <c r="AS40" i="10"/>
  <c r="AT40" i="10"/>
  <c r="AU40" i="10"/>
  <c r="AV40" i="10"/>
  <c r="AW40" i="10"/>
  <c r="T41" i="10"/>
  <c r="W41" i="10"/>
  <c r="X41" i="10" s="1"/>
  <c r="Y41" i="10"/>
  <c r="Z41" i="10"/>
  <c r="AA41" i="10"/>
  <c r="AB41" i="10"/>
  <c r="AC41" i="10"/>
  <c r="AD41" i="10"/>
  <c r="AE41" i="10"/>
  <c r="AF41" i="10"/>
  <c r="AG41" i="10"/>
  <c r="AH41" i="10"/>
  <c r="AI41" i="10"/>
  <c r="AJ41" i="10" s="1"/>
  <c r="AK41" i="10"/>
  <c r="AL41" i="10" s="1"/>
  <c r="AM41" i="10"/>
  <c r="AN41" i="10" s="1"/>
  <c r="AO41" i="10"/>
  <c r="AP41" i="10"/>
  <c r="AQ41" i="10"/>
  <c r="AR41" i="10"/>
  <c r="AS41" i="10"/>
  <c r="AT41" i="10"/>
  <c r="AU41" i="10"/>
  <c r="AV41" i="10"/>
  <c r="AW41" i="10"/>
  <c r="T42" i="10"/>
  <c r="W42" i="10"/>
  <c r="X42" i="10" s="1"/>
  <c r="Y42" i="10"/>
  <c r="Z42" i="10"/>
  <c r="AA42" i="10"/>
  <c r="AB42" i="10"/>
  <c r="AC42" i="10"/>
  <c r="AD42" i="10" s="1"/>
  <c r="AE42" i="10"/>
  <c r="AF42" i="10"/>
  <c r="AG42" i="10"/>
  <c r="AH42" i="10" s="1"/>
  <c r="AI42" i="10"/>
  <c r="AJ42" i="10"/>
  <c r="AK42" i="10"/>
  <c r="AL42" i="10" s="1"/>
  <c r="AM42" i="10"/>
  <c r="AN42" i="10" s="1"/>
  <c r="AO42" i="10"/>
  <c r="AP42" i="10"/>
  <c r="AQ42" i="10"/>
  <c r="AR42" i="10"/>
  <c r="AS42" i="10"/>
  <c r="AT42" i="10"/>
  <c r="AU42" i="10"/>
  <c r="AV42" i="10"/>
  <c r="AW42" i="10"/>
  <c r="T43" i="10"/>
  <c r="W43" i="10"/>
  <c r="X43" i="10" s="1"/>
  <c r="Y43" i="10"/>
  <c r="Z43" i="10"/>
  <c r="AA43" i="10"/>
  <c r="AB43" i="10"/>
  <c r="AC43" i="10"/>
  <c r="AD43" i="10" s="1"/>
  <c r="AE43" i="10"/>
  <c r="AF43" i="10"/>
  <c r="AG43" i="10"/>
  <c r="AH43" i="10" s="1"/>
  <c r="AI43" i="10"/>
  <c r="AJ43" i="10" s="1"/>
  <c r="AK43" i="10"/>
  <c r="AL43" i="10" s="1"/>
  <c r="AM43" i="10"/>
  <c r="AN43" i="10"/>
  <c r="AO43" i="10"/>
  <c r="AP43" i="10"/>
  <c r="AQ43" i="10"/>
  <c r="AR43" i="10"/>
  <c r="AS43" i="10"/>
  <c r="AT43" i="10"/>
  <c r="AU43" i="10"/>
  <c r="AV43" i="10"/>
  <c r="AW43" i="10"/>
  <c r="T44" i="10"/>
  <c r="W44" i="10"/>
  <c r="X44" i="10" s="1"/>
  <c r="Y44" i="10"/>
  <c r="Z44" i="10"/>
  <c r="AA44" i="10"/>
  <c r="AB44" i="10"/>
  <c r="AC44" i="10"/>
  <c r="AD44" i="10" s="1"/>
  <c r="AE44" i="10"/>
  <c r="AF44" i="10"/>
  <c r="AG44" i="10"/>
  <c r="AH44" i="10" s="1"/>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s="1"/>
  <c r="AI45" i="10"/>
  <c r="AJ45" i="10" s="1"/>
  <c r="AK45" i="10"/>
  <c r="AL45" i="10" s="1"/>
  <c r="AM45" i="10"/>
  <c r="AN45" i="10" s="1"/>
  <c r="AO45" i="10"/>
  <c r="AP45" i="10"/>
  <c r="AQ45" i="10"/>
  <c r="AR45" i="10"/>
  <c r="AS45" i="10"/>
  <c r="AT45" i="10"/>
  <c r="AU45" i="10"/>
  <c r="AV45" i="10"/>
  <c r="AW45" i="10"/>
  <c r="T46" i="10"/>
  <c r="W46" i="10"/>
  <c r="X46" i="10" s="1"/>
  <c r="Y46" i="10"/>
  <c r="Z46" i="10"/>
  <c r="AA46" i="10"/>
  <c r="AB46" i="10"/>
  <c r="AC46" i="10"/>
  <c r="AD46" i="10"/>
  <c r="AE46" i="10"/>
  <c r="AF46" i="10"/>
  <c r="AG46" i="10"/>
  <c r="AH46" i="10" s="1"/>
  <c r="AI46" i="10"/>
  <c r="AJ46" i="10" s="1"/>
  <c r="AK46" i="10"/>
  <c r="AL46" i="10" s="1"/>
  <c r="AM46" i="10"/>
  <c r="AN46" i="10" s="1"/>
  <c r="AO46" i="10"/>
  <c r="AP46" i="10"/>
  <c r="AQ46" i="10"/>
  <c r="AR46" i="10"/>
  <c r="AS46" i="10"/>
  <c r="AT46" i="10"/>
  <c r="AU46" i="10"/>
  <c r="AV46" i="10"/>
  <c r="AW46" i="10"/>
  <c r="T47" i="10"/>
  <c r="W47" i="10"/>
  <c r="X47" i="10" s="1"/>
  <c r="Y47" i="10"/>
  <c r="Z47" i="10"/>
  <c r="AA47" i="10"/>
  <c r="AB47" i="10"/>
  <c r="AC47" i="10"/>
  <c r="AD47" i="10" s="1"/>
  <c r="AE47" i="10"/>
  <c r="AF47" i="10"/>
  <c r="AG47" i="10"/>
  <c r="AH47" i="10" s="1"/>
  <c r="AI47" i="10"/>
  <c r="AJ47" i="10" s="1"/>
  <c r="AK47" i="10"/>
  <c r="AL47" i="10" s="1"/>
  <c r="AM47" i="10"/>
  <c r="AN47" i="10"/>
  <c r="AO47" i="10"/>
  <c r="AP47" i="10"/>
  <c r="AQ47" i="10"/>
  <c r="AR47" i="10"/>
  <c r="AS47" i="10"/>
  <c r="AT47" i="10"/>
  <c r="AU47" i="10"/>
  <c r="AV47" i="10"/>
  <c r="AW47" i="10"/>
  <c r="T48" i="10"/>
  <c r="W48" i="10"/>
  <c r="X48" i="10" s="1"/>
  <c r="Y48" i="10"/>
  <c r="Z48" i="10"/>
  <c r="AA48" i="10"/>
  <c r="AB48" i="10"/>
  <c r="AC48" i="10"/>
  <c r="AD48" i="10" s="1"/>
  <c r="AE48" i="10"/>
  <c r="AF48" i="10"/>
  <c r="AG48" i="10"/>
  <c r="AH48" i="10" s="1"/>
  <c r="AI48" i="10"/>
  <c r="AJ48" i="10" s="1"/>
  <c r="AK48" i="10"/>
  <c r="AL48" i="10" s="1"/>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s="1"/>
  <c r="AM49" i="10"/>
  <c r="AN49" i="10" s="1"/>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c r="Y51" i="10"/>
  <c r="Z51" i="10"/>
  <c r="AA51" i="10"/>
  <c r="AB51" i="10"/>
  <c r="AC51" i="10"/>
  <c r="AD51" i="10" s="1"/>
  <c r="AE51" i="10"/>
  <c r="AF51" i="10"/>
  <c r="AG51" i="10"/>
  <c r="AH51" i="10" s="1"/>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W53" i="10"/>
  <c r="X53" i="10" s="1"/>
  <c r="Y53" i="10"/>
  <c r="Z53" i="10"/>
  <c r="AA53" i="10"/>
  <c r="AB53" i="10"/>
  <c r="AC53" i="10"/>
  <c r="AD53" i="10"/>
  <c r="AE53" i="10"/>
  <c r="AF53" i="10"/>
  <c r="AG53" i="10"/>
  <c r="AH53" i="10"/>
  <c r="AI53" i="10"/>
  <c r="AJ53" i="10" s="1"/>
  <c r="AK53" i="10"/>
  <c r="AL53" i="10" s="1"/>
  <c r="AM53" i="10"/>
  <c r="AN53" i="10" s="1"/>
  <c r="AO53" i="10"/>
  <c r="AP53" i="10"/>
  <c r="AQ53" i="10"/>
  <c r="AR53" i="10"/>
  <c r="AS53" i="10"/>
  <c r="AT53" i="10"/>
  <c r="AU53" i="10"/>
  <c r="AV53" i="10"/>
  <c r="AW53" i="10"/>
  <c r="T54" i="10"/>
  <c r="W54" i="10"/>
  <c r="X54" i="10"/>
  <c r="Y54" i="10"/>
  <c r="Z54" i="10"/>
  <c r="AA54" i="10"/>
  <c r="AB54" i="10"/>
  <c r="AC54" i="10"/>
  <c r="AD54" i="10"/>
  <c r="AE54" i="10"/>
  <c r="AF54" i="10"/>
  <c r="AG54" i="10"/>
  <c r="AH54" i="10" s="1"/>
  <c r="AI54" i="10"/>
  <c r="AJ54" i="10" s="1"/>
  <c r="AK54" i="10"/>
  <c r="AL54" i="10" s="1"/>
  <c r="AM54" i="10"/>
  <c r="AN54" i="10"/>
  <c r="AO54" i="10"/>
  <c r="AP54" i="10"/>
  <c r="AQ54" i="10"/>
  <c r="AR54" i="10"/>
  <c r="AS54" i="10"/>
  <c r="AT54" i="10"/>
  <c r="AU54" i="10"/>
  <c r="AV54" i="10"/>
  <c r="AW54" i="10"/>
  <c r="T55" i="10"/>
  <c r="W55" i="10"/>
  <c r="X55" i="10" s="1"/>
  <c r="Y55" i="10"/>
  <c r="Z55" i="10"/>
  <c r="AA55" i="10"/>
  <c r="AB55" i="10"/>
  <c r="AC55" i="10"/>
  <c r="AD55" i="10" s="1"/>
  <c r="AE55" i="10"/>
  <c r="AF55" i="10"/>
  <c r="AG55" i="10"/>
  <c r="AH55" i="10" s="1"/>
  <c r="AI55" i="10"/>
  <c r="AJ55" i="10" s="1"/>
  <c r="AK55" i="10"/>
  <c r="AL55" i="10" s="1"/>
  <c r="AM55" i="10"/>
  <c r="AN55" i="10" s="1"/>
  <c r="AO55" i="10"/>
  <c r="AP55" i="10"/>
  <c r="AQ55" i="10"/>
  <c r="AR55" i="10"/>
  <c r="AS55" i="10"/>
  <c r="AT55" i="10"/>
  <c r="AU55" i="10"/>
  <c r="AV55" i="10"/>
  <c r="AW55" i="10"/>
  <c r="T56" i="10"/>
  <c r="W56" i="10"/>
  <c r="X56" i="10" s="1"/>
  <c r="Y56" i="10"/>
  <c r="Z56" i="10"/>
  <c r="AA56" i="10"/>
  <c r="AB56" i="10"/>
  <c r="AC56" i="10"/>
  <c r="AD56" i="10" s="1"/>
  <c r="AE56" i="10"/>
  <c r="AF56" i="10"/>
  <c r="AG56" i="10"/>
  <c r="AH56" i="10" s="1"/>
  <c r="AI56" i="10"/>
  <c r="AJ56" i="10" s="1"/>
  <c r="AK56" i="10"/>
  <c r="AL56" i="10"/>
  <c r="AM56" i="10"/>
  <c r="AN56" i="10" s="1"/>
  <c r="AO56" i="10"/>
  <c r="AP56" i="10"/>
  <c r="AQ56" i="10"/>
  <c r="AR56" i="10"/>
  <c r="AS56" i="10"/>
  <c r="AT56" i="10"/>
  <c r="AU56" i="10"/>
  <c r="AV56" i="10"/>
  <c r="AW56" i="10"/>
  <c r="T57" i="10"/>
  <c r="W57" i="10"/>
  <c r="X57" i="10" s="1"/>
  <c r="Y57" i="10"/>
  <c r="Z57" i="10"/>
  <c r="AA57" i="10"/>
  <c r="AB57" i="10"/>
  <c r="AC57" i="10"/>
  <c r="AD57" i="10" s="1"/>
  <c r="AE57" i="10"/>
  <c r="AF57" i="10"/>
  <c r="AG57" i="10"/>
  <c r="AH57" i="10" s="1"/>
  <c r="AI57" i="10"/>
  <c r="AJ57" i="10" s="1"/>
  <c r="AK57" i="10"/>
  <c r="AL57" i="10" s="1"/>
  <c r="AM57" i="10"/>
  <c r="AN57" i="10"/>
  <c r="AO57" i="10"/>
  <c r="AP57" i="10"/>
  <c r="AQ57" i="10"/>
  <c r="AR57" i="10"/>
  <c r="AS57" i="10"/>
  <c r="AT57" i="10"/>
  <c r="AU57" i="10"/>
  <c r="AV57" i="10"/>
  <c r="AW57" i="10"/>
  <c r="T58" i="10"/>
  <c r="W58" i="10"/>
  <c r="X58" i="10" s="1"/>
  <c r="Y58" i="10"/>
  <c r="Z58" i="10"/>
  <c r="AA58" i="10"/>
  <c r="AB58" i="10"/>
  <c r="AC58" i="10"/>
  <c r="AD58" i="10"/>
  <c r="AE58" i="10"/>
  <c r="AF58" i="10"/>
  <c r="AG58" i="10"/>
  <c r="AH58" i="10" s="1"/>
  <c r="AI58" i="10"/>
  <c r="AJ58" i="10" s="1"/>
  <c r="AK58" i="10"/>
  <c r="AL58" i="10"/>
  <c r="AM58" i="10"/>
  <c r="AN58" i="10" s="1"/>
  <c r="AO58" i="10"/>
  <c r="AP58" i="10"/>
  <c r="AQ58" i="10"/>
  <c r="AR58" i="10"/>
  <c r="AS58" i="10"/>
  <c r="AT58" i="10"/>
  <c r="AU58" i="10"/>
  <c r="AV58" i="10"/>
  <c r="AW58" i="10"/>
  <c r="T59" i="10"/>
  <c r="W59" i="10"/>
  <c r="X59" i="10" s="1"/>
  <c r="Y59" i="10"/>
  <c r="Z59" i="10"/>
  <c r="AA59" i="10"/>
  <c r="AB59" i="10"/>
  <c r="AC59" i="10"/>
  <c r="AD59" i="10" s="1"/>
  <c r="AE59" i="10"/>
  <c r="AF59" i="10"/>
  <c r="AG59" i="10"/>
  <c r="AH59" i="10" s="1"/>
  <c r="AI59" i="10"/>
  <c r="AJ59" i="10" s="1"/>
  <c r="AK59" i="10"/>
  <c r="AL59" i="10" s="1"/>
  <c r="AM59" i="10"/>
  <c r="AN59" i="10" s="1"/>
  <c r="AO59" i="10"/>
  <c r="AP59" i="10"/>
  <c r="AQ59" i="10"/>
  <c r="AR59" i="10"/>
  <c r="AS59" i="10"/>
  <c r="AT59" i="10"/>
  <c r="AU59" i="10"/>
  <c r="AV59" i="10"/>
  <c r="AW59" i="10"/>
  <c r="T60" i="10"/>
  <c r="W60" i="10"/>
  <c r="X60" i="10" s="1"/>
  <c r="Y60" i="10"/>
  <c r="Z60" i="10"/>
  <c r="AA60" i="10"/>
  <c r="AB60" i="10"/>
  <c r="AC60" i="10"/>
  <c r="AD60" i="10" s="1"/>
  <c r="AE60" i="10"/>
  <c r="AF60" i="10"/>
  <c r="AG60" i="10"/>
  <c r="AH60" i="10"/>
  <c r="AI60" i="10"/>
  <c r="AJ60" i="10" s="1"/>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s="1"/>
  <c r="AI61" i="10"/>
  <c r="AJ61" i="10" s="1"/>
  <c r="AK61" i="10"/>
  <c r="AL61" i="10"/>
  <c r="AM61" i="10"/>
  <c r="AN61" i="10" s="1"/>
  <c r="AO61" i="10"/>
  <c r="AP61" i="10"/>
  <c r="AQ61" i="10"/>
  <c r="AR61" i="10"/>
  <c r="AS61" i="10"/>
  <c r="AT61" i="10"/>
  <c r="AU61" i="10"/>
  <c r="AV61" i="10"/>
  <c r="AW61" i="10"/>
  <c r="T62" i="10"/>
  <c r="W62" i="10"/>
  <c r="X62" i="10" s="1"/>
  <c r="Y62" i="10"/>
  <c r="Z62" i="10"/>
  <c r="AA62" i="10"/>
  <c r="AB62" i="10"/>
  <c r="AC62" i="10"/>
  <c r="AD62" i="10" s="1"/>
  <c r="AE62" i="10"/>
  <c r="AF62" i="10"/>
  <c r="AG62" i="10"/>
  <c r="AH62" i="10" s="1"/>
  <c r="AI62" i="10"/>
  <c r="AJ62" i="10"/>
  <c r="AK62" i="10"/>
  <c r="AL62" i="10" s="1"/>
  <c r="AM62" i="10"/>
  <c r="AN62" i="10" s="1"/>
  <c r="AO62" i="10"/>
  <c r="AP62" i="10"/>
  <c r="AQ62" i="10"/>
  <c r="AR62" i="10"/>
  <c r="AS62" i="10"/>
  <c r="AT62" i="10"/>
  <c r="AU62" i="10"/>
  <c r="AV62" i="10"/>
  <c r="AW62" i="10"/>
  <c r="T63" i="10"/>
  <c r="W63" i="10"/>
  <c r="X63" i="10" s="1"/>
  <c r="Y63" i="10"/>
  <c r="Z63" i="10"/>
  <c r="AA63" i="10"/>
  <c r="AB63" i="10"/>
  <c r="AC63" i="10"/>
  <c r="AD63" i="10"/>
  <c r="AE63" i="10"/>
  <c r="AF63" i="10"/>
  <c r="AG63" i="10"/>
  <c r="AH63" i="10" s="1"/>
  <c r="AI63" i="10"/>
  <c r="AJ63" i="10" s="1"/>
  <c r="AK63" i="10"/>
  <c r="AL63" i="10" s="1"/>
  <c r="AM63" i="10"/>
  <c r="AN63" i="10" s="1"/>
  <c r="AO63" i="10"/>
  <c r="AP63" i="10"/>
  <c r="AQ63" i="10"/>
  <c r="AR63" i="10"/>
  <c r="AS63" i="10"/>
  <c r="AT63" i="10"/>
  <c r="AU63" i="10"/>
  <c r="AV63" i="10"/>
  <c r="AW63" i="10"/>
  <c r="T64" i="10"/>
  <c r="W64" i="10"/>
  <c r="X64" i="10" s="1"/>
  <c r="Y64" i="10"/>
  <c r="Z64" i="10"/>
  <c r="AA64" i="10"/>
  <c r="AB64" i="10"/>
  <c r="AC64" i="10"/>
  <c r="AD64" i="10" s="1"/>
  <c r="AE64" i="10"/>
  <c r="AF64" i="10"/>
  <c r="AG64" i="10"/>
  <c r="AH64" i="10" s="1"/>
  <c r="AI64" i="10"/>
  <c r="AJ64" i="10"/>
  <c r="AK64" i="10"/>
  <c r="AL64" i="10" s="1"/>
  <c r="AM64" i="10"/>
  <c r="AN64" i="10" s="1"/>
  <c r="AO64" i="10"/>
  <c r="AP64" i="10"/>
  <c r="AQ64" i="10"/>
  <c r="AR64" i="10"/>
  <c r="AS64" i="10"/>
  <c r="AT64" i="10"/>
  <c r="AU64" i="10"/>
  <c r="AV64" i="10"/>
  <c r="AW64" i="10"/>
  <c r="T65" i="10"/>
  <c r="W65" i="10"/>
  <c r="X65" i="10" s="1"/>
  <c r="Y65" i="10"/>
  <c r="Z65" i="10"/>
  <c r="AA65" i="10"/>
  <c r="AB65" i="10"/>
  <c r="AC65" i="10"/>
  <c r="AD65" i="10" s="1"/>
  <c r="AE65" i="10"/>
  <c r="AF65" i="10"/>
  <c r="AG65" i="10"/>
  <c r="AH65" i="10" s="1"/>
  <c r="AI65" i="10"/>
  <c r="AJ65" i="10" s="1"/>
  <c r="AK65" i="10"/>
  <c r="AL65" i="10" s="1"/>
  <c r="AM65" i="10"/>
  <c r="AN65" i="10" s="1"/>
  <c r="AO65" i="10"/>
  <c r="AP65" i="10"/>
  <c r="AQ65" i="10"/>
  <c r="AR65" i="10"/>
  <c r="AS65" i="10"/>
  <c r="AT65" i="10"/>
  <c r="AU65" i="10"/>
  <c r="AV65" i="10"/>
  <c r="AW65" i="10"/>
  <c r="T66" i="10"/>
  <c r="W66" i="10"/>
  <c r="X66" i="10"/>
  <c r="Y66" i="10"/>
  <c r="Z66" i="10"/>
  <c r="AA66" i="10"/>
  <c r="AB66" i="10"/>
  <c r="AC66" i="10"/>
  <c r="AD66" i="10" s="1"/>
  <c r="AE66" i="10"/>
  <c r="AF66" i="10"/>
  <c r="AG66" i="10"/>
  <c r="AH66" i="10" s="1"/>
  <c r="AI66" i="10"/>
  <c r="AJ66" i="10"/>
  <c r="AK66" i="10"/>
  <c r="AL66" i="10" s="1"/>
  <c r="AM66" i="10"/>
  <c r="AN66" i="10" s="1"/>
  <c r="AO66" i="10"/>
  <c r="AP66" i="10"/>
  <c r="AQ66" i="10"/>
  <c r="AR66" i="10"/>
  <c r="AS66" i="10"/>
  <c r="AT66" i="10"/>
  <c r="AU66" i="10"/>
  <c r="AV66" i="10"/>
  <c r="AW66" i="10"/>
  <c r="T67" i="10"/>
  <c r="W67" i="10"/>
  <c r="X67" i="10" s="1"/>
  <c r="Y67" i="10"/>
  <c r="Z67" i="10"/>
  <c r="AA67" i="10"/>
  <c r="AB67" i="10"/>
  <c r="AC67" i="10"/>
  <c r="AD67" i="10" s="1"/>
  <c r="AE67" i="10"/>
  <c r="AF67" i="10"/>
  <c r="AG67" i="10"/>
  <c r="AH67" i="10" s="1"/>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s="1"/>
  <c r="AK68" i="10"/>
  <c r="AL68" i="10" s="1"/>
  <c r="AM68" i="10"/>
  <c r="AN68" i="10" s="1"/>
  <c r="AO68" i="10"/>
  <c r="AP68" i="10"/>
  <c r="AQ68" i="10"/>
  <c r="AR68" i="10"/>
  <c r="AS68" i="10"/>
  <c r="AT68" i="10"/>
  <c r="AU68" i="10"/>
  <c r="AV68" i="10"/>
  <c r="AW68" i="10"/>
  <c r="T69" i="10"/>
  <c r="W69" i="10"/>
  <c r="X69" i="10" s="1"/>
  <c r="Y69" i="10"/>
  <c r="Z69" i="10"/>
  <c r="AA69" i="10"/>
  <c r="AB69" i="10"/>
  <c r="AC69" i="10"/>
  <c r="AD69" i="10" s="1"/>
  <c r="AE69" i="10"/>
  <c r="AF69" i="10"/>
  <c r="AG69" i="10"/>
  <c r="AH69" i="10" s="1"/>
  <c r="AI69" i="10"/>
  <c r="AJ69" i="10" s="1"/>
  <c r="AK69" i="10"/>
  <c r="AL69" i="10" s="1"/>
  <c r="AM69" i="10"/>
  <c r="AN69" i="10" s="1"/>
  <c r="AO69" i="10"/>
  <c r="AP69" i="10"/>
  <c r="AQ69" i="10"/>
  <c r="AR69" i="10"/>
  <c r="AS69" i="10"/>
  <c r="AT69" i="10"/>
  <c r="AU69" i="10"/>
  <c r="AV69" i="10"/>
  <c r="AW69" i="10"/>
  <c r="T70" i="10"/>
  <c r="W70" i="10"/>
  <c r="X70" i="10" s="1"/>
  <c r="Y70" i="10"/>
  <c r="Z70" i="10"/>
  <c r="AA70" i="10"/>
  <c r="AB70" i="10"/>
  <c r="AC70" i="10"/>
  <c r="AD70" i="10"/>
  <c r="AE70" i="10"/>
  <c r="AF70" i="10"/>
  <c r="AG70" i="10"/>
  <c r="AH70" i="10" s="1"/>
  <c r="AI70" i="10"/>
  <c r="AJ70" i="10" s="1"/>
  <c r="AK70" i="10"/>
  <c r="AL70" i="10" s="1"/>
  <c r="AM70" i="10"/>
  <c r="AN70" i="10" s="1"/>
  <c r="AO70" i="10"/>
  <c r="AP70" i="10"/>
  <c r="AQ70" i="10"/>
  <c r="AR70" i="10"/>
  <c r="AS70" i="10"/>
  <c r="AT70" i="10"/>
  <c r="AU70" i="10"/>
  <c r="AV70" i="10"/>
  <c r="AW70" i="10"/>
  <c r="T71" i="10"/>
  <c r="W71" i="10"/>
  <c r="X71" i="10" s="1"/>
  <c r="Y71" i="10"/>
  <c r="Z71" i="10"/>
  <c r="AA71" i="10"/>
  <c r="AB71" i="10"/>
  <c r="AC71" i="10"/>
  <c r="AD71" i="10" s="1"/>
  <c r="AE71" i="10"/>
  <c r="AF71" i="10"/>
  <c r="AG71" i="10"/>
  <c r="AH71" i="10" s="1"/>
  <c r="AI71" i="10"/>
  <c r="AJ71" i="10" s="1"/>
  <c r="AK71" i="10"/>
  <c r="AL71" i="10" s="1"/>
  <c r="AM71" i="10"/>
  <c r="AN71" i="10" s="1"/>
  <c r="AO71" i="10"/>
  <c r="AP71" i="10"/>
  <c r="AQ71" i="10"/>
  <c r="AR71" i="10"/>
  <c r="AS71" i="10"/>
  <c r="AT71" i="10"/>
  <c r="AU71" i="10"/>
  <c r="AV71" i="10"/>
  <c r="AW71" i="10"/>
  <c r="T72" i="10"/>
  <c r="W72" i="10"/>
  <c r="X72" i="10" s="1"/>
  <c r="Y72" i="10"/>
  <c r="Z72" i="10"/>
  <c r="AA72" i="10"/>
  <c r="AB72" i="10"/>
  <c r="AC72" i="10"/>
  <c r="AD72" i="10" s="1"/>
  <c r="AE72" i="10"/>
  <c r="AF72" i="10"/>
  <c r="AG72" i="10"/>
  <c r="AH72" i="10"/>
  <c r="AI72" i="10"/>
  <c r="AJ72" i="10" s="1"/>
  <c r="AK72" i="10"/>
  <c r="AL72" i="10" s="1"/>
  <c r="AM72" i="10"/>
  <c r="AN72" i="10" s="1"/>
  <c r="AO72" i="10"/>
  <c r="AP72" i="10"/>
  <c r="AQ72" i="10"/>
  <c r="AR72" i="10"/>
  <c r="AS72" i="10"/>
  <c r="AT72" i="10"/>
  <c r="AU72" i="10"/>
  <c r="AV72" i="10"/>
  <c r="AW72" i="10"/>
  <c r="T73" i="10"/>
  <c r="W73" i="10"/>
  <c r="X73" i="10" s="1"/>
  <c r="Y73" i="10"/>
  <c r="Z73" i="10"/>
  <c r="AA73" i="10"/>
  <c r="AB73" i="10"/>
  <c r="AC73" i="10"/>
  <c r="AD73" i="10" s="1"/>
  <c r="AE73" i="10"/>
  <c r="AF73" i="10"/>
  <c r="AG73" i="10"/>
  <c r="AH73" i="10" s="1"/>
  <c r="AI73" i="10"/>
  <c r="AJ73" i="10" s="1"/>
  <c r="AK73" i="10"/>
  <c r="AL73" i="10" s="1"/>
  <c r="AM73" i="10"/>
  <c r="AN73" i="10" s="1"/>
  <c r="AO73" i="10"/>
  <c r="AP73" i="10"/>
  <c r="AQ73" i="10"/>
  <c r="AR73" i="10"/>
  <c r="AS73" i="10"/>
  <c r="AT73" i="10"/>
  <c r="AU73" i="10"/>
  <c r="AV73" i="10"/>
  <c r="AW73" i="10"/>
  <c r="T74" i="10"/>
  <c r="W74" i="10"/>
  <c r="X74" i="10" s="1"/>
  <c r="Y74" i="10"/>
  <c r="Z74" i="10"/>
  <c r="AA74" i="10"/>
  <c r="AB74" i="10"/>
  <c r="AC74" i="10"/>
  <c r="AD74" i="10" s="1"/>
  <c r="AE74" i="10"/>
  <c r="AF74" i="10"/>
  <c r="AG74" i="10"/>
  <c r="AH74" i="10" s="1"/>
  <c r="AI74" i="10"/>
  <c r="AJ74" i="10" s="1"/>
  <c r="AK74" i="10"/>
  <c r="AL74" i="10" s="1"/>
  <c r="AM74" i="10"/>
  <c r="AN74" i="10" s="1"/>
  <c r="AO74" i="10"/>
  <c r="AP74" i="10"/>
  <c r="AQ74" i="10"/>
  <c r="AR74" i="10"/>
  <c r="AS74" i="10"/>
  <c r="AT74" i="10"/>
  <c r="AU74" i="10"/>
  <c r="AV74" i="10"/>
  <c r="AW74" i="10"/>
  <c r="T75" i="10"/>
  <c r="W75" i="10"/>
  <c r="X75" i="10" s="1"/>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c r="Y76" i="10"/>
  <c r="Z76" i="10"/>
  <c r="AA76" i="10"/>
  <c r="AB76" i="10"/>
  <c r="AC76" i="10"/>
  <c r="AD76" i="10" s="1"/>
  <c r="AE76" i="10"/>
  <c r="AF76" i="10"/>
  <c r="AG76" i="10"/>
  <c r="AH76" i="10" s="1"/>
  <c r="AI76" i="10"/>
  <c r="AJ76" i="10" s="1"/>
  <c r="AK76" i="10"/>
  <c r="AL76" i="10" s="1"/>
  <c r="AM76" i="10"/>
  <c r="AN76" i="10" s="1"/>
  <c r="AO76" i="10"/>
  <c r="AP76" i="10"/>
  <c r="AQ76" i="10"/>
  <c r="AR76" i="10"/>
  <c r="AS76" i="10"/>
  <c r="AT76" i="10"/>
  <c r="AU76" i="10"/>
  <c r="AV76" i="10"/>
  <c r="AW76" i="10"/>
  <c r="T77" i="10"/>
  <c r="W77" i="10"/>
  <c r="X77" i="10" s="1"/>
  <c r="U77" i="10" s="1"/>
  <c r="Y77" i="10"/>
  <c r="Z77" i="10"/>
  <c r="AA77" i="10"/>
  <c r="AB77" i="10"/>
  <c r="AC77" i="10"/>
  <c r="AD77" i="10" s="1"/>
  <c r="AE77" i="10"/>
  <c r="AF77" i="10"/>
  <c r="AG77" i="10"/>
  <c r="AH77" i="10" s="1"/>
  <c r="AI77" i="10"/>
  <c r="AJ77" i="10" s="1"/>
  <c r="AK77" i="10"/>
  <c r="AL77" i="10" s="1"/>
  <c r="AM77" i="10"/>
  <c r="AN77" i="10" s="1"/>
  <c r="AO77" i="10"/>
  <c r="AP77" i="10"/>
  <c r="AQ77" i="10"/>
  <c r="AR77" i="10"/>
  <c r="AS77" i="10"/>
  <c r="AT77" i="10"/>
  <c r="AU77" i="10"/>
  <c r="AV77" i="10"/>
  <c r="AW77" i="10"/>
  <c r="T78" i="10"/>
  <c r="W78" i="10"/>
  <c r="X78" i="10"/>
  <c r="Y78" i="10"/>
  <c r="Z78" i="10"/>
  <c r="AA78" i="10"/>
  <c r="AB78" i="10"/>
  <c r="AC78" i="10"/>
  <c r="AD78" i="10" s="1"/>
  <c r="AE78" i="10"/>
  <c r="AF78" i="10"/>
  <c r="AG78" i="10"/>
  <c r="AH78" i="10"/>
  <c r="AI78" i="10"/>
  <c r="AJ78" i="10" s="1"/>
  <c r="AK78" i="10"/>
  <c r="AL78" i="10" s="1"/>
  <c r="AM78" i="10"/>
  <c r="AN78" i="10" s="1"/>
  <c r="AO78" i="10"/>
  <c r="AP78" i="10"/>
  <c r="AQ78" i="10"/>
  <c r="AR78" i="10"/>
  <c r="AS78" i="10"/>
  <c r="AT78" i="10"/>
  <c r="AU78" i="10"/>
  <c r="AV78" i="10"/>
  <c r="AW78" i="10"/>
  <c r="T79" i="10"/>
  <c r="W79" i="10"/>
  <c r="X79" i="10" s="1"/>
  <c r="Y79" i="10"/>
  <c r="Z79" i="10"/>
  <c r="AA79" i="10"/>
  <c r="AB79" i="10"/>
  <c r="AC79" i="10"/>
  <c r="AD79" i="10" s="1"/>
  <c r="AE79" i="10"/>
  <c r="AF79" i="10"/>
  <c r="AG79" i="10"/>
  <c r="AH79" i="10"/>
  <c r="AI79" i="10"/>
  <c r="AJ79" i="10" s="1"/>
  <c r="AK79" i="10"/>
  <c r="AL79" i="10"/>
  <c r="AM79" i="10"/>
  <c r="AN79" i="10" s="1"/>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s="1"/>
  <c r="AK80" i="10"/>
  <c r="AL80" i="10" s="1"/>
  <c r="AM80" i="10"/>
  <c r="AN80" i="10" s="1"/>
  <c r="AO80" i="10"/>
  <c r="AP80" i="10"/>
  <c r="AQ80" i="10"/>
  <c r="AR80" i="10"/>
  <c r="AS80" i="10"/>
  <c r="AT80" i="10"/>
  <c r="AU80" i="10"/>
  <c r="AV80" i="10"/>
  <c r="AW80" i="10"/>
  <c r="T81" i="10"/>
  <c r="W81" i="10"/>
  <c r="X81" i="10" s="1"/>
  <c r="Y81" i="10"/>
  <c r="Z81" i="10"/>
  <c r="AA81" i="10"/>
  <c r="AB81" i="10"/>
  <c r="AC81" i="10"/>
  <c r="AD81" i="10" s="1"/>
  <c r="AE81" i="10"/>
  <c r="AF81" i="10"/>
  <c r="AG81" i="10"/>
  <c r="AH81" i="10" s="1"/>
  <c r="AI81" i="10"/>
  <c r="AJ81" i="10" s="1"/>
  <c r="AK81" i="10"/>
  <c r="AL81" i="10" s="1"/>
  <c r="AM81" i="10"/>
  <c r="AN81" i="10" s="1"/>
  <c r="AO81" i="10"/>
  <c r="AP81" i="10"/>
  <c r="AQ81" i="10"/>
  <c r="AR81" i="10"/>
  <c r="AS81" i="10"/>
  <c r="AT81" i="10"/>
  <c r="AU81" i="10"/>
  <c r="AV81" i="10"/>
  <c r="AW81" i="10"/>
  <c r="T82" i="10"/>
  <c r="W82" i="10"/>
  <c r="X82" i="10" s="1"/>
  <c r="Y82" i="10"/>
  <c r="Z82" i="10"/>
  <c r="AA82" i="10"/>
  <c r="AB82" i="10"/>
  <c r="AC82" i="10"/>
  <c r="AD82" i="10"/>
  <c r="AE82" i="10"/>
  <c r="AF82" i="10"/>
  <c r="AG82" i="10"/>
  <c r="AH82" i="10" s="1"/>
  <c r="AI82" i="10"/>
  <c r="AJ82" i="10" s="1"/>
  <c r="AK82" i="10"/>
  <c r="AL82" i="10" s="1"/>
  <c r="AM82" i="10"/>
  <c r="AN82" i="10" s="1"/>
  <c r="AO82" i="10"/>
  <c r="AP82" i="10"/>
  <c r="AQ82" i="10"/>
  <c r="AR82" i="10"/>
  <c r="AS82" i="10"/>
  <c r="AT82" i="10"/>
  <c r="AU82" i="10"/>
  <c r="AV82" i="10"/>
  <c r="AW82" i="10"/>
  <c r="T83" i="10"/>
  <c r="W83" i="10"/>
  <c r="X83" i="10" s="1"/>
  <c r="Y83" i="10"/>
  <c r="Z83" i="10"/>
  <c r="AA83" i="10"/>
  <c r="AB83" i="10"/>
  <c r="AC83" i="10"/>
  <c r="AD83" i="10" s="1"/>
  <c r="AE83" i="10"/>
  <c r="AF83" i="10"/>
  <c r="AG83" i="10"/>
  <c r="AH83" i="10" s="1"/>
  <c r="AI83" i="10"/>
  <c r="AJ83" i="10" s="1"/>
  <c r="AK83" i="10"/>
  <c r="AL83" i="10" s="1"/>
  <c r="AM83" i="10"/>
  <c r="AN83" i="10" s="1"/>
  <c r="AO83" i="10"/>
  <c r="AP83" i="10"/>
  <c r="AQ83" i="10"/>
  <c r="AR83" i="10"/>
  <c r="AS83" i="10"/>
  <c r="AT83" i="10"/>
  <c r="AU83" i="10"/>
  <c r="AV83" i="10"/>
  <c r="AW83" i="10"/>
  <c r="T84" i="10"/>
  <c r="W84" i="10"/>
  <c r="X84" i="10" s="1"/>
  <c r="Y84" i="10"/>
  <c r="Z84" i="10"/>
  <c r="AA84" i="10"/>
  <c r="AB84" i="10"/>
  <c r="AC84" i="10"/>
  <c r="AD84" i="10" s="1"/>
  <c r="AE84" i="10"/>
  <c r="AF84" i="10"/>
  <c r="AG84" i="10"/>
  <c r="AH84" i="10" s="1"/>
  <c r="AI84" i="10"/>
  <c r="AJ84" i="10" s="1"/>
  <c r="AK84" i="10"/>
  <c r="AL84" i="10" s="1"/>
  <c r="AM84" i="10"/>
  <c r="AN84" i="10"/>
  <c r="AO84" i="10"/>
  <c r="AP84" i="10"/>
  <c r="AQ84" i="10"/>
  <c r="AR84" i="10"/>
  <c r="AS84" i="10"/>
  <c r="AT84" i="10"/>
  <c r="AU84" i="10"/>
  <c r="AV84" i="10"/>
  <c r="AW84" i="10"/>
  <c r="T85" i="10"/>
  <c r="W85" i="10"/>
  <c r="X85" i="10" s="1"/>
  <c r="Y85" i="10"/>
  <c r="Z85" i="10"/>
  <c r="AA85" i="10"/>
  <c r="AB85" i="10"/>
  <c r="AC85" i="10"/>
  <c r="AD85" i="10" s="1"/>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s="1"/>
  <c r="AK86" i="10"/>
  <c r="AL86" i="10" s="1"/>
  <c r="AM86" i="10"/>
  <c r="AN86" i="10" s="1"/>
  <c r="AO86" i="10"/>
  <c r="AP86" i="10"/>
  <c r="AQ86" i="10"/>
  <c r="AR86" i="10"/>
  <c r="AS86" i="10"/>
  <c r="AT86" i="10"/>
  <c r="AU86" i="10"/>
  <c r="AV86" i="10"/>
  <c r="AW86" i="10"/>
  <c r="T87" i="10"/>
  <c r="W87" i="10"/>
  <c r="X87" i="10"/>
  <c r="Y87" i="10"/>
  <c r="Z87" i="10"/>
  <c r="AA87" i="10"/>
  <c r="AB87" i="10"/>
  <c r="AC87" i="10"/>
  <c r="AD87" i="10" s="1"/>
  <c r="AE87" i="10"/>
  <c r="AF87" i="10"/>
  <c r="AG87" i="10"/>
  <c r="AH87" i="10" s="1"/>
  <c r="AI87" i="10"/>
  <c r="AJ87" i="10" s="1"/>
  <c r="AK87" i="10"/>
  <c r="AL87" i="10" s="1"/>
  <c r="AM87" i="10"/>
  <c r="AN87" i="10" s="1"/>
  <c r="AO87" i="10"/>
  <c r="AP87" i="10"/>
  <c r="AQ87" i="10"/>
  <c r="AR87" i="10"/>
  <c r="AS87" i="10"/>
  <c r="AT87" i="10"/>
  <c r="AU87" i="10"/>
  <c r="AV87" i="10"/>
  <c r="AW87" i="10"/>
  <c r="T88" i="10"/>
  <c r="W88" i="10"/>
  <c r="X88" i="10"/>
  <c r="Y88" i="10"/>
  <c r="Z88" i="10"/>
  <c r="AA88" i="10"/>
  <c r="AB88" i="10"/>
  <c r="AC88" i="10"/>
  <c r="AD88" i="10" s="1"/>
  <c r="AE88" i="10"/>
  <c r="AF88" i="10"/>
  <c r="AG88" i="10"/>
  <c r="AH88" i="10" s="1"/>
  <c r="AI88" i="10"/>
  <c r="AJ88" i="10" s="1"/>
  <c r="AK88" i="10"/>
  <c r="AL88" i="10" s="1"/>
  <c r="AM88" i="10"/>
  <c r="AN88" i="10" s="1"/>
  <c r="AO88" i="10"/>
  <c r="AP88" i="10"/>
  <c r="AQ88" i="10"/>
  <c r="AR88" i="10"/>
  <c r="AS88" i="10"/>
  <c r="AT88" i="10"/>
  <c r="AU88" i="10"/>
  <c r="AV88" i="10"/>
  <c r="AW88" i="10"/>
  <c r="T89" i="10"/>
  <c r="W89" i="10"/>
  <c r="X89" i="10"/>
  <c r="Y89" i="10"/>
  <c r="Z89" i="10"/>
  <c r="AA89" i="10"/>
  <c r="AB89" i="10"/>
  <c r="AC89" i="10"/>
  <c r="AD89" i="10" s="1"/>
  <c r="AE89" i="10"/>
  <c r="AF89" i="10"/>
  <c r="AG89" i="10"/>
  <c r="AH89" i="10"/>
  <c r="AI89" i="10"/>
  <c r="AJ89" i="10" s="1"/>
  <c r="AK89" i="10"/>
  <c r="AL89" i="10" s="1"/>
  <c r="AM89" i="10"/>
  <c r="AN89" i="10" s="1"/>
  <c r="AO89" i="10"/>
  <c r="AP89" i="10"/>
  <c r="AQ89" i="10"/>
  <c r="AR89" i="10"/>
  <c r="AS89" i="10"/>
  <c r="AT89" i="10"/>
  <c r="AU89" i="10"/>
  <c r="AV89" i="10"/>
  <c r="AW89" i="10"/>
  <c r="T90" i="10"/>
  <c r="W90" i="10"/>
  <c r="X90" i="10" s="1"/>
  <c r="Y90" i="10"/>
  <c r="Z90" i="10"/>
  <c r="AA90" i="10"/>
  <c r="AB90" i="10"/>
  <c r="AC90" i="10"/>
  <c r="AD90" i="10" s="1"/>
  <c r="AE90" i="10"/>
  <c r="AF90" i="10"/>
  <c r="AG90" i="10"/>
  <c r="AH90" i="10" s="1"/>
  <c r="AI90" i="10"/>
  <c r="AJ90" i="10" s="1"/>
  <c r="AK90" i="10"/>
  <c r="AL90" i="10"/>
  <c r="AM90" i="10"/>
  <c r="AN90" i="10" s="1"/>
  <c r="AO90" i="10"/>
  <c r="AP90" i="10"/>
  <c r="AQ90" i="10"/>
  <c r="AR90" i="10"/>
  <c r="AS90" i="10"/>
  <c r="AT90" i="10"/>
  <c r="AU90" i="10"/>
  <c r="AV90" i="10"/>
  <c r="AW90" i="10"/>
  <c r="T91" i="10"/>
  <c r="W91" i="10"/>
  <c r="X91" i="10" s="1"/>
  <c r="Y91" i="10"/>
  <c r="Z91" i="10"/>
  <c r="AA91" i="10"/>
  <c r="AB91" i="10"/>
  <c r="AC91" i="10"/>
  <c r="AD91" i="10" s="1"/>
  <c r="AE91" i="10"/>
  <c r="AF91" i="10"/>
  <c r="AG91" i="10"/>
  <c r="AH91" i="10" s="1"/>
  <c r="AI91" i="10"/>
  <c r="AJ91" i="10" s="1"/>
  <c r="AK91" i="10"/>
  <c r="AL91" i="10" s="1"/>
  <c r="AM91" i="10"/>
  <c r="AN91" i="10" s="1"/>
  <c r="AO91" i="10"/>
  <c r="AP91" i="10"/>
  <c r="AQ91" i="10"/>
  <c r="AR91" i="10"/>
  <c r="AS91" i="10"/>
  <c r="AT91" i="10"/>
  <c r="AU91" i="10"/>
  <c r="AV91" i="10"/>
  <c r="AW91" i="10"/>
  <c r="T92" i="10"/>
  <c r="W92" i="10"/>
  <c r="X92" i="10" s="1"/>
  <c r="Y92" i="10"/>
  <c r="Z92" i="10"/>
  <c r="AA92" i="10"/>
  <c r="AB92" i="10"/>
  <c r="AC92" i="10"/>
  <c r="AD92" i="10" s="1"/>
  <c r="AE92" i="10"/>
  <c r="AF92" i="10"/>
  <c r="AG92" i="10"/>
  <c r="AH92" i="10" s="1"/>
  <c r="AI92" i="10"/>
  <c r="AJ92" i="10" s="1"/>
  <c r="AK92" i="10"/>
  <c r="AL92" i="10" s="1"/>
  <c r="AM92" i="10"/>
  <c r="AN92" i="10" s="1"/>
  <c r="AO92" i="10"/>
  <c r="AP92" i="10"/>
  <c r="AQ92" i="10"/>
  <c r="AR92" i="10"/>
  <c r="AS92" i="10"/>
  <c r="AT92" i="10"/>
  <c r="AU92" i="10"/>
  <c r="AV92" i="10"/>
  <c r="AW92" i="10"/>
  <c r="T93" i="10"/>
  <c r="W93" i="10"/>
  <c r="X93" i="10" s="1"/>
  <c r="Y93" i="10"/>
  <c r="Z93" i="10"/>
  <c r="AA93" i="10"/>
  <c r="AB93" i="10"/>
  <c r="AC93" i="10"/>
  <c r="AD93" i="10" s="1"/>
  <c r="AE93" i="10"/>
  <c r="AF93" i="10"/>
  <c r="AG93" i="10"/>
  <c r="AH93" i="10"/>
  <c r="AI93" i="10"/>
  <c r="AJ93" i="10" s="1"/>
  <c r="AK93" i="10"/>
  <c r="AL93" i="10" s="1"/>
  <c r="AM93" i="10"/>
  <c r="AN93" i="10" s="1"/>
  <c r="AO93" i="10"/>
  <c r="AP93" i="10"/>
  <c r="AQ93" i="10"/>
  <c r="AR93" i="10"/>
  <c r="AS93" i="10"/>
  <c r="AT93" i="10"/>
  <c r="AU93" i="10"/>
  <c r="AV93" i="10"/>
  <c r="AW93" i="10"/>
  <c r="T94" i="10"/>
  <c r="W94" i="10"/>
  <c r="X94" i="10" s="1"/>
  <c r="Y94" i="10"/>
  <c r="Z94" i="10"/>
  <c r="AA94" i="10"/>
  <c r="AB94" i="10"/>
  <c r="AC94" i="10"/>
  <c r="AD94" i="10" s="1"/>
  <c r="AE94" i="10"/>
  <c r="AF94" i="10"/>
  <c r="AG94" i="10"/>
  <c r="AH94" i="10" s="1"/>
  <c r="AI94" i="10"/>
  <c r="AJ94" i="10" s="1"/>
  <c r="AK94" i="10"/>
  <c r="AL94" i="10" s="1"/>
  <c r="AM94" i="10"/>
  <c r="AN94" i="10" s="1"/>
  <c r="AO94" i="10"/>
  <c r="AP94" i="10"/>
  <c r="AQ94" i="10"/>
  <c r="AR94" i="10"/>
  <c r="AS94" i="10"/>
  <c r="AT94" i="10"/>
  <c r="AU94" i="10"/>
  <c r="AV94" i="10"/>
  <c r="AW94" i="10"/>
  <c r="T95" i="10"/>
  <c r="W95" i="10"/>
  <c r="X95" i="10" s="1"/>
  <c r="Y95" i="10"/>
  <c r="Z95" i="10"/>
  <c r="AA95" i="10"/>
  <c r="AB95" i="10"/>
  <c r="AC95" i="10"/>
  <c r="AD95" i="10" s="1"/>
  <c r="AE95" i="10"/>
  <c r="AF95" i="10"/>
  <c r="AG95" i="10"/>
  <c r="AH95" i="10" s="1"/>
  <c r="AI95" i="10"/>
  <c r="AJ95" i="10" s="1"/>
  <c r="AK95" i="10"/>
  <c r="AL95" i="10" s="1"/>
  <c r="AM95" i="10"/>
  <c r="AN95" i="10" s="1"/>
  <c r="AO95" i="10"/>
  <c r="AP95" i="10"/>
  <c r="AQ95" i="10"/>
  <c r="AR95" i="10"/>
  <c r="AS95" i="10"/>
  <c r="AT95" i="10"/>
  <c r="AU95" i="10"/>
  <c r="AV95" i="10"/>
  <c r="AW95" i="10"/>
  <c r="T96" i="10"/>
  <c r="W96" i="10"/>
  <c r="X96" i="10" s="1"/>
  <c r="Y96" i="10"/>
  <c r="Z96" i="10"/>
  <c r="AA96" i="10"/>
  <c r="AB96" i="10"/>
  <c r="AC96" i="10"/>
  <c r="AD96" i="10" s="1"/>
  <c r="AE96" i="10"/>
  <c r="AF96" i="10"/>
  <c r="AG96" i="10"/>
  <c r="AH96" i="10" s="1"/>
  <c r="AI96" i="10"/>
  <c r="AJ96" i="10" s="1"/>
  <c r="AK96" i="10"/>
  <c r="AL96" i="10" s="1"/>
  <c r="AM96" i="10"/>
  <c r="AN96" i="10" s="1"/>
  <c r="AO96" i="10"/>
  <c r="AP96" i="10"/>
  <c r="AQ96" i="10"/>
  <c r="AR96" i="10"/>
  <c r="AS96" i="10"/>
  <c r="AT96" i="10"/>
  <c r="AU96" i="10"/>
  <c r="AV96" i="10"/>
  <c r="AW96" i="10"/>
  <c r="T97" i="10"/>
  <c r="W97" i="10"/>
  <c r="X97" i="10"/>
  <c r="Y97" i="10"/>
  <c r="Z97" i="10"/>
  <c r="AA97" i="10"/>
  <c r="AB97" i="10"/>
  <c r="AC97" i="10"/>
  <c r="AD97" i="10" s="1"/>
  <c r="AE97" i="10"/>
  <c r="AF97" i="10"/>
  <c r="AG97" i="10"/>
  <c r="AH97" i="10" s="1"/>
  <c r="AI97" i="10"/>
  <c r="AJ97" i="10"/>
  <c r="AK97" i="10"/>
  <c r="AL97" i="10" s="1"/>
  <c r="AM97" i="10"/>
  <c r="AN97" i="10" s="1"/>
  <c r="AO97" i="10"/>
  <c r="AP97" i="10"/>
  <c r="AQ97" i="10"/>
  <c r="AR97" i="10"/>
  <c r="AS97" i="10"/>
  <c r="AT97" i="10"/>
  <c r="AU97" i="10"/>
  <c r="AV97" i="10"/>
  <c r="AW97" i="10"/>
  <c r="T98" i="10"/>
  <c r="W98" i="10"/>
  <c r="X98" i="10" s="1"/>
  <c r="Y98" i="10"/>
  <c r="Z98" i="10"/>
  <c r="AA98" i="10"/>
  <c r="AB98" i="10"/>
  <c r="AC98" i="10"/>
  <c r="AD98" i="10"/>
  <c r="AE98" i="10"/>
  <c r="AF98" i="10"/>
  <c r="AG98" i="10"/>
  <c r="AH98" i="10" s="1"/>
  <c r="AI98" i="10"/>
  <c r="AJ98" i="10" s="1"/>
  <c r="AK98" i="10"/>
  <c r="AL98" i="10" s="1"/>
  <c r="AM98" i="10"/>
  <c r="AN98" i="10" s="1"/>
  <c r="AO98" i="10"/>
  <c r="AP98" i="10"/>
  <c r="AQ98" i="10"/>
  <c r="AR98" i="10"/>
  <c r="AS98" i="10"/>
  <c r="AT98" i="10"/>
  <c r="AU98" i="10"/>
  <c r="AV98" i="10"/>
  <c r="AW98" i="10"/>
  <c r="T99" i="10"/>
  <c r="W99" i="10"/>
  <c r="X99" i="10" s="1"/>
  <c r="Y99" i="10"/>
  <c r="Z99" i="10"/>
  <c r="AA99" i="10"/>
  <c r="AB99" i="10"/>
  <c r="AC99" i="10"/>
  <c r="AD99" i="10" s="1"/>
  <c r="AE99" i="10"/>
  <c r="AF99" i="10"/>
  <c r="AG99" i="10"/>
  <c r="AH99" i="10" s="1"/>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s="1"/>
  <c r="AI100" i="10"/>
  <c r="AJ100" i="10" s="1"/>
  <c r="AK100" i="10"/>
  <c r="AL100" i="10" s="1"/>
  <c r="AM100" i="10"/>
  <c r="AN100" i="10" s="1"/>
  <c r="AO100" i="10"/>
  <c r="AP100" i="10"/>
  <c r="AQ100" i="10"/>
  <c r="AR100" i="10"/>
  <c r="AS100" i="10"/>
  <c r="AT100" i="10"/>
  <c r="AU100" i="10"/>
  <c r="AV100" i="10"/>
  <c r="AW100" i="10"/>
  <c r="T101" i="10"/>
  <c r="W101" i="10"/>
  <c r="X101" i="10" s="1"/>
  <c r="Y101" i="10"/>
  <c r="Z101" i="10"/>
  <c r="AA101" i="10"/>
  <c r="AB101" i="10"/>
  <c r="AC101" i="10"/>
  <c r="AD101" i="10" s="1"/>
  <c r="AE101" i="10"/>
  <c r="AF101" i="10"/>
  <c r="AG101" i="10"/>
  <c r="AH101" i="10" s="1"/>
  <c r="AI101" i="10"/>
  <c r="AJ101" i="10" s="1"/>
  <c r="AK101" i="10"/>
  <c r="AL101" i="10"/>
  <c r="AM101" i="10"/>
  <c r="AN101" i="10" s="1"/>
  <c r="AO101" i="10"/>
  <c r="AP101" i="10"/>
  <c r="AQ101" i="10"/>
  <c r="AR101" i="10"/>
  <c r="AS101" i="10"/>
  <c r="AT101" i="10"/>
  <c r="AU101" i="10"/>
  <c r="AV101" i="10"/>
  <c r="AW101" i="10"/>
  <c r="T102" i="10"/>
  <c r="W102" i="10"/>
  <c r="X102" i="10" s="1"/>
  <c r="Y102" i="10"/>
  <c r="Z102" i="10"/>
  <c r="AA102" i="10"/>
  <c r="AB102" i="10"/>
  <c r="AC102" i="10"/>
  <c r="AD102" i="10" s="1"/>
  <c r="AE102" i="10"/>
  <c r="AF102" i="10"/>
  <c r="AG102" i="10"/>
  <c r="AH102" i="10"/>
  <c r="AI102" i="10"/>
  <c r="AJ102" i="10" s="1"/>
  <c r="AK102" i="10"/>
  <c r="AL102" i="10" s="1"/>
  <c r="AM102" i="10"/>
  <c r="AN102" i="10" s="1"/>
  <c r="AO102" i="10"/>
  <c r="AP102" i="10"/>
  <c r="AQ102" i="10"/>
  <c r="AR102" i="10"/>
  <c r="AS102" i="10"/>
  <c r="AT102" i="10"/>
  <c r="AU102" i="10"/>
  <c r="AV102" i="10"/>
  <c r="AW102" i="10"/>
  <c r="T103" i="10"/>
  <c r="W103" i="10"/>
  <c r="X103" i="10" s="1"/>
  <c r="Y103" i="10"/>
  <c r="Z103" i="10"/>
  <c r="AA103" i="10"/>
  <c r="AB103" i="10"/>
  <c r="AC103" i="10"/>
  <c r="AD103" i="10" s="1"/>
  <c r="AE103" i="10"/>
  <c r="AF103" i="10"/>
  <c r="AG103" i="10"/>
  <c r="AH103" i="10" s="1"/>
  <c r="AI103" i="10"/>
  <c r="AJ103" i="10" s="1"/>
  <c r="AK103" i="10"/>
  <c r="AL103" i="10" s="1"/>
  <c r="AM103" i="10"/>
  <c r="AN103" i="10" s="1"/>
  <c r="AO103" i="10"/>
  <c r="AP103" i="10"/>
  <c r="AQ103" i="10"/>
  <c r="AR103" i="10"/>
  <c r="AS103" i="10"/>
  <c r="AT103" i="10"/>
  <c r="AU103" i="10"/>
  <c r="AV103" i="10"/>
  <c r="AW103" i="10"/>
  <c r="T104" i="10"/>
  <c r="W104" i="10"/>
  <c r="X104" i="10" s="1"/>
  <c r="Y104" i="10"/>
  <c r="Z104" i="10"/>
  <c r="AA104" i="10"/>
  <c r="AB104" i="10"/>
  <c r="AC104" i="10"/>
  <c r="AD104" i="10" s="1"/>
  <c r="AE104" i="10"/>
  <c r="AF104" i="10"/>
  <c r="AG104" i="10"/>
  <c r="AH104" i="10"/>
  <c r="AI104" i="10"/>
  <c r="AJ104" i="10" s="1"/>
  <c r="AK104" i="10"/>
  <c r="AL104" i="10"/>
  <c r="AM104" i="10"/>
  <c r="AN104" i="10" s="1"/>
  <c r="AO104" i="10"/>
  <c r="AP104" i="10"/>
  <c r="AQ104" i="10"/>
  <c r="AR104" i="10"/>
  <c r="AS104" i="10"/>
  <c r="AT104" i="10"/>
  <c r="AU104" i="10"/>
  <c r="AV104" i="10"/>
  <c r="AW104" i="10"/>
  <c r="T105" i="10"/>
  <c r="W105" i="10"/>
  <c r="X105" i="10" s="1"/>
  <c r="Y105" i="10"/>
  <c r="Z105" i="10"/>
  <c r="AA105" i="10"/>
  <c r="AB105" i="10"/>
  <c r="AC105" i="10"/>
  <c r="AD105" i="10" s="1"/>
  <c r="AE105" i="10"/>
  <c r="AF105" i="10"/>
  <c r="AG105" i="10"/>
  <c r="AH105" i="10" s="1"/>
  <c r="AI105" i="10"/>
  <c r="AJ105" i="10" s="1"/>
  <c r="AK105" i="10"/>
  <c r="AL105" i="10" s="1"/>
  <c r="AM105" i="10"/>
  <c r="AN105" i="10" s="1"/>
  <c r="AO105" i="10"/>
  <c r="AP105" i="10"/>
  <c r="AQ105" i="10"/>
  <c r="AR105" i="10"/>
  <c r="AS105" i="10"/>
  <c r="AT105" i="10"/>
  <c r="AU105" i="10"/>
  <c r="AV105" i="10"/>
  <c r="AW105" i="10"/>
  <c r="T106" i="10"/>
  <c r="W106" i="10"/>
  <c r="X106" i="10" s="1"/>
  <c r="Y106" i="10"/>
  <c r="Z106" i="10"/>
  <c r="AA106" i="10"/>
  <c r="AB106" i="10"/>
  <c r="AC106" i="10"/>
  <c r="AD106" i="10" s="1"/>
  <c r="AE106" i="10"/>
  <c r="AF106" i="10"/>
  <c r="AG106" i="10"/>
  <c r="AH106" i="10" s="1"/>
  <c r="AI106" i="10"/>
  <c r="AJ106" i="10" s="1"/>
  <c r="AK106" i="10"/>
  <c r="AL106" i="10" s="1"/>
  <c r="AM106" i="10"/>
  <c r="AN106" i="10" s="1"/>
  <c r="AO106" i="10"/>
  <c r="AP106" i="10"/>
  <c r="AQ106" i="10"/>
  <c r="AR106" i="10"/>
  <c r="AS106" i="10"/>
  <c r="AT106" i="10"/>
  <c r="AU106" i="10"/>
  <c r="AV106" i="10"/>
  <c r="AW106" i="10"/>
  <c r="T107" i="10"/>
  <c r="W107" i="10"/>
  <c r="X107" i="10" s="1"/>
  <c r="Y107" i="10"/>
  <c r="Z107" i="10"/>
  <c r="AA107" i="10"/>
  <c r="AB107" i="10"/>
  <c r="AC107" i="10"/>
  <c r="AD107" i="10" s="1"/>
  <c r="AE107" i="10"/>
  <c r="AF107" i="10"/>
  <c r="AG107" i="10"/>
  <c r="AH107" i="10" s="1"/>
  <c r="AI107" i="10"/>
  <c r="AJ107" i="10" s="1"/>
  <c r="AK107" i="10"/>
  <c r="AL107" i="10" s="1"/>
  <c r="AM107" i="10"/>
  <c r="AN107" i="10" s="1"/>
  <c r="AO107" i="10"/>
  <c r="AP107" i="10"/>
  <c r="AQ107" i="10"/>
  <c r="AR107" i="10"/>
  <c r="AS107" i="10"/>
  <c r="AT107" i="10"/>
  <c r="AU107" i="10"/>
  <c r="AV107" i="10"/>
  <c r="AW107" i="10"/>
  <c r="T108" i="10"/>
  <c r="W108" i="10"/>
  <c r="X108" i="10" s="1"/>
  <c r="Y108" i="10"/>
  <c r="Z108" i="10"/>
  <c r="AA108" i="10"/>
  <c r="AB108" i="10"/>
  <c r="AC108" i="10"/>
  <c r="AD108" i="10" s="1"/>
  <c r="AE108" i="10"/>
  <c r="AF108" i="10"/>
  <c r="AG108" i="10"/>
  <c r="AH108" i="10"/>
  <c r="AI108" i="10"/>
  <c r="AJ108" i="10" s="1"/>
  <c r="AK108" i="10"/>
  <c r="AL108" i="10" s="1"/>
  <c r="AM108" i="10"/>
  <c r="AN108" i="10" s="1"/>
  <c r="AO108" i="10"/>
  <c r="AP108" i="10"/>
  <c r="AQ108" i="10"/>
  <c r="AR108" i="10"/>
  <c r="AS108" i="10"/>
  <c r="AT108" i="10"/>
  <c r="AU108" i="10"/>
  <c r="AV108" i="10"/>
  <c r="AW108" i="10"/>
  <c r="T109" i="10"/>
  <c r="W109" i="10"/>
  <c r="X109" i="10" s="1"/>
  <c r="Y109" i="10"/>
  <c r="Z109" i="10"/>
  <c r="AA109" i="10"/>
  <c r="AB109" i="10"/>
  <c r="AC109" i="10"/>
  <c r="AD109" i="10" s="1"/>
  <c r="AE109" i="10"/>
  <c r="AF109" i="10"/>
  <c r="AG109" i="10"/>
  <c r="AH109" i="10" s="1"/>
  <c r="AI109" i="10"/>
  <c r="AJ109" i="10" s="1"/>
  <c r="AK109" i="10"/>
  <c r="AL109" i="10" s="1"/>
  <c r="AM109" i="10"/>
  <c r="AN109" i="10" s="1"/>
  <c r="AO109" i="10"/>
  <c r="AP109" i="10"/>
  <c r="AQ109" i="10"/>
  <c r="AR109" i="10"/>
  <c r="AS109" i="10"/>
  <c r="AT109" i="10"/>
  <c r="AU109" i="10"/>
  <c r="AV109" i="10"/>
  <c r="AW109" i="10"/>
  <c r="T110" i="10"/>
  <c r="W110" i="10"/>
  <c r="X110" i="10" s="1"/>
  <c r="Y110" i="10"/>
  <c r="Z110" i="10"/>
  <c r="AA110" i="10"/>
  <c r="AB110" i="10"/>
  <c r="AC110" i="10"/>
  <c r="AD110" i="10" s="1"/>
  <c r="AE110" i="10"/>
  <c r="AF110" i="10"/>
  <c r="AG110" i="10"/>
  <c r="AH110" i="10" s="1"/>
  <c r="AI110" i="10"/>
  <c r="AJ110" i="10"/>
  <c r="AK110" i="10"/>
  <c r="AL110" i="10" s="1"/>
  <c r="AM110" i="10"/>
  <c r="AN110" i="10" s="1"/>
  <c r="AO110" i="10"/>
  <c r="AP110" i="10"/>
  <c r="AQ110" i="10"/>
  <c r="AR110" i="10"/>
  <c r="AS110" i="10"/>
  <c r="AT110" i="10"/>
  <c r="AU110" i="10"/>
  <c r="AV110" i="10"/>
  <c r="AW110" i="10"/>
  <c r="T111" i="10"/>
  <c r="W111" i="10"/>
  <c r="X111" i="10" s="1"/>
  <c r="Y111" i="10"/>
  <c r="Z111" i="10"/>
  <c r="AA111" i="10"/>
  <c r="AB111" i="10"/>
  <c r="AC111" i="10"/>
  <c r="AD111" i="10" s="1"/>
  <c r="AE111" i="10"/>
  <c r="AF111" i="10"/>
  <c r="AG111" i="10"/>
  <c r="AH111" i="10" s="1"/>
  <c r="AI111" i="10"/>
  <c r="AJ111" i="10" s="1"/>
  <c r="AK111" i="10"/>
  <c r="AL111" i="10" s="1"/>
  <c r="AM111" i="10"/>
  <c r="AN111" i="10" s="1"/>
  <c r="AO111" i="10"/>
  <c r="AP111" i="10"/>
  <c r="AQ111" i="10"/>
  <c r="AR111" i="10"/>
  <c r="AS111" i="10"/>
  <c r="AT111" i="10"/>
  <c r="AU111" i="10"/>
  <c r="AV111" i="10"/>
  <c r="AW111" i="10"/>
  <c r="T112" i="10"/>
  <c r="W112" i="10"/>
  <c r="X112" i="10" s="1"/>
  <c r="Y112" i="10"/>
  <c r="Z112" i="10"/>
  <c r="AA112" i="10"/>
  <c r="AB112" i="10"/>
  <c r="AC112" i="10"/>
  <c r="AD112" i="10" s="1"/>
  <c r="AE112" i="10"/>
  <c r="AF112" i="10"/>
  <c r="AG112" i="10"/>
  <c r="AH112" i="10"/>
  <c r="AI112" i="10"/>
  <c r="AJ112" i="10" s="1"/>
  <c r="AK112" i="10"/>
  <c r="AL112" i="10" s="1"/>
  <c r="AM112" i="10"/>
  <c r="AN112" i="10" s="1"/>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s="1"/>
  <c r="AM113" i="10"/>
  <c r="AN113" i="10" s="1"/>
  <c r="AO113" i="10"/>
  <c r="AP113" i="10"/>
  <c r="AQ113" i="10"/>
  <c r="AR113" i="10"/>
  <c r="AS113" i="10"/>
  <c r="AT113" i="10"/>
  <c r="AU113" i="10"/>
  <c r="AV113" i="10"/>
  <c r="AW113" i="10"/>
  <c r="T114" i="10"/>
  <c r="W114" i="10"/>
  <c r="X114" i="10" s="1"/>
  <c r="Y114" i="10"/>
  <c r="Z114" i="10"/>
  <c r="AA114" i="10"/>
  <c r="AB114" i="10"/>
  <c r="AC114" i="10"/>
  <c r="AD114" i="10"/>
  <c r="AE114" i="10"/>
  <c r="AF114" i="10"/>
  <c r="AG114" i="10"/>
  <c r="AH114" i="10" s="1"/>
  <c r="AI114" i="10"/>
  <c r="AJ114" i="10" s="1"/>
  <c r="AK114" i="10"/>
  <c r="AL114" i="10" s="1"/>
  <c r="AM114" i="10"/>
  <c r="AN114" i="10" s="1"/>
  <c r="AO114" i="10"/>
  <c r="AP114" i="10"/>
  <c r="AQ114" i="10"/>
  <c r="AR114" i="10"/>
  <c r="AS114" i="10"/>
  <c r="AT114" i="10"/>
  <c r="AU114" i="10"/>
  <c r="AV114" i="10"/>
  <c r="AW114" i="10"/>
  <c r="T115" i="10"/>
  <c r="W115" i="10"/>
  <c r="X115" i="10"/>
  <c r="Y115" i="10"/>
  <c r="Z115" i="10"/>
  <c r="AA115" i="10"/>
  <c r="AB115" i="10"/>
  <c r="AC115" i="10"/>
  <c r="AD115" i="10" s="1"/>
  <c r="AE115" i="10"/>
  <c r="AF115" i="10"/>
  <c r="AG115" i="10"/>
  <c r="AH115" i="10" s="1"/>
  <c r="AI115" i="10"/>
  <c r="AJ115" i="10" s="1"/>
  <c r="AK115" i="10"/>
  <c r="AL115" i="10" s="1"/>
  <c r="AM115" i="10"/>
  <c r="AN115" i="10" s="1"/>
  <c r="AO115" i="10"/>
  <c r="AP115" i="10"/>
  <c r="AQ115" i="10"/>
  <c r="AR115" i="10"/>
  <c r="AS115" i="10"/>
  <c r="AT115" i="10"/>
  <c r="AU115" i="10"/>
  <c r="AV115" i="10"/>
  <c r="AW115" i="10"/>
  <c r="T116" i="10"/>
  <c r="W116" i="10"/>
  <c r="X116" i="10"/>
  <c r="Y116" i="10"/>
  <c r="Z116" i="10"/>
  <c r="AA116" i="10"/>
  <c r="AB116" i="10"/>
  <c r="AC116" i="10"/>
  <c r="AD116" i="10"/>
  <c r="AE116" i="10"/>
  <c r="AF116" i="10"/>
  <c r="AG116" i="10"/>
  <c r="AH116" i="10" s="1"/>
  <c r="AI116" i="10"/>
  <c r="AJ116" i="10" s="1"/>
  <c r="AK116" i="10"/>
  <c r="AL116" i="10" s="1"/>
  <c r="AM116" i="10"/>
  <c r="AN116" i="10" s="1"/>
  <c r="AO116" i="10"/>
  <c r="AP116" i="10"/>
  <c r="AQ116" i="10"/>
  <c r="AR116" i="10"/>
  <c r="AS116" i="10"/>
  <c r="AT116" i="10"/>
  <c r="AU116" i="10"/>
  <c r="AV116" i="10"/>
  <c r="AW116" i="10"/>
  <c r="T117" i="10"/>
  <c r="W117" i="10"/>
  <c r="X117" i="10" s="1"/>
  <c r="Y117" i="10"/>
  <c r="Z117" i="10"/>
  <c r="AA117" i="10"/>
  <c r="AB117" i="10"/>
  <c r="AC117" i="10"/>
  <c r="AD117" i="10"/>
  <c r="AE117" i="10"/>
  <c r="AF117" i="10"/>
  <c r="AG117" i="10"/>
  <c r="AH117" i="10" s="1"/>
  <c r="AI117" i="10"/>
  <c r="AJ117" i="10" s="1"/>
  <c r="AK117" i="10"/>
  <c r="AL117" i="10" s="1"/>
  <c r="AM117" i="10"/>
  <c r="AN117" i="10" s="1"/>
  <c r="AO117" i="10"/>
  <c r="AP117" i="10"/>
  <c r="AQ117" i="10"/>
  <c r="AR117" i="10"/>
  <c r="AS117" i="10"/>
  <c r="AT117" i="10"/>
  <c r="AU117" i="10"/>
  <c r="AV117" i="10"/>
  <c r="AW117" i="10"/>
  <c r="T118" i="10"/>
  <c r="W118" i="10"/>
  <c r="X118" i="10"/>
  <c r="Y118" i="10"/>
  <c r="Z118" i="10"/>
  <c r="AA118" i="10"/>
  <c r="AB118" i="10"/>
  <c r="AC118" i="10"/>
  <c r="AD118" i="10" s="1"/>
  <c r="AE118" i="10"/>
  <c r="AF118" i="10"/>
  <c r="AG118" i="10"/>
  <c r="AH118" i="10" s="1"/>
  <c r="AI118" i="10"/>
  <c r="AJ118" i="10" s="1"/>
  <c r="AK118" i="10"/>
  <c r="AL118" i="10" s="1"/>
  <c r="AM118" i="10"/>
  <c r="AN118" i="10" s="1"/>
  <c r="AO118" i="10"/>
  <c r="AP118" i="10"/>
  <c r="AQ118" i="10"/>
  <c r="AR118" i="10"/>
  <c r="AS118" i="10"/>
  <c r="AT118" i="10"/>
  <c r="AU118" i="10"/>
  <c r="AV118" i="10"/>
  <c r="AW118" i="10"/>
  <c r="T119" i="10"/>
  <c r="W119" i="10"/>
  <c r="X119" i="10" s="1"/>
  <c r="Y119" i="10"/>
  <c r="Z119" i="10"/>
  <c r="AA119" i="10"/>
  <c r="AB119" i="10"/>
  <c r="AC119" i="10"/>
  <c r="AD119" i="10" s="1"/>
  <c r="AE119" i="10"/>
  <c r="AF119" i="10"/>
  <c r="AG119" i="10"/>
  <c r="AH119" i="10" s="1"/>
  <c r="AI119" i="10"/>
  <c r="AJ119" i="10" s="1"/>
  <c r="AK119" i="10"/>
  <c r="AL119" i="10" s="1"/>
  <c r="AM119" i="10"/>
  <c r="AN119" i="10" s="1"/>
  <c r="AO119" i="10"/>
  <c r="AP119" i="10"/>
  <c r="AQ119" i="10"/>
  <c r="AR119" i="10"/>
  <c r="AS119" i="10"/>
  <c r="AT119" i="10"/>
  <c r="AU119" i="10"/>
  <c r="AV119" i="10"/>
  <c r="AW119" i="10"/>
  <c r="T120" i="10"/>
  <c r="W120" i="10"/>
  <c r="X120" i="10" s="1"/>
  <c r="Y120" i="10"/>
  <c r="Z120" i="10"/>
  <c r="AA120" i="10"/>
  <c r="AB120" i="10"/>
  <c r="AC120" i="10"/>
  <c r="AD120" i="10" s="1"/>
  <c r="AE120" i="10"/>
  <c r="AF120" i="10"/>
  <c r="AG120" i="10"/>
  <c r="AH120" i="10"/>
  <c r="AI120" i="10"/>
  <c r="AJ120" i="10" s="1"/>
  <c r="AK120" i="10"/>
  <c r="AL120" i="10" s="1"/>
  <c r="AM120" i="10"/>
  <c r="AN120" i="10"/>
  <c r="AO120" i="10"/>
  <c r="AP120" i="10"/>
  <c r="AQ120" i="10"/>
  <c r="AR120" i="10"/>
  <c r="AS120" i="10"/>
  <c r="AT120" i="10"/>
  <c r="AU120" i="10"/>
  <c r="AV120" i="10"/>
  <c r="AW120" i="10"/>
  <c r="T121" i="10"/>
  <c r="W121" i="10"/>
  <c r="X121" i="10" s="1"/>
  <c r="Y121" i="10"/>
  <c r="Z121" i="10"/>
  <c r="AA121" i="10"/>
  <c r="AB121" i="10"/>
  <c r="AC121" i="10"/>
  <c r="AD121" i="10" s="1"/>
  <c r="AE121" i="10"/>
  <c r="AF121" i="10"/>
  <c r="AG121" i="10"/>
  <c r="AH121" i="10"/>
  <c r="AI121" i="10"/>
  <c r="AJ121" i="10" s="1"/>
  <c r="AK121" i="10"/>
  <c r="AL121" i="10" s="1"/>
  <c r="AM121" i="10"/>
  <c r="AN121" i="10" s="1"/>
  <c r="AO121" i="10"/>
  <c r="AP121" i="10"/>
  <c r="AQ121" i="10"/>
  <c r="AR121" i="10"/>
  <c r="AS121" i="10"/>
  <c r="AT121" i="10"/>
  <c r="AU121" i="10"/>
  <c r="AV121" i="10"/>
  <c r="AW121" i="10"/>
  <c r="T122" i="10"/>
  <c r="W122" i="10"/>
  <c r="X122" i="10" s="1"/>
  <c r="Y122" i="10"/>
  <c r="Z122" i="10"/>
  <c r="AA122" i="10"/>
  <c r="AB122" i="10"/>
  <c r="AC122" i="10"/>
  <c r="AD122" i="10" s="1"/>
  <c r="AE122" i="10"/>
  <c r="AF122" i="10"/>
  <c r="AG122" i="10"/>
  <c r="AH122" i="10" s="1"/>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s="1"/>
  <c r="AK123" i="10"/>
  <c r="AL123" i="10"/>
  <c r="AM123" i="10"/>
  <c r="AN123" i="10" s="1"/>
  <c r="AO123" i="10"/>
  <c r="AP123" i="10"/>
  <c r="AQ123" i="10"/>
  <c r="AR123" i="10"/>
  <c r="AS123" i="10"/>
  <c r="AT123" i="10"/>
  <c r="AU123" i="10"/>
  <c r="AV123" i="10"/>
  <c r="AW123" i="10"/>
  <c r="T124" i="10"/>
  <c r="W124" i="10"/>
  <c r="X124" i="10" s="1"/>
  <c r="Y124" i="10"/>
  <c r="Z124" i="10"/>
  <c r="AA124" i="10"/>
  <c r="AB124" i="10"/>
  <c r="AC124" i="10"/>
  <c r="AD124" i="10" s="1"/>
  <c r="AE124" i="10"/>
  <c r="AF124" i="10"/>
  <c r="AG124" i="10"/>
  <c r="AH124" i="10" s="1"/>
  <c r="AI124" i="10"/>
  <c r="AJ124" i="10" s="1"/>
  <c r="AK124" i="10"/>
  <c r="AL124" i="10" s="1"/>
  <c r="AM124" i="10"/>
  <c r="AN124" i="10" s="1"/>
  <c r="AO124" i="10"/>
  <c r="AP124" i="10"/>
  <c r="AQ124" i="10"/>
  <c r="AR124" i="10"/>
  <c r="AS124" i="10"/>
  <c r="AT124" i="10"/>
  <c r="AU124" i="10"/>
  <c r="AV124" i="10"/>
  <c r="AW124" i="10"/>
  <c r="T125" i="10"/>
  <c r="W125" i="10"/>
  <c r="X125" i="10" s="1"/>
  <c r="Y125" i="10"/>
  <c r="Z125" i="10"/>
  <c r="AA125" i="10"/>
  <c r="AB125" i="10"/>
  <c r="AC125" i="10"/>
  <c r="AD125" i="10"/>
  <c r="AE125" i="10"/>
  <c r="AF125" i="10"/>
  <c r="AG125" i="10"/>
  <c r="AH125" i="10" s="1"/>
  <c r="AI125" i="10"/>
  <c r="AJ125" i="10" s="1"/>
  <c r="AK125" i="10"/>
  <c r="AL125" i="10"/>
  <c r="AM125" i="10"/>
  <c r="AN125" i="10" s="1"/>
  <c r="AO125" i="10"/>
  <c r="AP125" i="10"/>
  <c r="AQ125" i="10"/>
  <c r="AR125" i="10"/>
  <c r="AS125" i="10"/>
  <c r="AT125" i="10"/>
  <c r="AU125" i="10"/>
  <c r="AV125" i="10"/>
  <c r="AW125" i="10"/>
  <c r="T126" i="10"/>
  <c r="W126" i="10"/>
  <c r="X126" i="10" s="1"/>
  <c r="Y126" i="10"/>
  <c r="Z126" i="10"/>
  <c r="AA126" i="10"/>
  <c r="AB126" i="10"/>
  <c r="AC126" i="10"/>
  <c r="AD126" i="10" s="1"/>
  <c r="AE126" i="10"/>
  <c r="AF126" i="10"/>
  <c r="AG126" i="10"/>
  <c r="AH126" i="10"/>
  <c r="AI126" i="10"/>
  <c r="AJ126" i="10" s="1"/>
  <c r="AK126" i="10"/>
  <c r="AL126" i="10" s="1"/>
  <c r="AM126" i="10"/>
  <c r="AN126" i="10" s="1"/>
  <c r="AO126" i="10"/>
  <c r="AP126" i="10"/>
  <c r="AQ126" i="10"/>
  <c r="AR126" i="10"/>
  <c r="AS126" i="10"/>
  <c r="AT126" i="10"/>
  <c r="AU126" i="10"/>
  <c r="AV126" i="10"/>
  <c r="AW126" i="10"/>
  <c r="T127" i="10"/>
  <c r="W127" i="10"/>
  <c r="X127" i="10" s="1"/>
  <c r="Y127" i="10"/>
  <c r="Z127" i="10"/>
  <c r="AA127" i="10"/>
  <c r="AB127" i="10"/>
  <c r="AC127" i="10"/>
  <c r="AD127" i="10" s="1"/>
  <c r="AE127" i="10"/>
  <c r="AF127" i="10"/>
  <c r="AG127" i="10"/>
  <c r="AH127" i="10" s="1"/>
  <c r="AI127" i="10"/>
  <c r="AJ127" i="10" s="1"/>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s="1"/>
  <c r="AE128" i="10"/>
  <c r="AF128" i="10"/>
  <c r="AG128" i="10"/>
  <c r="AH128" i="10" s="1"/>
  <c r="AI128" i="10"/>
  <c r="AJ128" i="10" s="1"/>
  <c r="AK128" i="10"/>
  <c r="AL128" i="10" s="1"/>
  <c r="AM128" i="10"/>
  <c r="AN128" i="10" s="1"/>
  <c r="AO128" i="10"/>
  <c r="AP128" i="10"/>
  <c r="AQ128" i="10"/>
  <c r="AR128" i="10"/>
  <c r="AS128" i="10"/>
  <c r="AT128" i="10"/>
  <c r="AU128" i="10"/>
  <c r="AV128" i="10"/>
  <c r="AW128" i="10"/>
  <c r="T129" i="10"/>
  <c r="W129" i="10"/>
  <c r="X129" i="10" s="1"/>
  <c r="Y129" i="10"/>
  <c r="Z129" i="10"/>
  <c r="AA129" i="10"/>
  <c r="AB129" i="10"/>
  <c r="AC129" i="10"/>
  <c r="AD129" i="10" s="1"/>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s="1"/>
  <c r="AE130" i="10"/>
  <c r="AF130" i="10"/>
  <c r="AG130" i="10"/>
  <c r="AH130" i="10" s="1"/>
  <c r="AI130" i="10"/>
  <c r="AJ130" i="10"/>
  <c r="AK130" i="10"/>
  <c r="AL130" i="10" s="1"/>
  <c r="AM130" i="10"/>
  <c r="AN130" i="10"/>
  <c r="AO130" i="10"/>
  <c r="AP130" i="10"/>
  <c r="AQ130" i="10"/>
  <c r="AR130" i="10"/>
  <c r="AS130" i="10"/>
  <c r="AT130" i="10"/>
  <c r="AU130" i="10"/>
  <c r="AV130" i="10"/>
  <c r="AW130" i="10"/>
  <c r="T131" i="10"/>
  <c r="W131" i="10"/>
  <c r="X131" i="10" s="1"/>
  <c r="Y131" i="10"/>
  <c r="Z131" i="10"/>
  <c r="AA131" i="10"/>
  <c r="AB131" i="10"/>
  <c r="AC131" i="10"/>
  <c r="AD131" i="10"/>
  <c r="AE131" i="10"/>
  <c r="AF131" i="10"/>
  <c r="AG131" i="10"/>
  <c r="AH131" i="10" s="1"/>
  <c r="AI131" i="10"/>
  <c r="AJ131" i="10" s="1"/>
  <c r="AK131" i="10"/>
  <c r="AL131" i="10" s="1"/>
  <c r="AM131" i="10"/>
  <c r="AN131" i="10" s="1"/>
  <c r="AO131" i="10"/>
  <c r="AP131" i="10"/>
  <c r="AQ131" i="10"/>
  <c r="AR131" i="10"/>
  <c r="AS131" i="10"/>
  <c r="AT131" i="10"/>
  <c r="AU131" i="10"/>
  <c r="AV131" i="10"/>
  <c r="AW131" i="10"/>
  <c r="T132" i="10"/>
  <c r="W132" i="10"/>
  <c r="X132" i="10" s="1"/>
  <c r="Y132" i="10"/>
  <c r="Z132" i="10"/>
  <c r="AA132" i="10"/>
  <c r="AB132" i="10"/>
  <c r="AC132" i="10"/>
  <c r="AD132" i="10" s="1"/>
  <c r="AE132" i="10"/>
  <c r="AF132" i="10"/>
  <c r="AG132" i="10"/>
  <c r="AH132" i="10" s="1"/>
  <c r="AI132" i="10"/>
  <c r="AJ132" i="10" s="1"/>
  <c r="AK132" i="10"/>
  <c r="AL132" i="10" s="1"/>
  <c r="AM132" i="10"/>
  <c r="AN132" i="10" s="1"/>
  <c r="AO132" i="10"/>
  <c r="AP132" i="10"/>
  <c r="AQ132" i="10"/>
  <c r="AR132" i="10"/>
  <c r="AS132" i="10"/>
  <c r="AT132" i="10"/>
  <c r="AU132" i="10"/>
  <c r="AV132" i="10"/>
  <c r="AW132" i="10"/>
  <c r="T133" i="10"/>
  <c r="W133" i="10"/>
  <c r="X133" i="10" s="1"/>
  <c r="Y133" i="10"/>
  <c r="Z133" i="10"/>
  <c r="AA133" i="10"/>
  <c r="AB133" i="10"/>
  <c r="AC133" i="10"/>
  <c r="AD133" i="10"/>
  <c r="AE133" i="10"/>
  <c r="AF133" i="10"/>
  <c r="AG133" i="10"/>
  <c r="AH133" i="10" s="1"/>
  <c r="AI133" i="10"/>
  <c r="AJ133" i="10" s="1"/>
  <c r="AK133" i="10"/>
  <c r="AL133" i="10" s="1"/>
  <c r="AM133" i="10"/>
  <c r="AN133" i="10" s="1"/>
  <c r="AO133" i="10"/>
  <c r="AP133" i="10"/>
  <c r="AQ133" i="10"/>
  <c r="AR133" i="10"/>
  <c r="AS133" i="10"/>
  <c r="AT133" i="10"/>
  <c r="AU133" i="10"/>
  <c r="AV133" i="10"/>
  <c r="AW133" i="10"/>
  <c r="T134" i="10"/>
  <c r="W134" i="10"/>
  <c r="X134" i="10" s="1"/>
  <c r="Y134" i="10"/>
  <c r="Z134" i="10"/>
  <c r="AA134" i="10"/>
  <c r="AB134" i="10"/>
  <c r="AC134" i="10"/>
  <c r="AD134" i="10"/>
  <c r="AE134" i="10"/>
  <c r="AF134" i="10"/>
  <c r="AG134" i="10"/>
  <c r="AH134" i="10" s="1"/>
  <c r="AI134" i="10"/>
  <c r="AJ134" i="10" s="1"/>
  <c r="AK134" i="10"/>
  <c r="AL134" i="10"/>
  <c r="AM134" i="10"/>
  <c r="AN134" i="10" s="1"/>
  <c r="AO134" i="10"/>
  <c r="AP134" i="10"/>
  <c r="AQ134" i="10"/>
  <c r="AR134" i="10"/>
  <c r="AS134" i="10"/>
  <c r="AT134" i="10"/>
  <c r="AU134" i="10"/>
  <c r="AV134" i="10"/>
  <c r="AW134" i="10"/>
  <c r="T135" i="10"/>
  <c r="W135" i="10"/>
  <c r="X135" i="10" s="1"/>
  <c r="Y135" i="10"/>
  <c r="Z135" i="10"/>
  <c r="AA135" i="10"/>
  <c r="AB135" i="10"/>
  <c r="AC135" i="10"/>
  <c r="AD135" i="10" s="1"/>
  <c r="AE135" i="10"/>
  <c r="AF135" i="10"/>
  <c r="AG135" i="10"/>
  <c r="AH135" i="10" s="1"/>
  <c r="AI135" i="10"/>
  <c r="AJ135" i="10" s="1"/>
  <c r="AK135" i="10"/>
  <c r="AL135" i="10" s="1"/>
  <c r="AM135" i="10"/>
  <c r="AN135" i="10" s="1"/>
  <c r="AO135" i="10"/>
  <c r="AP135" i="10"/>
  <c r="AQ135" i="10"/>
  <c r="AR135" i="10"/>
  <c r="AS135" i="10"/>
  <c r="AT135" i="10"/>
  <c r="AU135" i="10"/>
  <c r="AV135" i="10"/>
  <c r="AW135" i="10"/>
  <c r="T136" i="10"/>
  <c r="W136" i="10"/>
  <c r="X136" i="10" s="1"/>
  <c r="Y136" i="10"/>
  <c r="Z136" i="10"/>
  <c r="AA136" i="10"/>
  <c r="AB136" i="10"/>
  <c r="AC136" i="10"/>
  <c r="AD136" i="10" s="1"/>
  <c r="AE136" i="10"/>
  <c r="AF136" i="10"/>
  <c r="AG136" i="10"/>
  <c r="AH136" i="10" s="1"/>
  <c r="AI136" i="10"/>
  <c r="AJ136" i="10" s="1"/>
  <c r="AK136" i="10"/>
  <c r="AL136" i="10"/>
  <c r="AM136" i="10"/>
  <c r="AN136" i="10" s="1"/>
  <c r="AO136" i="10"/>
  <c r="AP136" i="10"/>
  <c r="AQ136" i="10"/>
  <c r="AR136" i="10"/>
  <c r="AS136" i="10"/>
  <c r="AT136" i="10"/>
  <c r="AU136" i="10"/>
  <c r="AV136" i="10"/>
  <c r="AW136" i="10"/>
  <c r="T137" i="10"/>
  <c r="W137" i="10"/>
  <c r="X137" i="10" s="1"/>
  <c r="Y137" i="10"/>
  <c r="Z137" i="10"/>
  <c r="AA137" i="10"/>
  <c r="AB137" i="10"/>
  <c r="AC137" i="10"/>
  <c r="AD137" i="10" s="1"/>
  <c r="AE137" i="10"/>
  <c r="AF137" i="10"/>
  <c r="AG137" i="10"/>
  <c r="AH137" i="10"/>
  <c r="AI137" i="10"/>
  <c r="AJ137" i="10" s="1"/>
  <c r="AK137" i="10"/>
  <c r="AL137" i="10" s="1"/>
  <c r="AM137" i="10"/>
  <c r="AN137" i="10" s="1"/>
  <c r="AO137" i="10"/>
  <c r="AP137" i="10"/>
  <c r="AQ137" i="10"/>
  <c r="AR137" i="10"/>
  <c r="AS137" i="10"/>
  <c r="AT137" i="10"/>
  <c r="AU137" i="10"/>
  <c r="AV137" i="10"/>
  <c r="AW137" i="10"/>
  <c r="T138" i="10"/>
  <c r="W138" i="10"/>
  <c r="X138" i="10" s="1"/>
  <c r="Y138" i="10"/>
  <c r="Z138" i="10"/>
  <c r="AA138" i="10"/>
  <c r="AB138" i="10"/>
  <c r="AC138" i="10"/>
  <c r="AD138" i="10" s="1"/>
  <c r="AE138" i="10"/>
  <c r="AF138" i="10"/>
  <c r="AG138" i="10"/>
  <c r="AH138" i="10" s="1"/>
  <c r="AI138" i="10"/>
  <c r="AJ138" i="10" s="1"/>
  <c r="AK138" i="10"/>
  <c r="AL138" i="10"/>
  <c r="AM138" i="10"/>
  <c r="AN138" i="10" s="1"/>
  <c r="AO138" i="10"/>
  <c r="AP138" i="10"/>
  <c r="AQ138" i="10"/>
  <c r="AR138" i="10"/>
  <c r="AS138" i="10"/>
  <c r="AT138" i="10"/>
  <c r="AU138" i="10"/>
  <c r="AV138" i="10"/>
  <c r="AW138" i="10"/>
  <c r="T139" i="10"/>
  <c r="W139" i="10"/>
  <c r="X139" i="10" s="1"/>
  <c r="Y139" i="10"/>
  <c r="Z139" i="10"/>
  <c r="AA139" i="10"/>
  <c r="AB139" i="10"/>
  <c r="AC139" i="10"/>
  <c r="AD139" i="10" s="1"/>
  <c r="AE139" i="10"/>
  <c r="AF139" i="10"/>
  <c r="AG139" i="10"/>
  <c r="AH139" i="10" s="1"/>
  <c r="AI139" i="10"/>
  <c r="AJ139" i="10" s="1"/>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s="1"/>
  <c r="AE140" i="10"/>
  <c r="AF140" i="10"/>
  <c r="AG140" i="10"/>
  <c r="AH140" i="10" s="1"/>
  <c r="AI140" i="10"/>
  <c r="AJ140" i="10" s="1"/>
  <c r="AK140" i="10"/>
  <c r="AL140" i="10" s="1"/>
  <c r="AM140" i="10"/>
  <c r="AN140" i="10" s="1"/>
  <c r="AO140" i="10"/>
  <c r="AP140" i="10"/>
  <c r="AQ140" i="10"/>
  <c r="AR140" i="10"/>
  <c r="AS140" i="10"/>
  <c r="AT140" i="10"/>
  <c r="AU140" i="10"/>
  <c r="AV140" i="10"/>
  <c r="AW140" i="10"/>
  <c r="T141" i="10"/>
  <c r="W141" i="10"/>
  <c r="X141" i="10" s="1"/>
  <c r="Y141" i="10"/>
  <c r="Z141" i="10"/>
  <c r="AA141" i="10"/>
  <c r="U141" i="10" s="1"/>
  <c r="AB141" i="10"/>
  <c r="AC141" i="10"/>
  <c r="AD141" i="10"/>
  <c r="AE141" i="10"/>
  <c r="AF141" i="10"/>
  <c r="AG141" i="10"/>
  <c r="AH141" i="10" s="1"/>
  <c r="AI141" i="10"/>
  <c r="AJ141" i="10" s="1"/>
  <c r="AK141" i="10"/>
  <c r="AL141" i="10" s="1"/>
  <c r="AM141" i="10"/>
  <c r="AN141" i="10" s="1"/>
  <c r="AO141" i="10"/>
  <c r="AP141" i="10"/>
  <c r="AQ141" i="10"/>
  <c r="AR141" i="10"/>
  <c r="AS141" i="10"/>
  <c r="AT141" i="10"/>
  <c r="AU141" i="10"/>
  <c r="AV141" i="10"/>
  <c r="AW141" i="10"/>
  <c r="T142" i="10"/>
  <c r="W142" i="10"/>
  <c r="X142" i="10" s="1"/>
  <c r="Y142" i="10"/>
  <c r="Z142" i="10"/>
  <c r="AA142" i="10"/>
  <c r="AB142" i="10"/>
  <c r="AC142" i="10"/>
  <c r="AD142" i="10" s="1"/>
  <c r="AE142" i="10"/>
  <c r="AF142" i="10"/>
  <c r="AG142" i="10"/>
  <c r="AH142" i="10" s="1"/>
  <c r="AI142" i="10"/>
  <c r="AJ142" i="10" s="1"/>
  <c r="AK142" i="10"/>
  <c r="AL142" i="10" s="1"/>
  <c r="AM142" i="10"/>
  <c r="AN142" i="10" s="1"/>
  <c r="AO142" i="10"/>
  <c r="AP142" i="10"/>
  <c r="AQ142" i="10"/>
  <c r="AR142" i="10"/>
  <c r="AS142" i="10"/>
  <c r="AT142" i="10"/>
  <c r="AU142" i="10"/>
  <c r="AV142" i="10"/>
  <c r="AW142" i="10"/>
  <c r="T143" i="10"/>
  <c r="W143" i="10"/>
  <c r="X143" i="10" s="1"/>
  <c r="Y143" i="10"/>
  <c r="Z143" i="10"/>
  <c r="AA143" i="10"/>
  <c r="AB143" i="10"/>
  <c r="AC143" i="10"/>
  <c r="AD143" i="10" s="1"/>
  <c r="AE143" i="10"/>
  <c r="AF143" i="10"/>
  <c r="AG143" i="10"/>
  <c r="AH143" i="10" s="1"/>
  <c r="AI143" i="10"/>
  <c r="AJ143" i="10" s="1"/>
  <c r="AK143" i="10"/>
  <c r="AL143" i="10" s="1"/>
  <c r="AM143" i="10"/>
  <c r="AN143" i="10" s="1"/>
  <c r="AO143" i="10"/>
  <c r="AP143" i="10"/>
  <c r="AQ143" i="10"/>
  <c r="AR143" i="10"/>
  <c r="AS143" i="10"/>
  <c r="AT143" i="10"/>
  <c r="AU143" i="10"/>
  <c r="AV143" i="10"/>
  <c r="AW143" i="10"/>
  <c r="T144" i="10"/>
  <c r="W144" i="10"/>
  <c r="X144" i="10" s="1"/>
  <c r="U144" i="10" s="1"/>
  <c r="Y144" i="10"/>
  <c r="Z144" i="10"/>
  <c r="AA144" i="10"/>
  <c r="AB144" i="10"/>
  <c r="AC144" i="10"/>
  <c r="AD144" i="10" s="1"/>
  <c r="AE144" i="10"/>
  <c r="AF144" i="10"/>
  <c r="AG144" i="10"/>
  <c r="AH144" i="10" s="1"/>
  <c r="AI144" i="10"/>
  <c r="AJ144" i="10" s="1"/>
  <c r="AK144" i="10"/>
  <c r="AL144" i="10"/>
  <c r="AM144" i="10"/>
  <c r="AN144" i="10" s="1"/>
  <c r="AO144" i="10"/>
  <c r="AP144" i="10"/>
  <c r="AQ144" i="10"/>
  <c r="AR144" i="10"/>
  <c r="AS144" i="10"/>
  <c r="AT144" i="10"/>
  <c r="AU144" i="10"/>
  <c r="AV144" i="10"/>
  <c r="AW144" i="10"/>
  <c r="T145" i="10"/>
  <c r="W145" i="10"/>
  <c r="X145" i="10" s="1"/>
  <c r="Y145" i="10"/>
  <c r="Z145" i="10"/>
  <c r="AA145" i="10"/>
  <c r="AB145" i="10"/>
  <c r="AC145" i="10"/>
  <c r="AD145" i="10" s="1"/>
  <c r="AE145" i="10"/>
  <c r="AF145" i="10"/>
  <c r="AG145" i="10"/>
  <c r="AH145" i="10" s="1"/>
  <c r="AI145" i="10"/>
  <c r="AJ145" i="10" s="1"/>
  <c r="AK145" i="10"/>
  <c r="AL145" i="10" s="1"/>
  <c r="AM145" i="10"/>
  <c r="AN145" i="10" s="1"/>
  <c r="AO145" i="10"/>
  <c r="AP145" i="10"/>
  <c r="AQ145" i="10"/>
  <c r="AR145" i="10"/>
  <c r="AS145" i="10"/>
  <c r="AT145" i="10"/>
  <c r="AU145" i="10"/>
  <c r="AV145" i="10"/>
  <c r="AW145" i="10"/>
  <c r="T146" i="10"/>
  <c r="W146" i="10"/>
  <c r="X146" i="10" s="1"/>
  <c r="Y146" i="10"/>
  <c r="Z146" i="10"/>
  <c r="AA146" i="10"/>
  <c r="AB146" i="10"/>
  <c r="AC146" i="10"/>
  <c r="AD146" i="10" s="1"/>
  <c r="AE146" i="10"/>
  <c r="AF146" i="10"/>
  <c r="AG146" i="10"/>
  <c r="AH146" i="10" s="1"/>
  <c r="AI146" i="10"/>
  <c r="AJ146" i="10"/>
  <c r="AK146" i="10"/>
  <c r="AL146" i="10" s="1"/>
  <c r="AM146" i="10"/>
  <c r="AN146" i="10" s="1"/>
  <c r="AO146" i="10"/>
  <c r="AP146" i="10"/>
  <c r="AQ146" i="10"/>
  <c r="AR146" i="10"/>
  <c r="AS146" i="10"/>
  <c r="AT146" i="10"/>
  <c r="AU146" i="10"/>
  <c r="AV146" i="10"/>
  <c r="AW146" i="10"/>
  <c r="T147" i="10"/>
  <c r="W147" i="10"/>
  <c r="X147" i="10" s="1"/>
  <c r="Y147" i="10"/>
  <c r="Z147" i="10"/>
  <c r="AA147" i="10"/>
  <c r="AB147" i="10"/>
  <c r="AC147" i="10"/>
  <c r="AD147" i="10" s="1"/>
  <c r="AE147" i="10"/>
  <c r="AF147" i="10"/>
  <c r="AG147" i="10"/>
  <c r="AH147" i="10" s="1"/>
  <c r="AI147" i="10"/>
  <c r="AJ147" i="10" s="1"/>
  <c r="AK147" i="10"/>
  <c r="AL147" i="10" s="1"/>
  <c r="AM147" i="10"/>
  <c r="AN147" i="10" s="1"/>
  <c r="AO147" i="10"/>
  <c r="AP147" i="10"/>
  <c r="AQ147" i="10"/>
  <c r="AR147" i="10"/>
  <c r="AS147" i="10"/>
  <c r="AT147" i="10"/>
  <c r="AU147" i="10"/>
  <c r="AV147" i="10"/>
  <c r="AW147" i="10"/>
  <c r="T148" i="10"/>
  <c r="W148" i="10"/>
  <c r="X148" i="10"/>
  <c r="Y148" i="10"/>
  <c r="Z148" i="10"/>
  <c r="AA148" i="10"/>
  <c r="AB148" i="10"/>
  <c r="AC148" i="10"/>
  <c r="AD148" i="10" s="1"/>
  <c r="AE148" i="10"/>
  <c r="AF148" i="10"/>
  <c r="AG148" i="10"/>
  <c r="AH148" i="10"/>
  <c r="AI148" i="10"/>
  <c r="AJ148" i="10" s="1"/>
  <c r="AK148" i="10"/>
  <c r="AL148" i="10" s="1"/>
  <c r="AM148" i="10"/>
  <c r="AN148" i="10" s="1"/>
  <c r="AO148" i="10"/>
  <c r="AP148" i="10"/>
  <c r="AQ148" i="10"/>
  <c r="AR148" i="10"/>
  <c r="AS148" i="10"/>
  <c r="AT148" i="10"/>
  <c r="AU148" i="10"/>
  <c r="AV148" i="10"/>
  <c r="AW148" i="10"/>
  <c r="T149" i="10"/>
  <c r="W149" i="10"/>
  <c r="X149" i="10" s="1"/>
  <c r="Y149" i="10"/>
  <c r="Z149" i="10"/>
  <c r="AA149" i="10"/>
  <c r="AB149" i="10"/>
  <c r="AC149" i="10"/>
  <c r="AD149" i="10"/>
  <c r="AE149" i="10"/>
  <c r="AF149" i="10"/>
  <c r="AG149" i="10"/>
  <c r="AH149" i="10" s="1"/>
  <c r="AI149" i="10"/>
  <c r="AJ149" i="10" s="1"/>
  <c r="AK149" i="10"/>
  <c r="AL149" i="10" s="1"/>
  <c r="AM149" i="10"/>
  <c r="AN149" i="10" s="1"/>
  <c r="AO149" i="10"/>
  <c r="AP149" i="10"/>
  <c r="AQ149" i="10"/>
  <c r="AR149" i="10"/>
  <c r="AS149" i="10"/>
  <c r="AT149" i="10"/>
  <c r="AU149" i="10"/>
  <c r="AV149" i="10"/>
  <c r="AW149" i="10"/>
  <c r="T150" i="10"/>
  <c r="W150" i="10"/>
  <c r="X150" i="10" s="1"/>
  <c r="Y150" i="10"/>
  <c r="Z150" i="10"/>
  <c r="AA150" i="10"/>
  <c r="AB150" i="10"/>
  <c r="AC150" i="10"/>
  <c r="AD150" i="10" s="1"/>
  <c r="AE150" i="10"/>
  <c r="AF150" i="10"/>
  <c r="AG150" i="10"/>
  <c r="AH150" i="10" s="1"/>
  <c r="AI150" i="10"/>
  <c r="AJ150" i="10" s="1"/>
  <c r="AK150" i="10"/>
  <c r="AL150" i="10" s="1"/>
  <c r="AM150" i="10"/>
  <c r="AN150" i="10" s="1"/>
  <c r="AO150" i="10"/>
  <c r="AP150" i="10"/>
  <c r="AQ150" i="10"/>
  <c r="AR150" i="10"/>
  <c r="AS150" i="10"/>
  <c r="AT150" i="10"/>
  <c r="AU150" i="10"/>
  <c r="AV150" i="10"/>
  <c r="AW150" i="10"/>
  <c r="T151" i="10"/>
  <c r="W151" i="10"/>
  <c r="X151" i="10" s="1"/>
  <c r="Y151" i="10"/>
  <c r="Z151" i="10"/>
  <c r="AA151" i="10"/>
  <c r="AB151" i="10"/>
  <c r="AC151" i="10"/>
  <c r="AD151" i="10" s="1"/>
  <c r="AE151" i="10"/>
  <c r="AF151" i="10"/>
  <c r="AG151" i="10"/>
  <c r="AH151" i="10" s="1"/>
  <c r="AI151" i="10"/>
  <c r="AJ151" i="10" s="1"/>
  <c r="AK151" i="10"/>
  <c r="AL151" i="10" s="1"/>
  <c r="AM151" i="10"/>
  <c r="AN151" i="10"/>
  <c r="AO151" i="10"/>
  <c r="AP151" i="10"/>
  <c r="AQ151" i="10"/>
  <c r="AR151" i="10"/>
  <c r="AS151" i="10"/>
  <c r="AT151" i="10"/>
  <c r="AU151" i="10"/>
  <c r="AV151" i="10"/>
  <c r="AW151" i="10"/>
  <c r="T152" i="10"/>
  <c r="W152" i="10"/>
  <c r="X152" i="10" s="1"/>
  <c r="Y152" i="10"/>
  <c r="Z152" i="10"/>
  <c r="AA152" i="10"/>
  <c r="AB152" i="10"/>
  <c r="AC152" i="10"/>
  <c r="AD152" i="10" s="1"/>
  <c r="AE152" i="10"/>
  <c r="AF152" i="10"/>
  <c r="AG152" i="10"/>
  <c r="AH152" i="10"/>
  <c r="AI152" i="10"/>
  <c r="AJ152" i="10" s="1"/>
  <c r="AK152" i="10"/>
  <c r="AL152" i="10" s="1"/>
  <c r="AM152" i="10"/>
  <c r="AN152" i="10" s="1"/>
  <c r="AO152" i="10"/>
  <c r="AP152" i="10"/>
  <c r="AQ152" i="10"/>
  <c r="AR152" i="10"/>
  <c r="AS152" i="10"/>
  <c r="AT152" i="10"/>
  <c r="AU152" i="10"/>
  <c r="AV152" i="10"/>
  <c r="AW152" i="10"/>
  <c r="T153" i="10"/>
  <c r="W153" i="10"/>
  <c r="X153" i="10" s="1"/>
  <c r="Y153" i="10"/>
  <c r="Z153" i="10"/>
  <c r="AA153" i="10"/>
  <c r="AB153" i="10"/>
  <c r="AC153" i="10"/>
  <c r="AD153" i="10" s="1"/>
  <c r="AE153" i="10"/>
  <c r="AF153" i="10"/>
  <c r="AG153" i="10"/>
  <c r="AH153" i="10" s="1"/>
  <c r="AI153" i="10"/>
  <c r="AJ153" i="10" s="1"/>
  <c r="AK153" i="10"/>
  <c r="AL153" i="10"/>
  <c r="AM153" i="10"/>
  <c r="AN153" i="10"/>
  <c r="AO153" i="10"/>
  <c r="AP153" i="10"/>
  <c r="AQ153" i="10"/>
  <c r="AR153" i="10"/>
  <c r="AS153" i="10"/>
  <c r="AT153" i="10"/>
  <c r="AU153" i="10"/>
  <c r="AV153" i="10"/>
  <c r="AW153" i="10"/>
  <c r="T154" i="10"/>
  <c r="W154" i="10"/>
  <c r="X154" i="10" s="1"/>
  <c r="Y154" i="10"/>
  <c r="Z154" i="10"/>
  <c r="AA154" i="10"/>
  <c r="AB154" i="10"/>
  <c r="AC154" i="10"/>
  <c r="AD154" i="10" s="1"/>
  <c r="AE154" i="10"/>
  <c r="AF154" i="10"/>
  <c r="AG154" i="10"/>
  <c r="AH154" i="10" s="1"/>
  <c r="AI154" i="10"/>
  <c r="AJ154" i="10" s="1"/>
  <c r="AK154" i="10"/>
  <c r="AL154" i="10" s="1"/>
  <c r="AM154" i="10"/>
  <c r="AN154" i="10" s="1"/>
  <c r="AO154" i="10"/>
  <c r="AP154" i="10"/>
  <c r="AQ154" i="10"/>
  <c r="AR154" i="10"/>
  <c r="AS154" i="10"/>
  <c r="AT154" i="10"/>
  <c r="AU154" i="10"/>
  <c r="AV154" i="10"/>
  <c r="AW154" i="10"/>
  <c r="T155" i="10"/>
  <c r="W155" i="10"/>
  <c r="X155" i="10" s="1"/>
  <c r="U155" i="10" s="1"/>
  <c r="Y155" i="10"/>
  <c r="Z155" i="10"/>
  <c r="AA155" i="10"/>
  <c r="AB155" i="10"/>
  <c r="AC155" i="10"/>
  <c r="AD155" i="10" s="1"/>
  <c r="AE155" i="10"/>
  <c r="AF155" i="10"/>
  <c r="AG155" i="10"/>
  <c r="AH155" i="10" s="1"/>
  <c r="AI155" i="10"/>
  <c r="AJ155" i="10" s="1"/>
  <c r="AK155" i="10"/>
  <c r="AL155" i="10" s="1"/>
  <c r="AM155" i="10"/>
  <c r="AN155" i="10"/>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s="1"/>
  <c r="AI156" i="10"/>
  <c r="AJ156" i="10" s="1"/>
  <c r="AK156" i="10"/>
  <c r="AL156" i="10" s="1"/>
  <c r="AM156" i="10"/>
  <c r="AN156" i="10" s="1"/>
  <c r="AO156" i="10"/>
  <c r="AP156" i="10"/>
  <c r="AQ156" i="10"/>
  <c r="AR156" i="10"/>
  <c r="AS156" i="10"/>
  <c r="AT156" i="10"/>
  <c r="AU156" i="10"/>
  <c r="AV156" i="10"/>
  <c r="AW156" i="10"/>
  <c r="T157" i="10"/>
  <c r="W157" i="10"/>
  <c r="X157" i="10" s="1"/>
  <c r="Y157" i="10"/>
  <c r="Z157" i="10"/>
  <c r="AA157" i="10"/>
  <c r="AB157" i="10"/>
  <c r="AC157" i="10"/>
  <c r="AD157" i="10" s="1"/>
  <c r="AE157" i="10"/>
  <c r="AF157" i="10"/>
  <c r="AG157" i="10"/>
  <c r="AH157" i="10" s="1"/>
  <c r="AI157" i="10"/>
  <c r="AJ157" i="10" s="1"/>
  <c r="AK157" i="10"/>
  <c r="AL157" i="10"/>
  <c r="AM157" i="10"/>
  <c r="AN157" i="10" s="1"/>
  <c r="AO157" i="10"/>
  <c r="AP157" i="10"/>
  <c r="AQ157" i="10"/>
  <c r="AR157" i="10"/>
  <c r="AS157" i="10"/>
  <c r="AT157" i="10"/>
  <c r="AU157" i="10"/>
  <c r="AV157" i="10"/>
  <c r="AW157" i="10"/>
  <c r="T158" i="10"/>
  <c r="W158" i="10"/>
  <c r="X158" i="10" s="1"/>
  <c r="Y158" i="10"/>
  <c r="Z158" i="10"/>
  <c r="AA158" i="10"/>
  <c r="AB158" i="10"/>
  <c r="AC158" i="10"/>
  <c r="AD158" i="10"/>
  <c r="AE158" i="10"/>
  <c r="AF158" i="10"/>
  <c r="AG158" i="10"/>
  <c r="AH158" i="10" s="1"/>
  <c r="AI158" i="10"/>
  <c r="AJ158" i="10" s="1"/>
  <c r="AK158" i="10"/>
  <c r="AL158" i="10"/>
  <c r="AM158" i="10"/>
  <c r="AN158" i="10" s="1"/>
  <c r="AO158" i="10"/>
  <c r="AP158" i="10"/>
  <c r="AQ158" i="10"/>
  <c r="AR158" i="10"/>
  <c r="AS158" i="10"/>
  <c r="AT158" i="10"/>
  <c r="AU158" i="10"/>
  <c r="AV158" i="10"/>
  <c r="AW158" i="10"/>
  <c r="T159" i="10"/>
  <c r="W159" i="10"/>
  <c r="X159" i="10"/>
  <c r="Y159" i="10"/>
  <c r="Z159" i="10"/>
  <c r="AA159" i="10"/>
  <c r="AB159" i="10"/>
  <c r="AC159" i="10"/>
  <c r="AD159" i="10" s="1"/>
  <c r="AE159" i="10"/>
  <c r="AF159" i="10"/>
  <c r="AG159" i="10"/>
  <c r="AH159" i="10" s="1"/>
  <c r="AI159" i="10"/>
  <c r="AJ159" i="10"/>
  <c r="AK159" i="10"/>
  <c r="AL159" i="10"/>
  <c r="AM159" i="10"/>
  <c r="AN159" i="10" s="1"/>
  <c r="AO159" i="10"/>
  <c r="AP159" i="10"/>
  <c r="AQ159" i="10"/>
  <c r="AR159" i="10"/>
  <c r="AS159" i="10"/>
  <c r="AT159" i="10"/>
  <c r="AU159" i="10"/>
  <c r="AV159" i="10"/>
  <c r="AW159" i="10"/>
  <c r="T160" i="10"/>
  <c r="W160" i="10"/>
  <c r="X160" i="10"/>
  <c r="Y160" i="10"/>
  <c r="Z160" i="10"/>
  <c r="AA160" i="10"/>
  <c r="AB160" i="10"/>
  <c r="AC160" i="10"/>
  <c r="AD160" i="10" s="1"/>
  <c r="AE160" i="10"/>
  <c r="AF160" i="10"/>
  <c r="AG160" i="10"/>
  <c r="AH160" i="10" s="1"/>
  <c r="AI160" i="10"/>
  <c r="AJ160" i="10" s="1"/>
  <c r="AK160" i="10"/>
  <c r="AL160" i="10" s="1"/>
  <c r="AM160" i="10"/>
  <c r="AN160" i="10" s="1"/>
  <c r="AO160" i="10"/>
  <c r="AP160" i="10"/>
  <c r="AQ160" i="10"/>
  <c r="AR160" i="10"/>
  <c r="AS160" i="10"/>
  <c r="AT160" i="10"/>
  <c r="AU160" i="10"/>
  <c r="AV160" i="10"/>
  <c r="AW160" i="10"/>
  <c r="T161" i="10"/>
  <c r="W161" i="10"/>
  <c r="X161" i="10" s="1"/>
  <c r="Y161" i="10"/>
  <c r="Z161" i="10"/>
  <c r="AA161" i="10"/>
  <c r="AB161" i="10"/>
  <c r="AC161" i="10"/>
  <c r="AD161" i="10"/>
  <c r="AE161" i="10"/>
  <c r="AF161" i="10"/>
  <c r="AG161" i="10"/>
  <c r="AH161" i="10" s="1"/>
  <c r="AI161" i="10"/>
  <c r="AJ161" i="10" s="1"/>
  <c r="AK161" i="10"/>
  <c r="AL161" i="10"/>
  <c r="AM161" i="10"/>
  <c r="AN161" i="10" s="1"/>
  <c r="AO161" i="10"/>
  <c r="AP161" i="10"/>
  <c r="AQ161" i="10"/>
  <c r="AR161" i="10"/>
  <c r="AS161" i="10"/>
  <c r="AT161" i="10"/>
  <c r="AU161" i="10"/>
  <c r="AV161" i="10"/>
  <c r="AW161" i="10"/>
  <c r="T162" i="10"/>
  <c r="W162" i="10"/>
  <c r="X162" i="10" s="1"/>
  <c r="Y162" i="10"/>
  <c r="Z162" i="10"/>
  <c r="AA162" i="10"/>
  <c r="AB162" i="10"/>
  <c r="AC162" i="10"/>
  <c r="AD162" i="10" s="1"/>
  <c r="AE162" i="10"/>
  <c r="AF162" i="10"/>
  <c r="AG162" i="10"/>
  <c r="AH162" i="10" s="1"/>
  <c r="AI162" i="10"/>
  <c r="AJ162" i="10"/>
  <c r="AK162" i="10"/>
  <c r="AL162" i="10" s="1"/>
  <c r="AM162" i="10"/>
  <c r="AN162" i="10" s="1"/>
  <c r="AO162" i="10"/>
  <c r="AP162" i="10"/>
  <c r="AQ162" i="10"/>
  <c r="AR162" i="10"/>
  <c r="AS162" i="10"/>
  <c r="AT162" i="10"/>
  <c r="AU162" i="10"/>
  <c r="AV162" i="10"/>
  <c r="AW162" i="10"/>
  <c r="T163" i="10"/>
  <c r="W163" i="10"/>
  <c r="X163" i="10" s="1"/>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T164" i="10"/>
  <c r="W164" i="10"/>
  <c r="X164" i="10" s="1"/>
  <c r="Y164" i="10"/>
  <c r="Z164" i="10"/>
  <c r="AA164" i="10"/>
  <c r="AB164" i="10"/>
  <c r="AC164" i="10"/>
  <c r="AD164" i="10" s="1"/>
  <c r="AE164" i="10"/>
  <c r="AF164" i="10"/>
  <c r="AG164" i="10"/>
  <c r="AH164" i="10" s="1"/>
  <c r="AI164" i="10"/>
  <c r="AJ164" i="10" s="1"/>
  <c r="AK164" i="10"/>
  <c r="AL164" i="10" s="1"/>
  <c r="AM164" i="10"/>
  <c r="AN164" i="10" s="1"/>
  <c r="AO164" i="10"/>
  <c r="AP164" i="10"/>
  <c r="AQ164" i="10"/>
  <c r="AR164" i="10"/>
  <c r="AS164" i="10"/>
  <c r="AT164" i="10"/>
  <c r="AU164" i="10"/>
  <c r="AV164" i="10"/>
  <c r="AW164" i="10"/>
  <c r="T165" i="10"/>
  <c r="W165" i="10"/>
  <c r="X165" i="10" s="1"/>
  <c r="Y165" i="10"/>
  <c r="Z165" i="10"/>
  <c r="AA165" i="10"/>
  <c r="AB165" i="10"/>
  <c r="AC165" i="10"/>
  <c r="AD165" i="10"/>
  <c r="AE165" i="10"/>
  <c r="AF165" i="10"/>
  <c r="AG165" i="10"/>
  <c r="AH165" i="10" s="1"/>
  <c r="AI165" i="10"/>
  <c r="AJ165" i="10" s="1"/>
  <c r="AK165" i="10"/>
  <c r="AL165" i="10"/>
  <c r="AM165" i="10"/>
  <c r="AN165" i="10" s="1"/>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s="1"/>
  <c r="AI166" i="10"/>
  <c r="AJ166" i="10" s="1"/>
  <c r="AK166" i="10"/>
  <c r="AL166" i="10" s="1"/>
  <c r="AM166" i="10"/>
  <c r="AN166" i="10" s="1"/>
  <c r="AO166" i="10"/>
  <c r="AP166" i="10"/>
  <c r="AQ166" i="10"/>
  <c r="AR166" i="10"/>
  <c r="AS166" i="10"/>
  <c r="AT166" i="10"/>
  <c r="AU166" i="10"/>
  <c r="AV166" i="10"/>
  <c r="AW166" i="10"/>
  <c r="T167" i="10"/>
  <c r="W167" i="10"/>
  <c r="X167" i="10"/>
  <c r="Y167" i="10"/>
  <c r="Z167" i="10"/>
  <c r="AA167" i="10"/>
  <c r="AB167" i="10"/>
  <c r="AC167" i="10"/>
  <c r="AD167" i="10" s="1"/>
  <c r="AE167" i="10"/>
  <c r="AF167" i="10"/>
  <c r="AG167" i="10"/>
  <c r="AH167" i="10" s="1"/>
  <c r="AI167" i="10"/>
  <c r="AJ167" i="10" s="1"/>
  <c r="AK167" i="10"/>
  <c r="AL167" i="10" s="1"/>
  <c r="AM167" i="10"/>
  <c r="AN167" i="10" s="1"/>
  <c r="AO167" i="10"/>
  <c r="AP167" i="10"/>
  <c r="AQ167" i="10"/>
  <c r="AR167" i="10"/>
  <c r="AS167" i="10"/>
  <c r="AT167" i="10"/>
  <c r="AU167" i="10"/>
  <c r="AV167" i="10"/>
  <c r="AW167" i="10"/>
  <c r="T168" i="10"/>
  <c r="W168" i="10"/>
  <c r="X168" i="10" s="1"/>
  <c r="Y168" i="10"/>
  <c r="Z168" i="10"/>
  <c r="AA168" i="10"/>
  <c r="AB168" i="10"/>
  <c r="AC168" i="10"/>
  <c r="AD168" i="10" s="1"/>
  <c r="AE168" i="10"/>
  <c r="AF168" i="10"/>
  <c r="AG168" i="10"/>
  <c r="AH168" i="10"/>
  <c r="AI168" i="10"/>
  <c r="AJ168" i="10" s="1"/>
  <c r="AK168" i="10"/>
  <c r="AL168" i="10"/>
  <c r="AM168" i="10"/>
  <c r="AN168" i="10" s="1"/>
  <c r="AO168" i="10"/>
  <c r="AP168" i="10"/>
  <c r="AQ168" i="10"/>
  <c r="AR168" i="10"/>
  <c r="AS168" i="10"/>
  <c r="AT168" i="10"/>
  <c r="AU168" i="10"/>
  <c r="AV168" i="10"/>
  <c r="AW168" i="10"/>
  <c r="T169" i="10"/>
  <c r="W169" i="10"/>
  <c r="X169" i="10" s="1"/>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T170" i="10"/>
  <c r="W170" i="10"/>
  <c r="X170" i="10"/>
  <c r="Y170" i="10"/>
  <c r="Z170" i="10"/>
  <c r="AA170" i="10"/>
  <c r="AB170" i="10"/>
  <c r="AC170" i="10"/>
  <c r="AD170" i="10" s="1"/>
  <c r="AE170" i="10"/>
  <c r="AF170" i="10"/>
  <c r="AG170" i="10"/>
  <c r="AH170" i="10" s="1"/>
  <c r="AI170" i="10"/>
  <c r="AJ170" i="10" s="1"/>
  <c r="AK170" i="10"/>
  <c r="AL170" i="10" s="1"/>
  <c r="AM170" i="10"/>
  <c r="AN170" i="10" s="1"/>
  <c r="AO170" i="10"/>
  <c r="AP170" i="10"/>
  <c r="AQ170" i="10"/>
  <c r="AR170" i="10"/>
  <c r="AS170" i="10"/>
  <c r="AT170" i="10"/>
  <c r="AU170" i="10"/>
  <c r="AV170" i="10"/>
  <c r="AW170" i="10"/>
  <c r="T171" i="10"/>
  <c r="W171" i="10"/>
  <c r="X171" i="10" s="1"/>
  <c r="Y171" i="10"/>
  <c r="Z171" i="10"/>
  <c r="AA171" i="10"/>
  <c r="AB171" i="10"/>
  <c r="AC171" i="10"/>
  <c r="AD171" i="10" s="1"/>
  <c r="AE171" i="10"/>
  <c r="AF171" i="10"/>
  <c r="AG171" i="10"/>
  <c r="AH171" i="10"/>
  <c r="AI171" i="10"/>
  <c r="AJ171" i="10" s="1"/>
  <c r="AK171" i="10"/>
  <c r="AL171" i="10"/>
  <c r="AM171" i="10"/>
  <c r="AN171" i="10"/>
  <c r="AO171" i="10"/>
  <c r="U171" i="10" s="1"/>
  <c r="AP171" i="10"/>
  <c r="AQ171" i="10"/>
  <c r="AR171" i="10"/>
  <c r="AS171" i="10"/>
  <c r="AT171" i="10"/>
  <c r="AU171" i="10"/>
  <c r="AV171" i="10"/>
  <c r="AW171" i="10"/>
  <c r="T172" i="10"/>
  <c r="W172" i="10"/>
  <c r="X172" i="10" s="1"/>
  <c r="Y172" i="10"/>
  <c r="Z172" i="10"/>
  <c r="AA172" i="10"/>
  <c r="AB172" i="10"/>
  <c r="AC172" i="10"/>
  <c r="AD172" i="10" s="1"/>
  <c r="AE172" i="10"/>
  <c r="AF172" i="10"/>
  <c r="AG172" i="10"/>
  <c r="AH172" i="10"/>
  <c r="AI172" i="10"/>
  <c r="AJ172" i="10" s="1"/>
  <c r="AK172" i="10"/>
  <c r="AL172" i="10" s="1"/>
  <c r="AM172" i="10"/>
  <c r="AN172" i="10" s="1"/>
  <c r="AO172" i="10"/>
  <c r="AP172" i="10"/>
  <c r="AQ172" i="10"/>
  <c r="AR172" i="10"/>
  <c r="AS172" i="10"/>
  <c r="AT172" i="10"/>
  <c r="AU172" i="10"/>
  <c r="AV172" i="10"/>
  <c r="AW172" i="10"/>
  <c r="T173" i="10"/>
  <c r="W173" i="10"/>
  <c r="X173" i="10" s="1"/>
  <c r="Y173" i="10"/>
  <c r="Z173" i="10"/>
  <c r="AA173" i="10"/>
  <c r="AB173" i="10"/>
  <c r="AC173" i="10"/>
  <c r="AD173" i="10" s="1"/>
  <c r="AE173" i="10"/>
  <c r="AF173" i="10"/>
  <c r="AG173" i="10"/>
  <c r="AH173" i="10" s="1"/>
  <c r="AI173" i="10"/>
  <c r="AJ173" i="10" s="1"/>
  <c r="AK173" i="10"/>
  <c r="AL173" i="10"/>
  <c r="AM173" i="10"/>
  <c r="AN173" i="10" s="1"/>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s="1"/>
  <c r="AI174" i="10"/>
  <c r="AJ174" i="10" s="1"/>
  <c r="AK174" i="10"/>
  <c r="AL174" i="10" s="1"/>
  <c r="AM174" i="10"/>
  <c r="AN174" i="10" s="1"/>
  <c r="AO174" i="10"/>
  <c r="AP174" i="10"/>
  <c r="AQ174" i="10"/>
  <c r="AR174" i="10"/>
  <c r="AS174" i="10"/>
  <c r="AT174" i="10"/>
  <c r="AU174" i="10"/>
  <c r="AV174" i="10"/>
  <c r="AW174" i="10"/>
  <c r="T175" i="10"/>
  <c r="W175" i="10"/>
  <c r="X175" i="10" s="1"/>
  <c r="Y175" i="10"/>
  <c r="Z175" i="10"/>
  <c r="AA175" i="10"/>
  <c r="AB175" i="10"/>
  <c r="AC175" i="10"/>
  <c r="AD175" i="10" s="1"/>
  <c r="AE175" i="10"/>
  <c r="AF175" i="10"/>
  <c r="AG175" i="10"/>
  <c r="AH175" i="10"/>
  <c r="AI175" i="10"/>
  <c r="AJ175" i="10" s="1"/>
  <c r="AK175" i="10"/>
  <c r="AL175" i="10" s="1"/>
  <c r="AM175" i="10"/>
  <c r="AN175" i="10" s="1"/>
  <c r="AO175" i="10"/>
  <c r="AP175" i="10"/>
  <c r="AQ175" i="10"/>
  <c r="AR175" i="10"/>
  <c r="AS175" i="10"/>
  <c r="AT175" i="10"/>
  <c r="AU175" i="10"/>
  <c r="AV175" i="10"/>
  <c r="AW175" i="10"/>
  <c r="T176" i="10"/>
  <c r="W176" i="10"/>
  <c r="X176" i="10"/>
  <c r="Y176" i="10"/>
  <c r="Z176" i="10"/>
  <c r="AA176" i="10"/>
  <c r="AB176" i="10"/>
  <c r="AC176" i="10"/>
  <c r="AD176" i="10" s="1"/>
  <c r="AE176" i="10"/>
  <c r="AF176" i="10"/>
  <c r="AG176" i="10"/>
  <c r="AH176" i="10"/>
  <c r="AI176" i="10"/>
  <c r="AJ176" i="10" s="1"/>
  <c r="AK176" i="10"/>
  <c r="AL176" i="10" s="1"/>
  <c r="AM176" i="10"/>
  <c r="AN176" i="10" s="1"/>
  <c r="AO176" i="10"/>
  <c r="AP176" i="10"/>
  <c r="AQ176" i="10"/>
  <c r="AR176" i="10"/>
  <c r="AS176" i="10"/>
  <c r="AT176" i="10"/>
  <c r="AU176" i="10"/>
  <c r="AV176" i="10"/>
  <c r="AW176" i="10"/>
  <c r="T177" i="10"/>
  <c r="W177" i="10"/>
  <c r="X177" i="10" s="1"/>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s="1"/>
  <c r="AE178" i="10"/>
  <c r="AF178" i="10"/>
  <c r="AG178" i="10"/>
  <c r="AH178" i="10" s="1"/>
  <c r="AI178" i="10"/>
  <c r="AJ178" i="10" s="1"/>
  <c r="AK178" i="10"/>
  <c r="AL178" i="10" s="1"/>
  <c r="AM178" i="10"/>
  <c r="AN178" i="10" s="1"/>
  <c r="AO178" i="10"/>
  <c r="AP178" i="10"/>
  <c r="AQ178" i="10"/>
  <c r="AR178" i="10"/>
  <c r="AS178" i="10"/>
  <c r="AT178" i="10"/>
  <c r="AU178" i="10"/>
  <c r="AV178" i="10"/>
  <c r="AW178" i="10"/>
  <c r="T179" i="10"/>
  <c r="W179" i="10"/>
  <c r="X179" i="10" s="1"/>
  <c r="Y179" i="10"/>
  <c r="Z179" i="10"/>
  <c r="U179" i="10" s="1"/>
  <c r="AA179" i="10"/>
  <c r="AB179" i="10"/>
  <c r="AC179" i="10"/>
  <c r="AD179" i="10" s="1"/>
  <c r="AE179" i="10"/>
  <c r="AF179" i="10"/>
  <c r="AG179" i="10"/>
  <c r="AH179" i="10" s="1"/>
  <c r="AI179" i="10"/>
  <c r="AJ179" i="10" s="1"/>
  <c r="AK179" i="10"/>
  <c r="AL179" i="10" s="1"/>
  <c r="AM179" i="10"/>
  <c r="AN179" i="10"/>
  <c r="AO179" i="10"/>
  <c r="AP179" i="10"/>
  <c r="AQ179" i="10"/>
  <c r="AR179" i="10"/>
  <c r="AS179" i="10"/>
  <c r="AT179" i="10"/>
  <c r="AU179" i="10"/>
  <c r="AV179" i="10"/>
  <c r="AW179" i="10"/>
  <c r="T180" i="10"/>
  <c r="W180" i="10"/>
  <c r="X180" i="10" s="1"/>
  <c r="Y180" i="10"/>
  <c r="Z180" i="10"/>
  <c r="AA180" i="10"/>
  <c r="AB180" i="10"/>
  <c r="AC180" i="10"/>
  <c r="AD180" i="10" s="1"/>
  <c r="AE180" i="10"/>
  <c r="AF180" i="10"/>
  <c r="AG180" i="10"/>
  <c r="AH180" i="10" s="1"/>
  <c r="AI180" i="10"/>
  <c r="AJ180" i="10" s="1"/>
  <c r="AK180" i="10"/>
  <c r="AL180" i="10" s="1"/>
  <c r="AM180" i="10"/>
  <c r="AN180" i="10" s="1"/>
  <c r="AO180" i="10"/>
  <c r="AP180" i="10"/>
  <c r="AQ180" i="10"/>
  <c r="AR180" i="10"/>
  <c r="AS180" i="10"/>
  <c r="AT180" i="10"/>
  <c r="AU180" i="10"/>
  <c r="AV180" i="10"/>
  <c r="AW180" i="10"/>
  <c r="T181" i="10"/>
  <c r="W181" i="10"/>
  <c r="X181" i="10" s="1"/>
  <c r="U181" i="10" s="1"/>
  <c r="Y181" i="10"/>
  <c r="Z181" i="10"/>
  <c r="AA181" i="10"/>
  <c r="AB181" i="10"/>
  <c r="AC181" i="10"/>
  <c r="AD181" i="10"/>
  <c r="AE181" i="10"/>
  <c r="AF181" i="10"/>
  <c r="AG181" i="10"/>
  <c r="AH181" i="10" s="1"/>
  <c r="AI181" i="10"/>
  <c r="AJ181" i="10" s="1"/>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s="1"/>
  <c r="AI182" i="10"/>
  <c r="AJ182" i="10"/>
  <c r="AK182" i="10"/>
  <c r="AL182" i="10"/>
  <c r="AM182" i="10"/>
  <c r="AN182" i="10" s="1"/>
  <c r="AO182" i="10"/>
  <c r="AP182" i="10"/>
  <c r="AQ182" i="10"/>
  <c r="AR182" i="10"/>
  <c r="AS182" i="10"/>
  <c r="AT182" i="10"/>
  <c r="AU182" i="10"/>
  <c r="AV182" i="10"/>
  <c r="AW182" i="10"/>
  <c r="T183" i="10"/>
  <c r="W183" i="10"/>
  <c r="X183" i="10" s="1"/>
  <c r="Y183" i="10"/>
  <c r="Z183" i="10"/>
  <c r="AA183" i="10"/>
  <c r="AB183" i="10"/>
  <c r="AC183" i="10"/>
  <c r="AD183" i="10" s="1"/>
  <c r="AE183" i="10"/>
  <c r="AF183" i="10"/>
  <c r="AG183" i="10"/>
  <c r="AH183" i="10" s="1"/>
  <c r="AI183" i="10"/>
  <c r="AJ183" i="10" s="1"/>
  <c r="AK183" i="10"/>
  <c r="AL183" i="10" s="1"/>
  <c r="AM183" i="10"/>
  <c r="AN183" i="10" s="1"/>
  <c r="AO183" i="10"/>
  <c r="AP183" i="10"/>
  <c r="AQ183" i="10"/>
  <c r="AR183" i="10"/>
  <c r="AS183" i="10"/>
  <c r="AT183" i="10"/>
  <c r="AU183" i="10"/>
  <c r="AV183" i="10"/>
  <c r="AW183" i="10"/>
  <c r="T184" i="10"/>
  <c r="W184" i="10"/>
  <c r="X184" i="10" s="1"/>
  <c r="Y184" i="10"/>
  <c r="Z184" i="10"/>
  <c r="AA184" i="10"/>
  <c r="AB184" i="10"/>
  <c r="AC184" i="10"/>
  <c r="AD184" i="10" s="1"/>
  <c r="AE184" i="10"/>
  <c r="AF184" i="10"/>
  <c r="AG184" i="10"/>
  <c r="AH184" i="10" s="1"/>
  <c r="AI184" i="10"/>
  <c r="AJ184" i="10" s="1"/>
  <c r="AK184" i="10"/>
  <c r="AL184" i="10" s="1"/>
  <c r="AM184" i="10"/>
  <c r="AN184" i="10" s="1"/>
  <c r="AO184" i="10"/>
  <c r="AP184" i="10"/>
  <c r="AQ184" i="10"/>
  <c r="AR184" i="10"/>
  <c r="AS184" i="10"/>
  <c r="AT184" i="10"/>
  <c r="AU184" i="10"/>
  <c r="AV184" i="10"/>
  <c r="AW184" i="10"/>
  <c r="T185" i="10"/>
  <c r="W185" i="10"/>
  <c r="X185" i="10" s="1"/>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s="1"/>
  <c r="AE186" i="10"/>
  <c r="AF186" i="10"/>
  <c r="AG186" i="10"/>
  <c r="AH186" i="10" s="1"/>
  <c r="AI186" i="10"/>
  <c r="AJ186" i="10" s="1"/>
  <c r="AK186" i="10"/>
  <c r="AL186" i="10" s="1"/>
  <c r="AM186" i="10"/>
  <c r="AN186" i="10"/>
  <c r="AO186" i="10"/>
  <c r="AP186" i="10"/>
  <c r="AQ186" i="10"/>
  <c r="AR186" i="10"/>
  <c r="AS186" i="10"/>
  <c r="AT186" i="10"/>
  <c r="AU186" i="10"/>
  <c r="AV186" i="10"/>
  <c r="AW186" i="10"/>
  <c r="T187" i="10"/>
  <c r="W187" i="10"/>
  <c r="X187" i="10" s="1"/>
  <c r="Y187" i="10"/>
  <c r="Z187" i="10"/>
  <c r="AA187" i="10"/>
  <c r="AB187" i="10"/>
  <c r="AC187" i="10"/>
  <c r="AD187" i="10" s="1"/>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s="1"/>
  <c r="Y188" i="10"/>
  <c r="Z188" i="10"/>
  <c r="AA188" i="10"/>
  <c r="AB188" i="10"/>
  <c r="AC188" i="10"/>
  <c r="AD188" i="10" s="1"/>
  <c r="AE188" i="10"/>
  <c r="AF188" i="10"/>
  <c r="AG188" i="10"/>
  <c r="AH188" i="10"/>
  <c r="AI188" i="10"/>
  <c r="AJ188" i="10" s="1"/>
  <c r="AK188" i="10"/>
  <c r="AL188" i="10" s="1"/>
  <c r="AM188" i="10"/>
  <c r="AN188" i="10" s="1"/>
  <c r="AO188" i="10"/>
  <c r="AP188" i="10"/>
  <c r="AQ188" i="10"/>
  <c r="AR188" i="10"/>
  <c r="AS188" i="10"/>
  <c r="AT188" i="10"/>
  <c r="AU188" i="10"/>
  <c r="AV188" i="10"/>
  <c r="AW188" i="10"/>
  <c r="T189" i="10"/>
  <c r="W189" i="10"/>
  <c r="X189" i="10" s="1"/>
  <c r="Y189" i="10"/>
  <c r="Z189" i="10"/>
  <c r="AA189" i="10"/>
  <c r="AB189" i="10"/>
  <c r="AC189" i="10"/>
  <c r="AD189" i="10"/>
  <c r="AE189" i="10"/>
  <c r="AF189" i="10"/>
  <c r="AG189" i="10"/>
  <c r="AH189" i="10"/>
  <c r="AI189" i="10"/>
  <c r="AJ189" i="10" s="1"/>
  <c r="AK189" i="10"/>
  <c r="AL189" i="10" s="1"/>
  <c r="AM189" i="10"/>
  <c r="AN189" i="10" s="1"/>
  <c r="AO189" i="10"/>
  <c r="AP189" i="10"/>
  <c r="AQ189" i="10"/>
  <c r="AR189" i="10"/>
  <c r="AS189" i="10"/>
  <c r="AT189" i="10"/>
  <c r="AU189" i="10"/>
  <c r="AV189" i="10"/>
  <c r="AW189" i="10"/>
  <c r="T190" i="10"/>
  <c r="W190" i="10"/>
  <c r="X190" i="10"/>
  <c r="Y190" i="10"/>
  <c r="Z190" i="10"/>
  <c r="AA190" i="10"/>
  <c r="AB190" i="10"/>
  <c r="AC190" i="10"/>
  <c r="AD190" i="10" s="1"/>
  <c r="AE190" i="10"/>
  <c r="AF190" i="10"/>
  <c r="AG190" i="10"/>
  <c r="AH190" i="10" s="1"/>
  <c r="AI190" i="10"/>
  <c r="AJ190" i="10" s="1"/>
  <c r="AK190" i="10"/>
  <c r="AL190" i="10" s="1"/>
  <c r="AM190" i="10"/>
  <c r="AN190" i="10" s="1"/>
  <c r="AO190" i="10"/>
  <c r="AP190" i="10"/>
  <c r="AQ190" i="10"/>
  <c r="AR190" i="10"/>
  <c r="AS190" i="10"/>
  <c r="AT190" i="10"/>
  <c r="AU190" i="10"/>
  <c r="AV190" i="10"/>
  <c r="AW190" i="10"/>
  <c r="T191" i="10"/>
  <c r="W191" i="10"/>
  <c r="X191" i="10" s="1"/>
  <c r="Y191" i="10"/>
  <c r="Z191" i="10"/>
  <c r="AA191" i="10"/>
  <c r="AB191" i="10"/>
  <c r="AC191" i="10"/>
  <c r="AD191" i="10" s="1"/>
  <c r="AE191" i="10"/>
  <c r="AF191" i="10"/>
  <c r="AG191" i="10"/>
  <c r="AH191" i="10" s="1"/>
  <c r="AI191" i="10"/>
  <c r="AJ191" i="10"/>
  <c r="AK191" i="10"/>
  <c r="AL191" i="10" s="1"/>
  <c r="AM191" i="10"/>
  <c r="AN191" i="10" s="1"/>
  <c r="AO191" i="10"/>
  <c r="AP191" i="10"/>
  <c r="AQ191" i="10"/>
  <c r="AR191" i="10"/>
  <c r="AS191" i="10"/>
  <c r="AT191" i="10"/>
  <c r="AU191" i="10"/>
  <c r="AV191" i="10"/>
  <c r="AW191" i="10"/>
  <c r="T192" i="10"/>
  <c r="W192" i="10"/>
  <c r="X192" i="10" s="1"/>
  <c r="Y192" i="10"/>
  <c r="Z192" i="10"/>
  <c r="AA192" i="10"/>
  <c r="AB192" i="10"/>
  <c r="AC192" i="10"/>
  <c r="AD192" i="10" s="1"/>
  <c r="AE192" i="10"/>
  <c r="AF192" i="10"/>
  <c r="AG192" i="10"/>
  <c r="AH192" i="10" s="1"/>
  <c r="AI192" i="10"/>
  <c r="AJ192" i="10" s="1"/>
  <c r="AK192" i="10"/>
  <c r="AL192" i="10" s="1"/>
  <c r="AM192" i="10"/>
  <c r="AN192" i="10" s="1"/>
  <c r="AO192" i="10"/>
  <c r="AP192" i="10"/>
  <c r="AQ192" i="10"/>
  <c r="AR192" i="10"/>
  <c r="AS192" i="10"/>
  <c r="AT192" i="10"/>
  <c r="AU192" i="10"/>
  <c r="AV192" i="10"/>
  <c r="AW192" i="10"/>
  <c r="T193"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s="1"/>
  <c r="AI194" i="10"/>
  <c r="AJ194" i="10" s="1"/>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s="1"/>
  <c r="AI195" i="10"/>
  <c r="AJ195" i="10" s="1"/>
  <c r="AK195" i="10"/>
  <c r="AL195" i="10" s="1"/>
  <c r="AM195" i="10"/>
  <c r="AN195" i="10" s="1"/>
  <c r="AO195" i="10"/>
  <c r="AP195" i="10"/>
  <c r="AQ195" i="10"/>
  <c r="AR195" i="10"/>
  <c r="AS195" i="10"/>
  <c r="AT195" i="10"/>
  <c r="AU195" i="10"/>
  <c r="AV195" i="10"/>
  <c r="AW195" i="10"/>
  <c r="T196" i="10"/>
  <c r="W196" i="10"/>
  <c r="X196" i="10" s="1"/>
  <c r="Y196" i="10"/>
  <c r="Z196" i="10"/>
  <c r="AA196" i="10"/>
  <c r="AB196" i="10"/>
  <c r="AC196" i="10"/>
  <c r="AD196" i="10" s="1"/>
  <c r="AE196" i="10"/>
  <c r="AF196" i="10"/>
  <c r="AG196" i="10"/>
  <c r="AH196" i="10" s="1"/>
  <c r="AI196" i="10"/>
  <c r="AJ196" i="10" s="1"/>
  <c r="AK196" i="10"/>
  <c r="AL196" i="10" s="1"/>
  <c r="AM196" i="10"/>
  <c r="AN196" i="10" s="1"/>
  <c r="AO196" i="10"/>
  <c r="AP196" i="10"/>
  <c r="AQ196" i="10"/>
  <c r="AR196" i="10"/>
  <c r="AS196" i="10"/>
  <c r="AT196" i="10"/>
  <c r="AU196" i="10"/>
  <c r="AV196" i="10"/>
  <c r="AW196" i="10"/>
  <c r="T197" i="10"/>
  <c r="W197" i="10"/>
  <c r="X197" i="10" s="1"/>
  <c r="Y197" i="10"/>
  <c r="Z197" i="10"/>
  <c r="AA197" i="10"/>
  <c r="AB197" i="10"/>
  <c r="AC197" i="10"/>
  <c r="AD197" i="10" s="1"/>
  <c r="AE197" i="10"/>
  <c r="AF197" i="10"/>
  <c r="AG197" i="10"/>
  <c r="AH197" i="10" s="1"/>
  <c r="AI197" i="10"/>
  <c r="AJ197" i="10" s="1"/>
  <c r="AK197" i="10"/>
  <c r="AL197" i="10"/>
  <c r="AM197" i="10"/>
  <c r="AN197" i="10" s="1"/>
  <c r="AO197" i="10"/>
  <c r="AP197" i="10"/>
  <c r="AQ197" i="10"/>
  <c r="AR197" i="10"/>
  <c r="AS197" i="10"/>
  <c r="AT197" i="10"/>
  <c r="AU197" i="10"/>
  <c r="AV197" i="10"/>
  <c r="AW197" i="10"/>
  <c r="T198" i="10"/>
  <c r="W198" i="10"/>
  <c r="X198" i="10" s="1"/>
  <c r="Y198" i="10"/>
  <c r="Z198" i="10"/>
  <c r="AA198" i="10"/>
  <c r="AB198" i="10"/>
  <c r="AC198" i="10"/>
  <c r="AD198" i="10"/>
  <c r="AE198" i="10"/>
  <c r="AF198" i="10"/>
  <c r="AG198" i="10"/>
  <c r="AH198" i="10" s="1"/>
  <c r="AI198" i="10"/>
  <c r="AJ198" i="10"/>
  <c r="AK198" i="10"/>
  <c r="AL198" i="10" s="1"/>
  <c r="AM198" i="10"/>
  <c r="AN198" i="10" s="1"/>
  <c r="AO198" i="10"/>
  <c r="AP198" i="10"/>
  <c r="AQ198" i="10"/>
  <c r="AR198" i="10"/>
  <c r="AS198" i="10"/>
  <c r="AT198" i="10"/>
  <c r="AU198" i="10"/>
  <c r="AV198" i="10"/>
  <c r="AW198" i="10"/>
  <c r="T199" i="10"/>
  <c r="W199" i="10"/>
  <c r="X199" i="10" s="1"/>
  <c r="Y199" i="10"/>
  <c r="Z199" i="10"/>
  <c r="AA199" i="10"/>
  <c r="AB199" i="10"/>
  <c r="AC199" i="10"/>
  <c r="AD199" i="10" s="1"/>
  <c r="AE199" i="10"/>
  <c r="AF199" i="10"/>
  <c r="AG199" i="10"/>
  <c r="AH199" i="10" s="1"/>
  <c r="AI199" i="10"/>
  <c r="AJ199" i="10"/>
  <c r="AK199" i="10"/>
  <c r="AL199" i="10"/>
  <c r="AM199" i="10"/>
  <c r="AN199" i="10" s="1"/>
  <c r="AO199" i="10"/>
  <c r="AP199" i="10"/>
  <c r="AQ199" i="10"/>
  <c r="AR199" i="10"/>
  <c r="AS199" i="10"/>
  <c r="AT199" i="10"/>
  <c r="AU199" i="10"/>
  <c r="AV199" i="10"/>
  <c r="AW199" i="10"/>
  <c r="T200" i="10"/>
  <c r="W200" i="10"/>
  <c r="X200" i="10" s="1"/>
  <c r="Y200" i="10"/>
  <c r="Z200" i="10"/>
  <c r="AA200" i="10"/>
  <c r="AB200" i="10"/>
  <c r="AC200" i="10"/>
  <c r="AD200" i="10" s="1"/>
  <c r="AE200" i="10"/>
  <c r="AF200" i="10"/>
  <c r="AG200" i="10"/>
  <c r="AH200" i="10" s="1"/>
  <c r="AI200" i="10"/>
  <c r="AJ200" i="10" s="1"/>
  <c r="AK200" i="10"/>
  <c r="AL200" i="10" s="1"/>
  <c r="AM200" i="10"/>
  <c r="AN200" i="10" s="1"/>
  <c r="AO200" i="10"/>
  <c r="AP200" i="10"/>
  <c r="AQ200" i="10"/>
  <c r="AR200" i="10"/>
  <c r="AS200" i="10"/>
  <c r="AT200" i="10"/>
  <c r="AU200" i="10"/>
  <c r="AV200" i="10"/>
  <c r="AW200" i="10"/>
  <c r="T201" i="10"/>
  <c r="W201" i="10"/>
  <c r="X201" i="10" s="1"/>
  <c r="Y201" i="10"/>
  <c r="Z201" i="10"/>
  <c r="AA201" i="10"/>
  <c r="AB201" i="10"/>
  <c r="AC201" i="10"/>
  <c r="AD201" i="10" s="1"/>
  <c r="AE201" i="10"/>
  <c r="AF201" i="10"/>
  <c r="AG201" i="10"/>
  <c r="AH201" i="10" s="1"/>
  <c r="AI201" i="10"/>
  <c r="AJ201" i="10" s="1"/>
  <c r="AK201" i="10"/>
  <c r="AL201" i="10" s="1"/>
  <c r="AM201" i="10"/>
  <c r="AN201" i="10" s="1"/>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s="1"/>
  <c r="AI202" i="10"/>
  <c r="AJ202" i="10" s="1"/>
  <c r="AK202" i="10"/>
  <c r="AL202" i="10" s="1"/>
  <c r="AM202" i="10"/>
  <c r="AN202" i="10" s="1"/>
  <c r="AO202" i="10"/>
  <c r="AP202" i="10"/>
  <c r="AQ202" i="10"/>
  <c r="AR202" i="10"/>
  <c r="AS202" i="10"/>
  <c r="AT202" i="10"/>
  <c r="AU202" i="10"/>
  <c r="AV202" i="10"/>
  <c r="AW202" i="10"/>
  <c r="T203" i="10"/>
  <c r="W203" i="10"/>
  <c r="X203" i="10"/>
  <c r="Y203" i="10"/>
  <c r="Z203" i="10"/>
  <c r="AA203" i="10"/>
  <c r="AB203" i="10"/>
  <c r="AC203" i="10"/>
  <c r="AD203" i="10" s="1"/>
  <c r="AE203" i="10"/>
  <c r="AF203" i="10"/>
  <c r="AG203" i="10"/>
  <c r="AH203" i="10" s="1"/>
  <c r="AI203" i="10"/>
  <c r="AJ203" i="10" s="1"/>
  <c r="AK203" i="10"/>
  <c r="AL203" i="10" s="1"/>
  <c r="AM203" i="10"/>
  <c r="AN203" i="10" s="1"/>
  <c r="AO203" i="10"/>
  <c r="AP203" i="10"/>
  <c r="AQ203" i="10"/>
  <c r="AR203" i="10"/>
  <c r="AS203" i="10"/>
  <c r="AT203" i="10"/>
  <c r="AU203" i="10"/>
  <c r="AV203" i="10"/>
  <c r="AW203" i="10"/>
  <c r="T204" i="10"/>
  <c r="W204" i="10"/>
  <c r="X204" i="10" s="1"/>
  <c r="Y204" i="10"/>
  <c r="Z204" i="10"/>
  <c r="AA204" i="10"/>
  <c r="AB204" i="10"/>
  <c r="AC204" i="10"/>
  <c r="AD204" i="10" s="1"/>
  <c r="AE204" i="10"/>
  <c r="AF204" i="10"/>
  <c r="AG204" i="10"/>
  <c r="AH204" i="10" s="1"/>
  <c r="AI204" i="10"/>
  <c r="AJ204" i="10" s="1"/>
  <c r="AK204" i="10"/>
  <c r="AL204" i="10" s="1"/>
  <c r="AM204" i="10"/>
  <c r="AN204" i="10"/>
  <c r="AO204" i="10"/>
  <c r="AP204" i="10"/>
  <c r="AQ204" i="10"/>
  <c r="AR204" i="10"/>
  <c r="AS204" i="10"/>
  <c r="AT204" i="10"/>
  <c r="AU204" i="10"/>
  <c r="AV204" i="10"/>
  <c r="AW204" i="10"/>
  <c r="T205" i="10"/>
  <c r="W205" i="10"/>
  <c r="X205" i="10" s="1"/>
  <c r="Y205" i="10"/>
  <c r="Z205" i="10"/>
  <c r="AA205" i="10"/>
  <c r="AB205" i="10"/>
  <c r="AC205" i="10"/>
  <c r="AD205" i="10" s="1"/>
  <c r="AE205" i="10"/>
  <c r="AF205" i="10"/>
  <c r="AG205" i="10"/>
  <c r="AH205" i="10" s="1"/>
  <c r="AI205" i="10"/>
  <c r="AJ205" i="10" s="1"/>
  <c r="AK205" i="10"/>
  <c r="AL205" i="10" s="1"/>
  <c r="AM205" i="10"/>
  <c r="AN205" i="10" s="1"/>
  <c r="AO205" i="10"/>
  <c r="AP205" i="10"/>
  <c r="AQ205" i="10"/>
  <c r="AR205" i="10"/>
  <c r="AS205" i="10"/>
  <c r="AT205" i="10"/>
  <c r="AU205" i="10"/>
  <c r="AV205" i="10"/>
  <c r="AW205" i="10"/>
  <c r="T206" i="10"/>
  <c r="W206" i="10"/>
  <c r="X206" i="10" s="1"/>
  <c r="Y206" i="10"/>
  <c r="Z206" i="10"/>
  <c r="AA206" i="10"/>
  <c r="AB206" i="10"/>
  <c r="AC206" i="10"/>
  <c r="AD206" i="10" s="1"/>
  <c r="AE206" i="10"/>
  <c r="AF206" i="10"/>
  <c r="AG206" i="10"/>
  <c r="AH206" i="10" s="1"/>
  <c r="AI206" i="10"/>
  <c r="AJ206" i="10" s="1"/>
  <c r="AK206" i="10"/>
  <c r="AL206" i="10" s="1"/>
  <c r="AM206" i="10"/>
  <c r="AN206" i="10" s="1"/>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s="1"/>
  <c r="AK207" i="10"/>
  <c r="AL207" i="10" s="1"/>
  <c r="AM207" i="10"/>
  <c r="AN207" i="10" s="1"/>
  <c r="AO207" i="10"/>
  <c r="AP207" i="10"/>
  <c r="AQ207" i="10"/>
  <c r="AR207" i="10"/>
  <c r="AS207" i="10"/>
  <c r="AT207" i="10"/>
  <c r="AU207" i="10"/>
  <c r="AV207" i="10"/>
  <c r="AW207" i="10"/>
  <c r="T208" i="10"/>
  <c r="W208" i="10"/>
  <c r="X208" i="10" s="1"/>
  <c r="Y208" i="10"/>
  <c r="Z208" i="10"/>
  <c r="AA208" i="10"/>
  <c r="AB208" i="10"/>
  <c r="AC208" i="10"/>
  <c r="AD208" i="10" s="1"/>
  <c r="AE208" i="10"/>
  <c r="AF208" i="10"/>
  <c r="AG208" i="10"/>
  <c r="AH208" i="10" s="1"/>
  <c r="AI208" i="10"/>
  <c r="AJ208" i="10"/>
  <c r="AK208" i="10"/>
  <c r="AL208" i="10" s="1"/>
  <c r="AM208" i="10"/>
  <c r="AN208" i="10" s="1"/>
  <c r="AO208" i="10"/>
  <c r="AP208" i="10"/>
  <c r="AQ208" i="10"/>
  <c r="AR208" i="10"/>
  <c r="AS208" i="10"/>
  <c r="AT208" i="10"/>
  <c r="AU208" i="10"/>
  <c r="AV208" i="10"/>
  <c r="AW208" i="10"/>
  <c r="T209" i="10"/>
  <c r="W209" i="10"/>
  <c r="X209" i="10" s="1"/>
  <c r="Y209" i="10"/>
  <c r="Z209" i="10"/>
  <c r="AA209" i="10"/>
  <c r="AB209" i="10"/>
  <c r="AC209" i="10"/>
  <c r="AD209" i="10"/>
  <c r="AE209" i="10"/>
  <c r="AF209" i="10"/>
  <c r="AG209" i="10"/>
  <c r="AH209" i="10" s="1"/>
  <c r="AI209" i="10"/>
  <c r="AJ209" i="10" s="1"/>
  <c r="AK209" i="10"/>
  <c r="AL209" i="10" s="1"/>
  <c r="AM209" i="10"/>
  <c r="AN209" i="10" s="1"/>
  <c r="AO209" i="10"/>
  <c r="AP209" i="10"/>
  <c r="AQ209" i="10"/>
  <c r="AR209" i="10"/>
  <c r="AS209" i="10"/>
  <c r="AT209" i="10"/>
  <c r="AU209" i="10"/>
  <c r="AV209" i="10"/>
  <c r="AW209" i="10"/>
  <c r="T210" i="10"/>
  <c r="W210" i="10"/>
  <c r="X210" i="10" s="1"/>
  <c r="U210" i="10" s="1"/>
  <c r="Y210" i="10"/>
  <c r="Z210" i="10"/>
  <c r="AA210" i="10"/>
  <c r="AB210" i="10"/>
  <c r="AC210" i="10"/>
  <c r="AD210" i="10"/>
  <c r="AE210" i="10"/>
  <c r="AF210" i="10"/>
  <c r="AG210" i="10"/>
  <c r="AH210" i="10" s="1"/>
  <c r="AI210" i="10"/>
  <c r="AJ210" i="10" s="1"/>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s="1"/>
  <c r="AE211" i="10"/>
  <c r="AF211" i="10"/>
  <c r="AG211" i="10"/>
  <c r="AH211" i="10" s="1"/>
  <c r="AI211" i="10"/>
  <c r="AJ211" i="10" s="1"/>
  <c r="AK211" i="10"/>
  <c r="AL211" i="10" s="1"/>
  <c r="AM211" i="10"/>
  <c r="AN211" i="10" s="1"/>
  <c r="AO211" i="10"/>
  <c r="AP211" i="10"/>
  <c r="AQ211" i="10"/>
  <c r="AR211" i="10"/>
  <c r="AS211" i="10"/>
  <c r="AT211" i="10"/>
  <c r="AU211" i="10"/>
  <c r="AV211" i="10"/>
  <c r="AW211" i="10"/>
  <c r="T212" i="10"/>
  <c r="W212" i="10"/>
  <c r="X212" i="10" s="1"/>
  <c r="Y212" i="10"/>
  <c r="Z212" i="10"/>
  <c r="AA212" i="10"/>
  <c r="AB212" i="10"/>
  <c r="AC212" i="10"/>
  <c r="AD212" i="10" s="1"/>
  <c r="AE212" i="10"/>
  <c r="AF212" i="10"/>
  <c r="AG212" i="10"/>
  <c r="AH212" i="10" s="1"/>
  <c r="AI212" i="10"/>
  <c r="AJ212" i="10" s="1"/>
  <c r="AK212" i="10"/>
  <c r="AL212" i="10" s="1"/>
  <c r="AM212" i="10"/>
  <c r="AN212" i="10" s="1"/>
  <c r="AO212" i="10"/>
  <c r="AP212" i="10"/>
  <c r="AQ212" i="10"/>
  <c r="AR212" i="10"/>
  <c r="AS212" i="10"/>
  <c r="AT212" i="10"/>
  <c r="AU212" i="10"/>
  <c r="AV212" i="10"/>
  <c r="AW212" i="10"/>
  <c r="T213" i="10"/>
  <c r="W213" i="10"/>
  <c r="X213" i="10" s="1"/>
  <c r="Y213" i="10"/>
  <c r="Z213" i="10"/>
  <c r="AA213" i="10"/>
  <c r="AB213" i="10"/>
  <c r="AC213" i="10"/>
  <c r="AD213" i="10" s="1"/>
  <c r="AE213" i="10"/>
  <c r="AF213" i="10"/>
  <c r="AG213" i="10"/>
  <c r="AH213" i="10" s="1"/>
  <c r="AI213" i="10"/>
  <c r="AJ213" i="10" s="1"/>
  <c r="AK213" i="10"/>
  <c r="AL213" i="10" s="1"/>
  <c r="AM213" i="10"/>
  <c r="AN213" i="10" s="1"/>
  <c r="AO213" i="10"/>
  <c r="AP213" i="10"/>
  <c r="AQ213" i="10"/>
  <c r="AR213" i="10"/>
  <c r="AS213" i="10"/>
  <c r="AT213" i="10"/>
  <c r="AU213" i="10"/>
  <c r="AV213" i="10"/>
  <c r="AW213" i="10"/>
  <c r="T214" i="10"/>
  <c r="W214" i="10"/>
  <c r="X214" i="10" s="1"/>
  <c r="Y214" i="10"/>
  <c r="Z214" i="10"/>
  <c r="AA214" i="10"/>
  <c r="AB214" i="10"/>
  <c r="AC214" i="10"/>
  <c r="AD214" i="10" s="1"/>
  <c r="AE214" i="10"/>
  <c r="AF214" i="10"/>
  <c r="AG214" i="10"/>
  <c r="AH214" i="10" s="1"/>
  <c r="AI214" i="10"/>
  <c r="AJ214" i="10" s="1"/>
  <c r="AK214" i="10"/>
  <c r="AL214" i="10" s="1"/>
  <c r="AM214" i="10"/>
  <c r="AN214" i="10" s="1"/>
  <c r="AO214" i="10"/>
  <c r="AP214" i="10"/>
  <c r="AQ214" i="10"/>
  <c r="AR214" i="10"/>
  <c r="AS214" i="10"/>
  <c r="AT214" i="10"/>
  <c r="AU214" i="10"/>
  <c r="AV214" i="10"/>
  <c r="AW214" i="10"/>
  <c r="T215" i="10"/>
  <c r="W215" i="10"/>
  <c r="X215" i="10"/>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T216" i="10"/>
  <c r="W216" i="10"/>
  <c r="X216" i="10" s="1"/>
  <c r="Y216" i="10"/>
  <c r="Z216" i="10"/>
  <c r="AA216" i="10"/>
  <c r="AB216" i="10"/>
  <c r="AC216" i="10"/>
  <c r="AD216" i="10" s="1"/>
  <c r="AE216" i="10"/>
  <c r="AF216" i="10"/>
  <c r="AG216" i="10"/>
  <c r="AH216" i="10" s="1"/>
  <c r="AI216" i="10"/>
  <c r="AJ216" i="10" s="1"/>
  <c r="AK216" i="10"/>
  <c r="AL216" i="10" s="1"/>
  <c r="AM216" i="10"/>
  <c r="AN216" i="10" s="1"/>
  <c r="AO216" i="10"/>
  <c r="AP216" i="10"/>
  <c r="AQ216" i="10"/>
  <c r="AR216" i="10"/>
  <c r="AS216" i="10"/>
  <c r="AT216" i="10"/>
  <c r="AU216" i="10"/>
  <c r="AV216" i="10"/>
  <c r="AW216" i="10"/>
  <c r="T217" i="10"/>
  <c r="W217" i="10"/>
  <c r="X217" i="10"/>
  <c r="Y217" i="10"/>
  <c r="Z217" i="10"/>
  <c r="AA217" i="10"/>
  <c r="AB217" i="10"/>
  <c r="AC217" i="10"/>
  <c r="AD217" i="10" s="1"/>
  <c r="AE217" i="10"/>
  <c r="AF217" i="10"/>
  <c r="AG217" i="10"/>
  <c r="AH217" i="10" s="1"/>
  <c r="AI217" i="10"/>
  <c r="AJ217" i="10" s="1"/>
  <c r="AK217" i="10"/>
  <c r="AL217" i="10" s="1"/>
  <c r="AM217" i="10"/>
  <c r="AN217" i="10" s="1"/>
  <c r="AO217" i="10"/>
  <c r="AP217" i="10"/>
  <c r="AQ217" i="10"/>
  <c r="AR217" i="10"/>
  <c r="AS217" i="10"/>
  <c r="AT217" i="10"/>
  <c r="AU217" i="10"/>
  <c r="AV217" i="10"/>
  <c r="AW217" i="10"/>
  <c r="T218" i="10"/>
  <c r="W218" i="10"/>
  <c r="X218" i="10" s="1"/>
  <c r="Y218" i="10"/>
  <c r="Z218" i="10"/>
  <c r="AA218" i="10"/>
  <c r="AB218" i="10"/>
  <c r="AC218" i="10"/>
  <c r="AD218" i="10" s="1"/>
  <c r="AE218" i="10"/>
  <c r="AF218" i="10"/>
  <c r="AG218" i="10"/>
  <c r="AH218" i="10" s="1"/>
  <c r="AI218" i="10"/>
  <c r="AJ218" i="10"/>
  <c r="AK218" i="10"/>
  <c r="AL218" i="10" s="1"/>
  <c r="AM218" i="10"/>
  <c r="AN218" i="10" s="1"/>
  <c r="AO218" i="10"/>
  <c r="AP218" i="10"/>
  <c r="AQ218" i="10"/>
  <c r="AR218" i="10"/>
  <c r="AS218" i="10"/>
  <c r="AT218" i="10"/>
  <c r="AU218" i="10"/>
  <c r="AV218" i="10"/>
  <c r="AW218" i="10"/>
  <c r="T219" i="10"/>
  <c r="W219" i="10"/>
  <c r="X219" i="10" s="1"/>
  <c r="Y219" i="10"/>
  <c r="Z219" i="10"/>
  <c r="AA219" i="10"/>
  <c r="AB219" i="10"/>
  <c r="AC219" i="10"/>
  <c r="AD219" i="10" s="1"/>
  <c r="AE219" i="10"/>
  <c r="AF219" i="10"/>
  <c r="AG219" i="10"/>
  <c r="AH219" i="10" s="1"/>
  <c r="AI219" i="10"/>
  <c r="AJ219" i="10" s="1"/>
  <c r="AK219" i="10"/>
  <c r="AL219" i="10" s="1"/>
  <c r="AM219" i="10"/>
  <c r="AN219" i="10" s="1"/>
  <c r="AO219" i="10"/>
  <c r="AP219" i="10"/>
  <c r="AQ219" i="10"/>
  <c r="AR219" i="10"/>
  <c r="AS219" i="10"/>
  <c r="AT219" i="10"/>
  <c r="AU219" i="10"/>
  <c r="AV219" i="10"/>
  <c r="AW219" i="10"/>
  <c r="T220" i="10"/>
  <c r="W220" i="10"/>
  <c r="X220" i="10" s="1"/>
  <c r="Y220" i="10"/>
  <c r="Z220" i="10"/>
  <c r="AA220" i="10"/>
  <c r="AB220" i="10"/>
  <c r="AC220" i="10"/>
  <c r="AD220" i="10" s="1"/>
  <c r="AE220" i="10"/>
  <c r="AF220" i="10"/>
  <c r="AG220" i="10"/>
  <c r="AH220" i="10" s="1"/>
  <c r="AI220" i="10"/>
  <c r="AJ220" i="10" s="1"/>
  <c r="AK220" i="10"/>
  <c r="AL220" i="10" s="1"/>
  <c r="AM220" i="10"/>
  <c r="AN220" i="10" s="1"/>
  <c r="AO220" i="10"/>
  <c r="AP220" i="10"/>
  <c r="AQ220" i="10"/>
  <c r="AR220" i="10"/>
  <c r="AS220" i="10"/>
  <c r="AT220" i="10"/>
  <c r="AU220" i="10"/>
  <c r="AV220" i="10"/>
  <c r="AW220" i="10"/>
  <c r="T221" i="10"/>
  <c r="W221" i="10"/>
  <c r="X221" i="10" s="1"/>
  <c r="Y221" i="10"/>
  <c r="Z221" i="10"/>
  <c r="AA221" i="10"/>
  <c r="AB221" i="10"/>
  <c r="AC221" i="10"/>
  <c r="AD221" i="10" s="1"/>
  <c r="AE221" i="10"/>
  <c r="AF221" i="10"/>
  <c r="AG221" i="10"/>
  <c r="AH221" i="10" s="1"/>
  <c r="AI221" i="10"/>
  <c r="AJ221" i="10" s="1"/>
  <c r="AK221" i="10"/>
  <c r="AL221" i="10" s="1"/>
  <c r="AM221" i="10"/>
  <c r="AN221" i="10" s="1"/>
  <c r="AO221" i="10"/>
  <c r="AP221" i="10"/>
  <c r="AQ221" i="10"/>
  <c r="AR221" i="10"/>
  <c r="AS221" i="10"/>
  <c r="AT221" i="10"/>
  <c r="AU221" i="10"/>
  <c r="AV221" i="10"/>
  <c r="AW221" i="10"/>
  <c r="T222" i="10"/>
  <c r="W222" i="10"/>
  <c r="X222" i="10" s="1"/>
  <c r="Y222" i="10"/>
  <c r="Z222" i="10"/>
  <c r="AA222" i="10"/>
  <c r="AB222" i="10"/>
  <c r="AC222" i="10"/>
  <c r="AD222" i="10" s="1"/>
  <c r="AE222" i="10"/>
  <c r="AF222" i="10"/>
  <c r="AG222" i="10"/>
  <c r="AH222" i="10" s="1"/>
  <c r="AI222" i="10"/>
  <c r="AJ222" i="10" s="1"/>
  <c r="AK222" i="10"/>
  <c r="AL222" i="10" s="1"/>
  <c r="AM222" i="10"/>
  <c r="AN222" i="10" s="1"/>
  <c r="AO222" i="10"/>
  <c r="AP222" i="10"/>
  <c r="AQ222" i="10"/>
  <c r="AR222" i="10"/>
  <c r="AS222" i="10"/>
  <c r="AT222" i="10"/>
  <c r="AU222" i="10"/>
  <c r="AV222" i="10"/>
  <c r="AW222" i="10"/>
  <c r="T223" i="10"/>
  <c r="W223" i="10"/>
  <c r="X223" i="10" s="1"/>
  <c r="Y223" i="10"/>
  <c r="Z223" i="10"/>
  <c r="AA223" i="10"/>
  <c r="AB223" i="10"/>
  <c r="AC223" i="10"/>
  <c r="AD223" i="10" s="1"/>
  <c r="AE223" i="10"/>
  <c r="AF223" i="10"/>
  <c r="AG223" i="10"/>
  <c r="AH223" i="10" s="1"/>
  <c r="AI223" i="10"/>
  <c r="AJ223" i="10" s="1"/>
  <c r="AK223" i="10"/>
  <c r="AL223" i="10"/>
  <c r="AM223" i="10"/>
  <c r="AN223" i="10" s="1"/>
  <c r="AO223" i="10"/>
  <c r="AP223" i="10"/>
  <c r="AQ223" i="10"/>
  <c r="AR223" i="10"/>
  <c r="AS223" i="10"/>
  <c r="AT223" i="10"/>
  <c r="AU223" i="10"/>
  <c r="AV223" i="10"/>
  <c r="AW223" i="10"/>
  <c r="T224" i="10"/>
  <c r="W224" i="10"/>
  <c r="X224" i="10" s="1"/>
  <c r="Y224" i="10"/>
  <c r="Z224" i="10"/>
  <c r="AA224" i="10"/>
  <c r="AB224" i="10"/>
  <c r="AC224" i="10"/>
  <c r="AD224" i="10" s="1"/>
  <c r="AE224" i="10"/>
  <c r="AF224" i="10"/>
  <c r="AG224" i="10"/>
  <c r="AH224" i="10" s="1"/>
  <c r="AI224" i="10"/>
  <c r="AJ224" i="10" s="1"/>
  <c r="AK224" i="10"/>
  <c r="AL224" i="10" s="1"/>
  <c r="AM224" i="10"/>
  <c r="AN224" i="10" s="1"/>
  <c r="AO224" i="10"/>
  <c r="AP224" i="10"/>
  <c r="AQ224" i="10"/>
  <c r="AR224" i="10"/>
  <c r="AS224" i="10"/>
  <c r="AT224" i="10"/>
  <c r="AU224" i="10"/>
  <c r="AV224" i="10"/>
  <c r="AW224" i="10"/>
  <c r="T225" i="10"/>
  <c r="W225" i="10"/>
  <c r="X225" i="10" s="1"/>
  <c r="Y225" i="10"/>
  <c r="Z225" i="10"/>
  <c r="AA225" i="10"/>
  <c r="AB225" i="10"/>
  <c r="AC225" i="10"/>
  <c r="AD225" i="10" s="1"/>
  <c r="AE225" i="10"/>
  <c r="AF225" i="10"/>
  <c r="AG225" i="10"/>
  <c r="AH225" i="10" s="1"/>
  <c r="AI225" i="10"/>
  <c r="AJ225" i="10"/>
  <c r="AK225" i="10"/>
  <c r="AL225" i="10" s="1"/>
  <c r="AM225" i="10"/>
  <c r="AN225" i="10" s="1"/>
  <c r="AO225" i="10"/>
  <c r="AP225" i="10"/>
  <c r="AQ225" i="10"/>
  <c r="AR225" i="10"/>
  <c r="AS225" i="10"/>
  <c r="AT225" i="10"/>
  <c r="AU225" i="10"/>
  <c r="AV225" i="10"/>
  <c r="AW225" i="10"/>
  <c r="T226" i="10"/>
  <c r="W226" i="10"/>
  <c r="X226" i="10"/>
  <c r="Y226" i="10"/>
  <c r="Z226" i="10"/>
  <c r="AA226" i="10"/>
  <c r="AB226" i="10"/>
  <c r="AC226" i="10"/>
  <c r="AD226" i="10" s="1"/>
  <c r="AE226" i="10"/>
  <c r="AF226" i="10"/>
  <c r="AG226" i="10"/>
  <c r="AH226" i="10" s="1"/>
  <c r="AI226" i="10"/>
  <c r="AJ226" i="10" s="1"/>
  <c r="AK226" i="10"/>
  <c r="AL226" i="10" s="1"/>
  <c r="AM226" i="10"/>
  <c r="AN226" i="10" s="1"/>
  <c r="AO226" i="10"/>
  <c r="AP226" i="10"/>
  <c r="AQ226" i="10"/>
  <c r="AR226" i="10"/>
  <c r="AS226" i="10"/>
  <c r="AT226" i="10"/>
  <c r="AU226" i="10"/>
  <c r="AV226" i="10"/>
  <c r="AW226" i="10"/>
  <c r="T227" i="10"/>
  <c r="W227" i="10"/>
  <c r="X227" i="10" s="1"/>
  <c r="Y227" i="10"/>
  <c r="Z227" i="10"/>
  <c r="AA227" i="10"/>
  <c r="AB227" i="10"/>
  <c r="AC227" i="10"/>
  <c r="AD227" i="10" s="1"/>
  <c r="AE227" i="10"/>
  <c r="AF227" i="10"/>
  <c r="AG227" i="10"/>
  <c r="AH227" i="10" s="1"/>
  <c r="AI227" i="10"/>
  <c r="AJ227" i="10" s="1"/>
  <c r="AK227" i="10"/>
  <c r="AL227" i="10" s="1"/>
  <c r="AM227" i="10"/>
  <c r="AN227" i="10" s="1"/>
  <c r="AO227" i="10"/>
  <c r="AP227" i="10"/>
  <c r="AQ227" i="10"/>
  <c r="AR227" i="10"/>
  <c r="AS227" i="10"/>
  <c r="AT227" i="10"/>
  <c r="AU227" i="10"/>
  <c r="AV227" i="10"/>
  <c r="AW227" i="10"/>
  <c r="T228" i="10"/>
  <c r="W228" i="10"/>
  <c r="X228" i="10" s="1"/>
  <c r="Y228" i="10"/>
  <c r="Z228" i="10"/>
  <c r="AA228" i="10"/>
  <c r="AB228" i="10"/>
  <c r="AC228" i="10"/>
  <c r="AD228" i="10" s="1"/>
  <c r="AE228" i="10"/>
  <c r="AF228" i="10"/>
  <c r="AG228" i="10"/>
  <c r="AH228" i="10"/>
  <c r="AI228" i="10"/>
  <c r="AJ228" i="10" s="1"/>
  <c r="AK228" i="10"/>
  <c r="AL228" i="10" s="1"/>
  <c r="AM228" i="10"/>
  <c r="AN228" i="10" s="1"/>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s="1"/>
  <c r="AI229" i="10"/>
  <c r="AJ229" i="10" s="1"/>
  <c r="AK229" i="10"/>
  <c r="AL229" i="10"/>
  <c r="AM229" i="10"/>
  <c r="AN229" i="10" s="1"/>
  <c r="AO229" i="10"/>
  <c r="AP229" i="10"/>
  <c r="AQ229" i="10"/>
  <c r="AR229" i="10"/>
  <c r="AS229" i="10"/>
  <c r="AT229" i="10"/>
  <c r="AU229" i="10"/>
  <c r="AV229" i="10"/>
  <c r="AW229" i="10"/>
  <c r="T230" i="10"/>
  <c r="W230" i="10"/>
  <c r="X230" i="10" s="1"/>
  <c r="Y230" i="10"/>
  <c r="Z230" i="10"/>
  <c r="AA230" i="10"/>
  <c r="AB230" i="10"/>
  <c r="AC230" i="10"/>
  <c r="AD230" i="10" s="1"/>
  <c r="AE230" i="10"/>
  <c r="AF230" i="10"/>
  <c r="AG230" i="10"/>
  <c r="AH230" i="10" s="1"/>
  <c r="AI230" i="10"/>
  <c r="AJ230" i="10" s="1"/>
  <c r="AK230" i="10"/>
  <c r="AL230" i="10" s="1"/>
  <c r="AM230" i="10"/>
  <c r="AN230" i="10" s="1"/>
  <c r="AO230" i="10"/>
  <c r="AP230" i="10"/>
  <c r="AQ230" i="10"/>
  <c r="AR230" i="10"/>
  <c r="AS230" i="10"/>
  <c r="AT230" i="10"/>
  <c r="AU230" i="10"/>
  <c r="AV230" i="10"/>
  <c r="AW230" i="10"/>
  <c r="T231" i="10"/>
  <c r="W231" i="10"/>
  <c r="X231" i="10" s="1"/>
  <c r="Y231" i="10"/>
  <c r="Z231" i="10"/>
  <c r="AA231" i="10"/>
  <c r="AB231" i="10"/>
  <c r="AC231" i="10"/>
  <c r="AD231" i="10" s="1"/>
  <c r="AE231" i="10"/>
  <c r="AF231" i="10"/>
  <c r="AG231" i="10"/>
  <c r="AH231" i="10" s="1"/>
  <c r="AI231" i="10"/>
  <c r="AJ231" i="10"/>
  <c r="AK231" i="10"/>
  <c r="AL231" i="10" s="1"/>
  <c r="AM231" i="10"/>
  <c r="AN231" i="10" s="1"/>
  <c r="AO231" i="10"/>
  <c r="AP231" i="10"/>
  <c r="AQ231" i="10"/>
  <c r="AR231" i="10"/>
  <c r="AS231" i="10"/>
  <c r="AT231" i="10"/>
  <c r="AU231" i="10"/>
  <c r="AV231" i="10"/>
  <c r="AW231" i="10"/>
  <c r="T232" i="10"/>
  <c r="W232" i="10"/>
  <c r="X232" i="10" s="1"/>
  <c r="Y232" i="10"/>
  <c r="Z232" i="10"/>
  <c r="AA232" i="10"/>
  <c r="AB232" i="10"/>
  <c r="AC232" i="10"/>
  <c r="AD232" i="10" s="1"/>
  <c r="AE232" i="10"/>
  <c r="AF232" i="10"/>
  <c r="AG232" i="10"/>
  <c r="AH232" i="10" s="1"/>
  <c r="AI232" i="10"/>
  <c r="AJ232" i="10" s="1"/>
  <c r="AK232" i="10"/>
  <c r="AL232" i="10" s="1"/>
  <c r="AM232" i="10"/>
  <c r="AN232" i="10" s="1"/>
  <c r="AO232" i="10"/>
  <c r="AP232" i="10"/>
  <c r="AQ232" i="10"/>
  <c r="AR232" i="10"/>
  <c r="AS232" i="10"/>
  <c r="AT232" i="10"/>
  <c r="AU232" i="10"/>
  <c r="AV232" i="10"/>
  <c r="AW232" i="10"/>
  <c r="T233" i="10"/>
  <c r="W233" i="10"/>
  <c r="X233" i="10" s="1"/>
  <c r="Y233" i="10"/>
  <c r="Z233" i="10"/>
  <c r="AA233" i="10"/>
  <c r="AB233" i="10"/>
  <c r="AC233" i="10"/>
  <c r="AD233" i="10" s="1"/>
  <c r="AE233" i="10"/>
  <c r="AF233" i="10"/>
  <c r="AG233" i="10"/>
  <c r="AH233" i="10" s="1"/>
  <c r="AI233" i="10"/>
  <c r="AJ233" i="10" s="1"/>
  <c r="AK233" i="10"/>
  <c r="AL233" i="10" s="1"/>
  <c r="AM233" i="10"/>
  <c r="AN233" i="10" s="1"/>
  <c r="AO233" i="10"/>
  <c r="AP233" i="10"/>
  <c r="AQ233" i="10"/>
  <c r="AR233" i="10"/>
  <c r="AS233" i="10"/>
  <c r="AT233" i="10"/>
  <c r="AU233" i="10"/>
  <c r="AV233" i="10"/>
  <c r="AW233" i="10"/>
  <c r="T234" i="10"/>
  <c r="W234" i="10"/>
  <c r="X234" i="10" s="1"/>
  <c r="Y234" i="10"/>
  <c r="Z234" i="10"/>
  <c r="AA234" i="10"/>
  <c r="AB234" i="10"/>
  <c r="AC234" i="10"/>
  <c r="AD234" i="10" s="1"/>
  <c r="AE234" i="10"/>
  <c r="AF234" i="10"/>
  <c r="AG234" i="10"/>
  <c r="AH234" i="10" s="1"/>
  <c r="AI234" i="10"/>
  <c r="AJ234" i="10" s="1"/>
  <c r="AK234" i="10"/>
  <c r="AL234" i="10" s="1"/>
  <c r="AM234" i="10"/>
  <c r="AN234" i="10" s="1"/>
  <c r="AO234" i="10"/>
  <c r="AP234" i="10"/>
  <c r="AQ234" i="10"/>
  <c r="AR234" i="10"/>
  <c r="AS234" i="10"/>
  <c r="AT234" i="10"/>
  <c r="AU234" i="10"/>
  <c r="AV234" i="10"/>
  <c r="AW234" i="10"/>
  <c r="T235" i="10"/>
  <c r="W235" i="10"/>
  <c r="X235" i="10" s="1"/>
  <c r="Y235" i="10"/>
  <c r="Z235" i="10"/>
  <c r="AA235" i="10"/>
  <c r="AB235" i="10"/>
  <c r="AC235" i="10"/>
  <c r="AD235" i="10" s="1"/>
  <c r="AE235" i="10"/>
  <c r="AF235" i="10"/>
  <c r="AG235" i="10"/>
  <c r="AH235" i="10" s="1"/>
  <c r="AI235" i="10"/>
  <c r="AJ235" i="10" s="1"/>
  <c r="AK235" i="10"/>
  <c r="AL235" i="10" s="1"/>
  <c r="AM235" i="10"/>
  <c r="AN235" i="10" s="1"/>
  <c r="AO235" i="10"/>
  <c r="AP235" i="10"/>
  <c r="AQ235" i="10"/>
  <c r="AR235" i="10"/>
  <c r="AS235" i="10"/>
  <c r="AT235" i="10"/>
  <c r="AU235" i="10"/>
  <c r="AV235" i="10"/>
  <c r="AW235" i="10"/>
  <c r="T236" i="10"/>
  <c r="W236" i="10"/>
  <c r="X236" i="10" s="1"/>
  <c r="Y236" i="10"/>
  <c r="Z236" i="10"/>
  <c r="AA236" i="10"/>
  <c r="AB236" i="10"/>
  <c r="AC236" i="10"/>
  <c r="AD236" i="10" s="1"/>
  <c r="AE236" i="10"/>
  <c r="AF236" i="10"/>
  <c r="AG236" i="10"/>
  <c r="AH236" i="10" s="1"/>
  <c r="AI236" i="10"/>
  <c r="AJ236" i="10" s="1"/>
  <c r="AK236" i="10"/>
  <c r="AL236" i="10" s="1"/>
  <c r="AM236" i="10"/>
  <c r="AN236" i="10"/>
  <c r="AO236" i="10"/>
  <c r="AP236" i="10"/>
  <c r="AQ236" i="10"/>
  <c r="AR236" i="10"/>
  <c r="AS236" i="10"/>
  <c r="AT236" i="10"/>
  <c r="AU236" i="10"/>
  <c r="AV236" i="10"/>
  <c r="AW236" i="10"/>
  <c r="T237" i="10"/>
  <c r="W237" i="10"/>
  <c r="X237" i="10" s="1"/>
  <c r="Y237" i="10"/>
  <c r="Z237" i="10"/>
  <c r="AA237" i="10"/>
  <c r="AB237" i="10"/>
  <c r="AC237" i="10"/>
  <c r="AD237" i="10" s="1"/>
  <c r="AE237" i="10"/>
  <c r="AF237" i="10"/>
  <c r="AG237" i="10"/>
  <c r="AH237" i="10" s="1"/>
  <c r="AI237" i="10"/>
  <c r="AJ237" i="10" s="1"/>
  <c r="AK237" i="10"/>
  <c r="AL237" i="10" s="1"/>
  <c r="AM237" i="10"/>
  <c r="AN237" i="10" s="1"/>
  <c r="AO237" i="10"/>
  <c r="AP237" i="10"/>
  <c r="AQ237" i="10"/>
  <c r="AR237" i="10"/>
  <c r="AS237" i="10"/>
  <c r="AT237" i="10"/>
  <c r="AU237" i="10"/>
  <c r="AV237" i="10"/>
  <c r="AW237" i="10"/>
  <c r="T238" i="10"/>
  <c r="W238" i="10"/>
  <c r="X238" i="10" s="1"/>
  <c r="Y238" i="10"/>
  <c r="Z238" i="10"/>
  <c r="AA238" i="10"/>
  <c r="AB238" i="10"/>
  <c r="AC238" i="10"/>
  <c r="AD238" i="10" s="1"/>
  <c r="AE238" i="10"/>
  <c r="AF238" i="10"/>
  <c r="AG238" i="10"/>
  <c r="AH238" i="10" s="1"/>
  <c r="AI238" i="10"/>
  <c r="AJ238" i="10" s="1"/>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s="1"/>
  <c r="AK239" i="10"/>
  <c r="AL239" i="10" s="1"/>
  <c r="AM239" i="10"/>
  <c r="AN239" i="10" s="1"/>
  <c r="AO239" i="10"/>
  <c r="AP239" i="10"/>
  <c r="AQ239" i="10"/>
  <c r="AR239" i="10"/>
  <c r="AS239" i="10"/>
  <c r="AT239" i="10"/>
  <c r="AU239" i="10"/>
  <c r="AV239" i="10"/>
  <c r="AW239" i="10"/>
  <c r="T240" i="10"/>
  <c r="W240" i="10"/>
  <c r="X240" i="10" s="1"/>
  <c r="Y240" i="10"/>
  <c r="Z240" i="10"/>
  <c r="AA240" i="10"/>
  <c r="AB240" i="10"/>
  <c r="AC240" i="10"/>
  <c r="AD240" i="10" s="1"/>
  <c r="AE240" i="10"/>
  <c r="AF240" i="10"/>
  <c r="AG240" i="10"/>
  <c r="AH240" i="10" s="1"/>
  <c r="AI240" i="10"/>
  <c r="AJ240" i="10" s="1"/>
  <c r="AK240" i="10"/>
  <c r="AL240" i="10" s="1"/>
  <c r="AM240" i="10"/>
  <c r="AN240" i="10" s="1"/>
  <c r="AO240" i="10"/>
  <c r="AP240" i="10"/>
  <c r="AQ240" i="10"/>
  <c r="AR240" i="10"/>
  <c r="AS240" i="10"/>
  <c r="AT240" i="10"/>
  <c r="AU240" i="10"/>
  <c r="AV240" i="10"/>
  <c r="AW240" i="10"/>
  <c r="T241" i="10"/>
  <c r="W241" i="10"/>
  <c r="X241" i="10" s="1"/>
  <c r="Y241" i="10"/>
  <c r="Z241" i="10"/>
  <c r="AA241" i="10"/>
  <c r="AB241" i="10"/>
  <c r="AC241" i="10"/>
  <c r="AD241" i="10"/>
  <c r="AE241" i="10"/>
  <c r="AF241" i="10"/>
  <c r="AG241" i="10"/>
  <c r="AH241" i="10" s="1"/>
  <c r="AI241" i="10"/>
  <c r="AJ241" i="10" s="1"/>
  <c r="AK241" i="10"/>
  <c r="AL241" i="10" s="1"/>
  <c r="AM241" i="10"/>
  <c r="AN241" i="10" s="1"/>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s="1"/>
  <c r="AK242" i="10"/>
  <c r="AL242" i="10"/>
  <c r="AM242" i="10"/>
  <c r="AN242" i="10" s="1"/>
  <c r="AO242" i="10"/>
  <c r="AP242" i="10"/>
  <c r="AQ242" i="10"/>
  <c r="AR242" i="10"/>
  <c r="AS242" i="10"/>
  <c r="AT242" i="10"/>
  <c r="AU242" i="10"/>
  <c r="AV242" i="10"/>
  <c r="AW242" i="10"/>
  <c r="T243" i="10"/>
  <c r="W243" i="10"/>
  <c r="X243" i="10" s="1"/>
  <c r="Y243" i="10"/>
  <c r="Z243" i="10"/>
  <c r="AA243" i="10"/>
  <c r="AB243" i="10"/>
  <c r="AC243" i="10"/>
  <c r="AD243" i="10" s="1"/>
  <c r="AE243" i="10"/>
  <c r="AF243" i="10"/>
  <c r="AG243" i="10"/>
  <c r="AH243" i="10" s="1"/>
  <c r="AI243" i="10"/>
  <c r="AJ243" i="10" s="1"/>
  <c r="AK243" i="10"/>
  <c r="AL243" i="10" s="1"/>
  <c r="AM243" i="10"/>
  <c r="AN243" i="10" s="1"/>
  <c r="AO243" i="10"/>
  <c r="AP243" i="10"/>
  <c r="AQ243" i="10"/>
  <c r="AR243" i="10"/>
  <c r="AS243" i="10"/>
  <c r="AT243" i="10"/>
  <c r="AU243" i="10"/>
  <c r="AV243" i="10"/>
  <c r="AW243" i="10"/>
  <c r="T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s="1"/>
  <c r="AI245" i="10"/>
  <c r="AJ245" i="10"/>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c r="AE246" i="10"/>
  <c r="AF246" i="10"/>
  <c r="AG246" i="10"/>
  <c r="AH246" i="10" s="1"/>
  <c r="AI246" i="10"/>
  <c r="AJ246" i="10" s="1"/>
  <c r="AK246" i="10"/>
  <c r="AL246" i="10"/>
  <c r="AM246" i="10"/>
  <c r="AN246" i="10" s="1"/>
  <c r="AO246" i="10"/>
  <c r="AP246" i="10"/>
  <c r="AQ246" i="10"/>
  <c r="AR246" i="10"/>
  <c r="AS246" i="10"/>
  <c r="AT246" i="10"/>
  <c r="AU246" i="10"/>
  <c r="AV246" i="10"/>
  <c r="AW246" i="10"/>
  <c r="T247" i="10"/>
  <c r="W247" i="10"/>
  <c r="X247" i="10" s="1"/>
  <c r="Y247" i="10"/>
  <c r="Z247" i="10"/>
  <c r="AA247" i="10"/>
  <c r="AB247" i="10"/>
  <c r="AC247" i="10"/>
  <c r="AD247" i="10"/>
  <c r="AE247" i="10"/>
  <c r="AF247" i="10"/>
  <c r="AG247" i="10"/>
  <c r="AH247" i="10" s="1"/>
  <c r="AI247" i="10"/>
  <c r="AJ247" i="10" s="1"/>
  <c r="AK247" i="10"/>
  <c r="AL247" i="10" s="1"/>
  <c r="AM247" i="10"/>
  <c r="AN247" i="10" s="1"/>
  <c r="AO247" i="10"/>
  <c r="AP247" i="10"/>
  <c r="AQ247" i="10"/>
  <c r="AR247" i="10"/>
  <c r="AS247" i="10"/>
  <c r="AT247" i="10"/>
  <c r="AU247" i="10"/>
  <c r="AV247" i="10"/>
  <c r="AW247" i="10"/>
  <c r="T248" i="10"/>
  <c r="W248" i="10"/>
  <c r="X248" i="10" s="1"/>
  <c r="Y248" i="10"/>
  <c r="Z248" i="10"/>
  <c r="AA248" i="10"/>
  <c r="AB248" i="10"/>
  <c r="AC248" i="10"/>
  <c r="AD248" i="10" s="1"/>
  <c r="AE248" i="10"/>
  <c r="AF248" i="10"/>
  <c r="AG248" i="10"/>
  <c r="AH248" i="10" s="1"/>
  <c r="AI248" i="10"/>
  <c r="AJ248" i="10" s="1"/>
  <c r="AK248" i="10"/>
  <c r="AL248" i="10" s="1"/>
  <c r="AM248" i="10"/>
  <c r="AN248" i="10" s="1"/>
  <c r="AO248" i="10"/>
  <c r="AP248" i="10"/>
  <c r="AQ248" i="10"/>
  <c r="AR248" i="10"/>
  <c r="AS248" i="10"/>
  <c r="AT248" i="10"/>
  <c r="AU248" i="10"/>
  <c r="AV248" i="10"/>
  <c r="AW248" i="10"/>
  <c r="T249" i="10"/>
  <c r="W249" i="10"/>
  <c r="X249" i="10" s="1"/>
  <c r="Y249" i="10"/>
  <c r="Z249" i="10"/>
  <c r="AA249" i="10"/>
  <c r="AB249" i="10"/>
  <c r="AC249" i="10"/>
  <c r="AD249" i="10" s="1"/>
  <c r="AE249" i="10"/>
  <c r="AF249" i="10"/>
  <c r="AG249" i="10"/>
  <c r="AH249" i="10" s="1"/>
  <c r="AI249" i="10"/>
  <c r="AJ249" i="10" s="1"/>
  <c r="AK249" i="10"/>
  <c r="AL249" i="10"/>
  <c r="AM249" i="10"/>
  <c r="AN249" i="10" s="1"/>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s="1"/>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s="1"/>
  <c r="AE251" i="10"/>
  <c r="AF251" i="10"/>
  <c r="AG251" i="10"/>
  <c r="AH251" i="10" s="1"/>
  <c r="AI251" i="10"/>
  <c r="AJ251" i="10" s="1"/>
  <c r="AK251" i="10"/>
  <c r="AL251" i="10" s="1"/>
  <c r="AM251" i="10"/>
  <c r="AN251" i="10" s="1"/>
  <c r="AO251" i="10"/>
  <c r="AP251" i="10"/>
  <c r="AQ251" i="10"/>
  <c r="AR251" i="10"/>
  <c r="AS251" i="10"/>
  <c r="AT251" i="10"/>
  <c r="AU251" i="10"/>
  <c r="AV251" i="10"/>
  <c r="AW251" i="10"/>
  <c r="T252" i="10"/>
  <c r="W252" i="10"/>
  <c r="X252" i="10" s="1"/>
  <c r="Y252" i="10"/>
  <c r="Z252" i="10"/>
  <c r="AA252" i="10"/>
  <c r="AB252" i="10"/>
  <c r="AC252" i="10"/>
  <c r="AD252" i="10" s="1"/>
  <c r="AE252" i="10"/>
  <c r="AF252" i="10"/>
  <c r="AG252" i="10"/>
  <c r="AH252" i="10" s="1"/>
  <c r="AI252" i="10"/>
  <c r="AJ252" i="10" s="1"/>
  <c r="AK252" i="10"/>
  <c r="AL252" i="10" s="1"/>
  <c r="AM252" i="10"/>
  <c r="AN252" i="10" s="1"/>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c r="AI253" i="10"/>
  <c r="AJ253" i="10" s="1"/>
  <c r="AK253" i="10"/>
  <c r="AL253" i="10" s="1"/>
  <c r="AM253" i="10"/>
  <c r="AN253" i="10" s="1"/>
  <c r="AO253" i="10"/>
  <c r="AP253" i="10"/>
  <c r="AQ253" i="10"/>
  <c r="AR253" i="10"/>
  <c r="AS253" i="10"/>
  <c r="AT253" i="10"/>
  <c r="AU253" i="10"/>
  <c r="AV253" i="10"/>
  <c r="AW253" i="10"/>
  <c r="T254" i="10"/>
  <c r="W254" i="10"/>
  <c r="X254" i="10" s="1"/>
  <c r="Y254" i="10"/>
  <c r="Z254" i="10"/>
  <c r="AA254" i="10"/>
  <c r="AB254" i="10"/>
  <c r="AC254" i="10"/>
  <c r="AD254" i="10"/>
  <c r="AE254" i="10"/>
  <c r="AF254" i="10"/>
  <c r="AG254" i="10"/>
  <c r="AH254" i="10" s="1"/>
  <c r="AI254" i="10"/>
  <c r="AJ254" i="10" s="1"/>
  <c r="AK254" i="10"/>
  <c r="AL254" i="10" s="1"/>
  <c r="AM254" i="10"/>
  <c r="AN254" i="10" s="1"/>
  <c r="AO254" i="10"/>
  <c r="AP254" i="10"/>
  <c r="AQ254" i="10"/>
  <c r="AR254" i="10"/>
  <c r="AS254" i="10"/>
  <c r="AT254" i="10"/>
  <c r="AU254" i="10"/>
  <c r="AV254" i="10"/>
  <c r="AW254" i="10"/>
  <c r="T255" i="10"/>
  <c r="W255" i="10"/>
  <c r="X255" i="10" s="1"/>
  <c r="Y255" i="10"/>
  <c r="Z255" i="10"/>
  <c r="AA255" i="10"/>
  <c r="AB255" i="10"/>
  <c r="AC255" i="10"/>
  <c r="AD255" i="10"/>
  <c r="AE255" i="10"/>
  <c r="AF255" i="10"/>
  <c r="AG255" i="10"/>
  <c r="AH255" i="10" s="1"/>
  <c r="AI255" i="10"/>
  <c r="AJ255" i="10" s="1"/>
  <c r="AK255" i="10"/>
  <c r="AL255" i="10" s="1"/>
  <c r="AM255" i="10"/>
  <c r="AN255" i="10" s="1"/>
  <c r="AO255" i="10"/>
  <c r="AP255" i="10"/>
  <c r="AQ255" i="10"/>
  <c r="AR255" i="10"/>
  <c r="AS255" i="10"/>
  <c r="AT255" i="10"/>
  <c r="AU255" i="10"/>
  <c r="AV255" i="10"/>
  <c r="AW255" i="10"/>
  <c r="T256" i="10"/>
  <c r="W256" i="10"/>
  <c r="X256" i="10" s="1"/>
  <c r="Y256" i="10"/>
  <c r="Z256" i="10"/>
  <c r="AA256" i="10"/>
  <c r="AB256" i="10"/>
  <c r="AC256" i="10"/>
  <c r="AD256" i="10" s="1"/>
  <c r="AE256" i="10"/>
  <c r="AF256" i="10"/>
  <c r="AG256" i="10"/>
  <c r="AH256" i="10" s="1"/>
  <c r="AI256" i="10"/>
  <c r="AJ256" i="10" s="1"/>
  <c r="AK256" i="10"/>
  <c r="AL256" i="10" s="1"/>
  <c r="AM256" i="10"/>
  <c r="AN256" i="10" s="1"/>
  <c r="AO256" i="10"/>
  <c r="AP256" i="10"/>
  <c r="AQ256" i="10"/>
  <c r="AR256" i="10"/>
  <c r="AS256" i="10"/>
  <c r="AT256" i="10"/>
  <c r="AU256" i="10"/>
  <c r="AV256" i="10"/>
  <c r="AW256" i="10"/>
  <c r="T257" i="10"/>
  <c r="W257" i="10"/>
  <c r="X257" i="10" s="1"/>
  <c r="Y257" i="10"/>
  <c r="Z257" i="10"/>
  <c r="AA257" i="10"/>
  <c r="AB257" i="10"/>
  <c r="AC257" i="10"/>
  <c r="AD257" i="10" s="1"/>
  <c r="AE257" i="10"/>
  <c r="AF257" i="10"/>
  <c r="AG257" i="10"/>
  <c r="AH257" i="10" s="1"/>
  <c r="AI257" i="10"/>
  <c r="AJ257" i="10" s="1"/>
  <c r="AK257" i="10"/>
  <c r="AL257" i="10" s="1"/>
  <c r="AM257" i="10"/>
  <c r="AN257" i="10" s="1"/>
  <c r="AO257" i="10"/>
  <c r="AP257" i="10"/>
  <c r="AQ257" i="10"/>
  <c r="AR257" i="10"/>
  <c r="AS257" i="10"/>
  <c r="AT257" i="10"/>
  <c r="AU257" i="10"/>
  <c r="AV257" i="10"/>
  <c r="AW257" i="10"/>
  <c r="T258" i="10"/>
  <c r="W258" i="10"/>
  <c r="X258" i="10"/>
  <c r="Y258" i="10"/>
  <c r="Z258" i="10"/>
  <c r="AA258" i="10"/>
  <c r="AB258" i="10"/>
  <c r="AC258" i="10"/>
  <c r="AD258" i="10" s="1"/>
  <c r="AE258" i="10"/>
  <c r="AF258" i="10"/>
  <c r="AG258" i="10"/>
  <c r="AH258" i="10" s="1"/>
  <c r="AI258" i="10"/>
  <c r="AJ258" i="10" s="1"/>
  <c r="AK258" i="10"/>
  <c r="AL258" i="10"/>
  <c r="AM258" i="10"/>
  <c r="AN258" i="10" s="1"/>
  <c r="AO258" i="10"/>
  <c r="AP258" i="10"/>
  <c r="AQ258" i="10"/>
  <c r="AR258" i="10"/>
  <c r="AS258" i="10"/>
  <c r="AT258" i="10"/>
  <c r="AU258" i="10"/>
  <c r="AV258" i="10"/>
  <c r="AW258" i="10"/>
  <c r="T259" i="10"/>
  <c r="W259" i="10"/>
  <c r="X259" i="10" s="1"/>
  <c r="Y259" i="10"/>
  <c r="Z259" i="10"/>
  <c r="AA259" i="10"/>
  <c r="AB259" i="10"/>
  <c r="AC259" i="10"/>
  <c r="AD259" i="10"/>
  <c r="AE259" i="10"/>
  <c r="AF259" i="10"/>
  <c r="AG259" i="10"/>
  <c r="AH259" i="10"/>
  <c r="AI259" i="10"/>
  <c r="AJ259" i="10" s="1"/>
  <c r="AK259" i="10"/>
  <c r="AL259" i="10" s="1"/>
  <c r="AM259" i="10"/>
  <c r="AN259" i="10" s="1"/>
  <c r="AO259" i="10"/>
  <c r="AP259" i="10"/>
  <c r="AQ259" i="10"/>
  <c r="AR259" i="10"/>
  <c r="AS259" i="10"/>
  <c r="AT259" i="10"/>
  <c r="AU259" i="10"/>
  <c r="AV259" i="10"/>
  <c r="AW259" i="10"/>
  <c r="T260" i="10"/>
  <c r="W260" i="10"/>
  <c r="X260" i="10" s="1"/>
  <c r="Y260" i="10"/>
  <c r="Z260" i="10"/>
  <c r="AA260" i="10"/>
  <c r="AB260" i="10"/>
  <c r="AC260" i="10"/>
  <c r="AD260" i="10" s="1"/>
  <c r="AE260" i="10"/>
  <c r="AF260" i="10"/>
  <c r="AG260" i="10"/>
  <c r="AH260" i="10" s="1"/>
  <c r="AI260" i="10"/>
  <c r="AJ260" i="10" s="1"/>
  <c r="AK260" i="10"/>
  <c r="AL260" i="10" s="1"/>
  <c r="AM260" i="10"/>
  <c r="AN260" i="10"/>
  <c r="AO260" i="10"/>
  <c r="AP260" i="10"/>
  <c r="AQ260" i="10"/>
  <c r="AR260" i="10"/>
  <c r="AS260" i="10"/>
  <c r="AT260" i="10"/>
  <c r="AU260" i="10"/>
  <c r="AV260" i="10"/>
  <c r="AW260" i="10"/>
  <c r="T261" i="10"/>
  <c r="W261" i="10"/>
  <c r="X261" i="10" s="1"/>
  <c r="Y261" i="10"/>
  <c r="Z261" i="10"/>
  <c r="AA261" i="10"/>
  <c r="AB261" i="10"/>
  <c r="AC261" i="10"/>
  <c r="AD261" i="10" s="1"/>
  <c r="AE261" i="10"/>
  <c r="AF261" i="10"/>
  <c r="AG261" i="10"/>
  <c r="AH261" i="10" s="1"/>
  <c r="AI261" i="10"/>
  <c r="AJ261" i="10" s="1"/>
  <c r="AK261" i="10"/>
  <c r="AL261" i="10"/>
  <c r="AM261" i="10"/>
  <c r="AN261" i="10" s="1"/>
  <c r="AO261" i="10"/>
  <c r="AP261" i="10"/>
  <c r="AQ261" i="10"/>
  <c r="AR261" i="10"/>
  <c r="AS261" i="10"/>
  <c r="AT261" i="10"/>
  <c r="AU261" i="10"/>
  <c r="AV261" i="10"/>
  <c r="AW261" i="10"/>
  <c r="T262" i="10"/>
  <c r="W262" i="10"/>
  <c r="X262" i="10" s="1"/>
  <c r="Y262" i="10"/>
  <c r="Z262" i="10"/>
  <c r="AA262" i="10"/>
  <c r="AB262" i="10"/>
  <c r="AC262" i="10"/>
  <c r="AD262" i="10" s="1"/>
  <c r="AE262" i="10"/>
  <c r="AF262" i="10"/>
  <c r="AG262" i="10"/>
  <c r="AH262" i="10" s="1"/>
  <c r="AI262" i="10"/>
  <c r="AJ262" i="10" s="1"/>
  <c r="AK262" i="10"/>
  <c r="AL262" i="10" s="1"/>
  <c r="AM262" i="10"/>
  <c r="AN262" i="10" s="1"/>
  <c r="AO262" i="10"/>
  <c r="AP262" i="10"/>
  <c r="AQ262" i="10"/>
  <c r="AR262" i="10"/>
  <c r="AS262" i="10"/>
  <c r="AT262" i="10"/>
  <c r="AU262" i="10"/>
  <c r="AV262" i="10"/>
  <c r="AW262" i="10"/>
  <c r="T263" i="10"/>
  <c r="W263" i="10"/>
  <c r="X263" i="10" s="1"/>
  <c r="Y263" i="10"/>
  <c r="Z263" i="10"/>
  <c r="AA263" i="10"/>
  <c r="AB263" i="10"/>
  <c r="AC263" i="10"/>
  <c r="AD263" i="10" s="1"/>
  <c r="AE263" i="10"/>
  <c r="AF263" i="10"/>
  <c r="AG263" i="10"/>
  <c r="AH263" i="10" s="1"/>
  <c r="AI263" i="10"/>
  <c r="AJ263" i="10"/>
  <c r="AK263" i="10"/>
  <c r="AL263" i="10" s="1"/>
  <c r="AM263" i="10"/>
  <c r="AN263" i="10" s="1"/>
  <c r="AO263" i="10"/>
  <c r="AP263" i="10"/>
  <c r="AQ263" i="10"/>
  <c r="AR263" i="10"/>
  <c r="AS263" i="10"/>
  <c r="AT263" i="10"/>
  <c r="AU263" i="10"/>
  <c r="AV263" i="10"/>
  <c r="AW263" i="10"/>
  <c r="T264" i="10"/>
  <c r="W264" i="10"/>
  <c r="X264" i="10" s="1"/>
  <c r="Y264" i="10"/>
  <c r="Z264" i="10"/>
  <c r="AA264" i="10"/>
  <c r="AB264" i="10"/>
  <c r="AC264" i="10"/>
  <c r="AD264" i="10" s="1"/>
  <c r="AE264" i="10"/>
  <c r="AF264" i="10"/>
  <c r="AG264" i="10"/>
  <c r="AH264" i="10" s="1"/>
  <c r="AI264" i="10"/>
  <c r="AJ264" i="10"/>
  <c r="AK264" i="10"/>
  <c r="AL264" i="10" s="1"/>
  <c r="AM264" i="10"/>
  <c r="AN264" i="10" s="1"/>
  <c r="AO264" i="10"/>
  <c r="AP264" i="10"/>
  <c r="AQ264" i="10"/>
  <c r="AR264" i="10"/>
  <c r="AS264" i="10"/>
  <c r="AT264" i="10"/>
  <c r="AU264" i="10"/>
  <c r="AV264" i="10"/>
  <c r="AW264" i="10"/>
  <c r="T265" i="10"/>
  <c r="W265" i="10"/>
  <c r="X265" i="10" s="1"/>
  <c r="Y265" i="10"/>
  <c r="Z265" i="10"/>
  <c r="AA265" i="10"/>
  <c r="AB265" i="10"/>
  <c r="AC265" i="10"/>
  <c r="AD265" i="10" s="1"/>
  <c r="AE265" i="10"/>
  <c r="AF265" i="10"/>
  <c r="AG265" i="10"/>
  <c r="AH265" i="10" s="1"/>
  <c r="AI265" i="10"/>
  <c r="AJ265" i="10" s="1"/>
  <c r="AK265" i="10"/>
  <c r="AL265" i="10" s="1"/>
  <c r="AM265" i="10"/>
  <c r="AN265" i="10" s="1"/>
  <c r="AO265" i="10"/>
  <c r="AP265" i="10"/>
  <c r="AQ265" i="10"/>
  <c r="AR265" i="10"/>
  <c r="AS265" i="10"/>
  <c r="AT265" i="10"/>
  <c r="AU265" i="10"/>
  <c r="AV265" i="10"/>
  <c r="AW265" i="10"/>
  <c r="T266" i="10"/>
  <c r="W266" i="10"/>
  <c r="X266" i="10" s="1"/>
  <c r="Y266" i="10"/>
  <c r="Z266" i="10"/>
  <c r="AA266" i="10"/>
  <c r="AB266" i="10"/>
  <c r="AC266" i="10"/>
  <c r="AD266" i="10" s="1"/>
  <c r="AE266" i="10"/>
  <c r="AF266" i="10"/>
  <c r="AG266" i="10"/>
  <c r="AH266" i="10"/>
  <c r="AI266" i="10"/>
  <c r="AJ266" i="10" s="1"/>
  <c r="AK266" i="10"/>
  <c r="AL266" i="10" s="1"/>
  <c r="AM266" i="10"/>
  <c r="AN266" i="10" s="1"/>
  <c r="AO266" i="10"/>
  <c r="AP266" i="10"/>
  <c r="AQ266" i="10"/>
  <c r="AR266" i="10"/>
  <c r="AS266" i="10"/>
  <c r="AT266" i="10"/>
  <c r="AU266" i="10"/>
  <c r="AV266" i="10"/>
  <c r="AW266" i="10"/>
  <c r="T267" i="10"/>
  <c r="W267" i="10"/>
  <c r="X267" i="10" s="1"/>
  <c r="Y267" i="10"/>
  <c r="Z267" i="10"/>
  <c r="AA267" i="10"/>
  <c r="AB267" i="10"/>
  <c r="AC267" i="10"/>
  <c r="AD267" i="10" s="1"/>
  <c r="AE267" i="10"/>
  <c r="AF267" i="10"/>
  <c r="AG267" i="10"/>
  <c r="AH267" i="10" s="1"/>
  <c r="AI267" i="10"/>
  <c r="AJ267" i="10" s="1"/>
  <c r="AK267" i="10"/>
  <c r="AL267" i="10"/>
  <c r="AM267" i="10"/>
  <c r="AN267" i="10" s="1"/>
  <c r="AO267" i="10"/>
  <c r="AP267" i="10"/>
  <c r="AQ267" i="10"/>
  <c r="AR267" i="10"/>
  <c r="AS267" i="10"/>
  <c r="AT267" i="10"/>
  <c r="AU267" i="10"/>
  <c r="AV267" i="10"/>
  <c r="AW267" i="10"/>
  <c r="T268" i="10"/>
  <c r="W268" i="10"/>
  <c r="X268" i="10" s="1"/>
  <c r="Y268" i="10"/>
  <c r="Z268" i="10"/>
  <c r="AA268" i="10"/>
  <c r="AB268" i="10"/>
  <c r="AC268" i="10"/>
  <c r="AD268" i="10" s="1"/>
  <c r="AE268" i="10"/>
  <c r="AF268" i="10"/>
  <c r="AG268" i="10"/>
  <c r="AH268" i="10" s="1"/>
  <c r="AI268" i="10"/>
  <c r="AJ268" i="10" s="1"/>
  <c r="AK268" i="10"/>
  <c r="AL268" i="10" s="1"/>
  <c r="AM268" i="10"/>
  <c r="AN268" i="10" s="1"/>
  <c r="AO268" i="10"/>
  <c r="AP268" i="10"/>
  <c r="AQ268" i="10"/>
  <c r="AR268" i="10"/>
  <c r="AS268" i="10"/>
  <c r="AT268" i="10"/>
  <c r="AU268" i="10"/>
  <c r="AV268" i="10"/>
  <c r="AW268" i="10"/>
  <c r="T269" i="10"/>
  <c r="W269" i="10"/>
  <c r="X269" i="10" s="1"/>
  <c r="U269" i="10" s="1"/>
  <c r="Y269" i="10"/>
  <c r="Z269" i="10"/>
  <c r="AA269" i="10"/>
  <c r="AB269" i="10"/>
  <c r="AC269" i="10"/>
  <c r="AD269" i="10" s="1"/>
  <c r="AE269" i="10"/>
  <c r="AF269" i="10"/>
  <c r="AG269" i="10"/>
  <c r="AH269" i="10" s="1"/>
  <c r="AI269" i="10"/>
  <c r="AJ269" i="10" s="1"/>
  <c r="AK269" i="10"/>
  <c r="AL269" i="10" s="1"/>
  <c r="AM269" i="10"/>
  <c r="AN269" i="10" s="1"/>
  <c r="AO269" i="10"/>
  <c r="AP269" i="10"/>
  <c r="AQ269" i="10"/>
  <c r="AR269" i="10"/>
  <c r="AS269" i="10"/>
  <c r="AT269" i="10"/>
  <c r="AU269" i="10"/>
  <c r="AV269" i="10"/>
  <c r="AW269" i="10"/>
  <c r="T270" i="10"/>
  <c r="W270" i="10"/>
  <c r="X270" i="10" s="1"/>
  <c r="Y270" i="10"/>
  <c r="Z270" i="10"/>
  <c r="AA270" i="10"/>
  <c r="AB270" i="10"/>
  <c r="AC270" i="10"/>
  <c r="AD270" i="10" s="1"/>
  <c r="AE270" i="10"/>
  <c r="AF270" i="10"/>
  <c r="AG270" i="10"/>
  <c r="AH270" i="10" s="1"/>
  <c r="AI270" i="10"/>
  <c r="AJ270" i="10" s="1"/>
  <c r="AK270" i="10"/>
  <c r="AL270" i="10" s="1"/>
  <c r="AM270" i="10"/>
  <c r="AN270" i="10"/>
  <c r="AO270" i="10"/>
  <c r="AP270" i="10"/>
  <c r="AQ270" i="10"/>
  <c r="AR270" i="10"/>
  <c r="AS270" i="10"/>
  <c r="AT270" i="10"/>
  <c r="AU270" i="10"/>
  <c r="AV270" i="10"/>
  <c r="AW270" i="10"/>
  <c r="T271" i="10"/>
  <c r="W271" i="10"/>
  <c r="X271" i="10" s="1"/>
  <c r="Y271" i="10"/>
  <c r="Z271" i="10"/>
  <c r="AA271" i="10"/>
  <c r="AB271" i="10"/>
  <c r="AC271" i="10"/>
  <c r="AD271" i="10" s="1"/>
  <c r="AE271" i="10"/>
  <c r="AF271" i="10"/>
  <c r="AG271" i="10"/>
  <c r="AH271" i="10" s="1"/>
  <c r="AI271" i="10"/>
  <c r="AJ271" i="10" s="1"/>
  <c r="AK271" i="10"/>
  <c r="AL271" i="10" s="1"/>
  <c r="AM271" i="10"/>
  <c r="AN271" i="10" s="1"/>
  <c r="AO271" i="10"/>
  <c r="AP271" i="10"/>
  <c r="AQ271" i="10"/>
  <c r="AR271" i="10"/>
  <c r="AS271" i="10"/>
  <c r="AT271" i="10"/>
  <c r="AU271" i="10"/>
  <c r="AV271" i="10"/>
  <c r="AW271" i="10"/>
  <c r="T272" i="10"/>
  <c r="W272" i="10"/>
  <c r="X272" i="10" s="1"/>
  <c r="Y272" i="10"/>
  <c r="Z272" i="10"/>
  <c r="AA272" i="10"/>
  <c r="AB272" i="10"/>
  <c r="AC272" i="10"/>
  <c r="AD272" i="10" s="1"/>
  <c r="AE272" i="10"/>
  <c r="AF272" i="10"/>
  <c r="AG272" i="10"/>
  <c r="AH272" i="10" s="1"/>
  <c r="AI272" i="10"/>
  <c r="AJ272" i="10"/>
  <c r="AK272" i="10"/>
  <c r="AL272" i="10" s="1"/>
  <c r="AM272" i="10"/>
  <c r="AN272" i="10" s="1"/>
  <c r="AO272" i="10"/>
  <c r="AP272" i="10"/>
  <c r="AQ272" i="10"/>
  <c r="AR272" i="10"/>
  <c r="AS272" i="10"/>
  <c r="AT272" i="10"/>
  <c r="AU272" i="10"/>
  <c r="AV272" i="10"/>
  <c r="AW272" i="10"/>
  <c r="T273" i="10"/>
  <c r="W273" i="10"/>
  <c r="X273" i="10" s="1"/>
  <c r="Y273" i="10"/>
  <c r="Z273" i="10"/>
  <c r="AA273" i="10"/>
  <c r="AB273" i="10"/>
  <c r="AC273" i="10"/>
  <c r="AD273" i="10" s="1"/>
  <c r="AE273" i="10"/>
  <c r="AF273" i="10"/>
  <c r="AG273" i="10"/>
  <c r="AH273" i="10" s="1"/>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s="1"/>
  <c r="AE274" i="10"/>
  <c r="AF274" i="10"/>
  <c r="AG274" i="10"/>
  <c r="AH274" i="10" s="1"/>
  <c r="AI274" i="10"/>
  <c r="AJ274" i="10" s="1"/>
  <c r="AK274" i="10"/>
  <c r="AL274" i="10" s="1"/>
  <c r="AM274" i="10"/>
  <c r="AN274" i="10"/>
  <c r="AO274" i="10"/>
  <c r="AP274" i="10"/>
  <c r="AQ274" i="10"/>
  <c r="AR274" i="10"/>
  <c r="AS274" i="10"/>
  <c r="AT274" i="10"/>
  <c r="AU274" i="10"/>
  <c r="AV274" i="10"/>
  <c r="AW274" i="10"/>
  <c r="T275" i="10"/>
  <c r="W275" i="10"/>
  <c r="X275" i="10" s="1"/>
  <c r="Y275" i="10"/>
  <c r="Z275" i="10"/>
  <c r="AA275" i="10"/>
  <c r="AB275" i="10"/>
  <c r="AC275" i="10"/>
  <c r="AD275" i="10" s="1"/>
  <c r="AE275" i="10"/>
  <c r="AF275" i="10"/>
  <c r="AG275" i="10"/>
  <c r="AH275" i="10"/>
  <c r="AI275" i="10"/>
  <c r="AJ275" i="10" s="1"/>
  <c r="AK275" i="10"/>
  <c r="AL275" i="10" s="1"/>
  <c r="AM275" i="10"/>
  <c r="AN275" i="10" s="1"/>
  <c r="AO275" i="10"/>
  <c r="AP275" i="10"/>
  <c r="AQ275" i="10"/>
  <c r="AR275" i="10"/>
  <c r="AS275" i="10"/>
  <c r="AT275" i="10"/>
  <c r="AU275" i="10"/>
  <c r="AV275" i="10"/>
  <c r="AW275" i="10"/>
  <c r="T276" i="10"/>
  <c r="W276" i="10"/>
  <c r="X276" i="10" s="1"/>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s="1"/>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s="1"/>
  <c r="AI278" i="10"/>
  <c r="AJ278" i="10"/>
  <c r="AK278" i="10"/>
  <c r="AL278" i="10" s="1"/>
  <c r="AM278" i="10"/>
  <c r="AN278" i="10" s="1"/>
  <c r="AO278" i="10"/>
  <c r="AP278" i="10"/>
  <c r="AQ278" i="10"/>
  <c r="AR278" i="10"/>
  <c r="AS278" i="10"/>
  <c r="AT278" i="10"/>
  <c r="AU278" i="10"/>
  <c r="AV278" i="10"/>
  <c r="AW278" i="10"/>
  <c r="T279" i="10"/>
  <c r="W279" i="10"/>
  <c r="X279" i="10" s="1"/>
  <c r="Y279" i="10"/>
  <c r="Z279" i="10"/>
  <c r="AA279" i="10"/>
  <c r="AB279" i="10"/>
  <c r="AC279" i="10"/>
  <c r="AD279" i="10" s="1"/>
  <c r="AE279" i="10"/>
  <c r="AF279" i="10"/>
  <c r="AG279" i="10"/>
  <c r="AH279" i="10" s="1"/>
  <c r="AI279" i="10"/>
  <c r="AJ279" i="10" s="1"/>
  <c r="AK279" i="10"/>
  <c r="AL279" i="10"/>
  <c r="AM279" i="10"/>
  <c r="AN279" i="10" s="1"/>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s="1"/>
  <c r="AI280" i="10"/>
  <c r="AJ280" i="10" s="1"/>
  <c r="AK280" i="10"/>
  <c r="AL280" i="10" s="1"/>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s="1"/>
  <c r="AI281" i="10"/>
  <c r="AJ281" i="10"/>
  <c r="AK281" i="10"/>
  <c r="AL281" i="10" s="1"/>
  <c r="AM281" i="10"/>
  <c r="AN281" i="10"/>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s="1"/>
  <c r="AK282" i="10"/>
  <c r="AL282" i="10" s="1"/>
  <c r="AM282" i="10"/>
  <c r="AN282" i="10" s="1"/>
  <c r="AO282" i="10"/>
  <c r="AP282" i="10"/>
  <c r="AQ282" i="10"/>
  <c r="AR282" i="10"/>
  <c r="AS282" i="10"/>
  <c r="AT282" i="10"/>
  <c r="AU282" i="10"/>
  <c r="AV282" i="10"/>
  <c r="AW282" i="10"/>
  <c r="T283" i="10"/>
  <c r="W283" i="10"/>
  <c r="X283" i="10" s="1"/>
  <c r="Y283" i="10"/>
  <c r="Z283" i="10"/>
  <c r="AA283" i="10"/>
  <c r="AB283" i="10"/>
  <c r="AC283" i="10"/>
  <c r="AD283" i="10" s="1"/>
  <c r="AE283" i="10"/>
  <c r="AF283" i="10"/>
  <c r="AG283" i="10"/>
  <c r="AH283" i="10" s="1"/>
  <c r="AI283" i="10"/>
  <c r="AJ283" i="10" s="1"/>
  <c r="AK283" i="10"/>
  <c r="AL283" i="10" s="1"/>
  <c r="AM283" i="10"/>
  <c r="AN283" i="10" s="1"/>
  <c r="AO283" i="10"/>
  <c r="AP283" i="10"/>
  <c r="AQ283" i="10"/>
  <c r="AR283" i="10"/>
  <c r="AS283" i="10"/>
  <c r="AT283" i="10"/>
  <c r="AU283" i="10"/>
  <c r="AV283" i="10"/>
  <c r="AW283" i="10"/>
  <c r="T284" i="10"/>
  <c r="W284" i="10"/>
  <c r="X284" i="10" s="1"/>
  <c r="Y284" i="10"/>
  <c r="Z284" i="10"/>
  <c r="AA284" i="10"/>
  <c r="AB284" i="10"/>
  <c r="AC284" i="10"/>
  <c r="AD284" i="10"/>
  <c r="AE284" i="10"/>
  <c r="AF284" i="10"/>
  <c r="AG284" i="10"/>
  <c r="AH284" i="10" s="1"/>
  <c r="AI284" i="10"/>
  <c r="AJ284" i="10" s="1"/>
  <c r="AK284" i="10"/>
  <c r="AL284" i="10" s="1"/>
  <c r="AM284" i="10"/>
  <c r="AN284" i="10" s="1"/>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s="1"/>
  <c r="AI285" i="10"/>
  <c r="AJ285" i="10" s="1"/>
  <c r="AK285" i="10"/>
  <c r="AL285" i="10" s="1"/>
  <c r="AM285" i="10"/>
  <c r="AN285" i="10" s="1"/>
  <c r="AO285" i="10"/>
  <c r="AP285" i="10"/>
  <c r="AQ285" i="10"/>
  <c r="AR285" i="10"/>
  <c r="AS285" i="10"/>
  <c r="AT285" i="10"/>
  <c r="AU285" i="10"/>
  <c r="AV285" i="10"/>
  <c r="AW285" i="10"/>
  <c r="T286" i="10"/>
  <c r="W286" i="10"/>
  <c r="X286" i="10" s="1"/>
  <c r="Y286" i="10"/>
  <c r="Z286" i="10"/>
  <c r="AA286" i="10"/>
  <c r="AB286" i="10"/>
  <c r="AC286" i="10"/>
  <c r="AD286" i="10" s="1"/>
  <c r="AE286" i="10"/>
  <c r="AF286" i="10"/>
  <c r="AG286" i="10"/>
  <c r="AH286" i="10" s="1"/>
  <c r="AI286" i="10"/>
  <c r="AJ286" i="10" s="1"/>
  <c r="AK286" i="10"/>
  <c r="AL286" i="10" s="1"/>
  <c r="AM286" i="10"/>
  <c r="AN286" i="10" s="1"/>
  <c r="AO286" i="10"/>
  <c r="AP286" i="10"/>
  <c r="AQ286" i="10"/>
  <c r="AR286" i="10"/>
  <c r="AS286" i="10"/>
  <c r="AT286" i="10"/>
  <c r="AU286" i="10"/>
  <c r="AV286" i="10"/>
  <c r="AW286" i="10"/>
  <c r="T287" i="10"/>
  <c r="W287" i="10"/>
  <c r="X287" i="10" s="1"/>
  <c r="Y287" i="10"/>
  <c r="Z287" i="10"/>
  <c r="AA287" i="10"/>
  <c r="AB287" i="10"/>
  <c r="AC287" i="10"/>
  <c r="AD287" i="10" s="1"/>
  <c r="AE287" i="10"/>
  <c r="AF287" i="10"/>
  <c r="AG287" i="10"/>
  <c r="AH287" i="10"/>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s="1"/>
  <c r="AE288" i="10"/>
  <c r="AF288" i="10"/>
  <c r="AG288" i="10"/>
  <c r="AH288" i="10" s="1"/>
  <c r="AI288" i="10"/>
  <c r="AJ288" i="10" s="1"/>
  <c r="AK288" i="10"/>
  <c r="AL288" i="10"/>
  <c r="AM288" i="10"/>
  <c r="AN288" i="10" s="1"/>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s="1"/>
  <c r="AI289" i="10"/>
  <c r="AJ289" i="10" s="1"/>
  <c r="AK289" i="10"/>
  <c r="AL289" i="10"/>
  <c r="AM289" i="10"/>
  <c r="AN289" i="10" s="1"/>
  <c r="AO289" i="10"/>
  <c r="AP289" i="10"/>
  <c r="AQ289" i="10"/>
  <c r="AR289" i="10"/>
  <c r="AS289" i="10"/>
  <c r="AT289" i="10"/>
  <c r="AU289" i="10"/>
  <c r="AV289" i="10"/>
  <c r="AW289" i="10"/>
  <c r="T290" i="10"/>
  <c r="W290" i="10"/>
  <c r="X290" i="10"/>
  <c r="Y290" i="10"/>
  <c r="Z290" i="10"/>
  <c r="AA290" i="10"/>
  <c r="AB290" i="10"/>
  <c r="AC290" i="10"/>
  <c r="AD290" i="10" s="1"/>
  <c r="AE290" i="10"/>
  <c r="AF290" i="10"/>
  <c r="AG290" i="10"/>
  <c r="AH290" i="10" s="1"/>
  <c r="AI290" i="10"/>
  <c r="AJ290" i="10" s="1"/>
  <c r="AK290" i="10"/>
  <c r="AL290" i="10" s="1"/>
  <c r="AM290" i="10"/>
  <c r="AN290" i="10" s="1"/>
  <c r="AO290" i="10"/>
  <c r="AP290" i="10"/>
  <c r="AQ290" i="10"/>
  <c r="AR290" i="10"/>
  <c r="AS290" i="10"/>
  <c r="AT290" i="10"/>
  <c r="AU290" i="10"/>
  <c r="AV290" i="10"/>
  <c r="AW290" i="10"/>
  <c r="T291" i="10"/>
  <c r="W291" i="10"/>
  <c r="X291" i="10" s="1"/>
  <c r="Y291" i="10"/>
  <c r="Z291" i="10"/>
  <c r="AA291" i="10"/>
  <c r="AB291" i="10"/>
  <c r="AC291" i="10"/>
  <c r="AD291" i="10" s="1"/>
  <c r="AE291" i="10"/>
  <c r="AF291" i="10"/>
  <c r="AG291" i="10"/>
  <c r="AH291" i="10" s="1"/>
  <c r="AI291" i="10"/>
  <c r="AJ291" i="10" s="1"/>
  <c r="AK291" i="10"/>
  <c r="AL291" i="10" s="1"/>
  <c r="AM291" i="10"/>
  <c r="AN291" i="10" s="1"/>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s="1"/>
  <c r="AI292" i="10"/>
  <c r="AJ292" i="10" s="1"/>
  <c r="AK292" i="10"/>
  <c r="AL292" i="10" s="1"/>
  <c r="AM292" i="10"/>
  <c r="AN292" i="10" s="1"/>
  <c r="AO292" i="10"/>
  <c r="AP292" i="10"/>
  <c r="AQ292" i="10"/>
  <c r="AR292" i="10"/>
  <c r="AS292" i="10"/>
  <c r="AT292" i="10"/>
  <c r="AU292" i="10"/>
  <c r="AV292" i="10"/>
  <c r="AW292" i="10"/>
  <c r="T293" i="10"/>
  <c r="W293" i="10"/>
  <c r="X293" i="10" s="1"/>
  <c r="Y293" i="10"/>
  <c r="Z293" i="10"/>
  <c r="AA293" i="10"/>
  <c r="AB293" i="10"/>
  <c r="AC293" i="10"/>
  <c r="AD293" i="10"/>
  <c r="AE293" i="10"/>
  <c r="AF293" i="10"/>
  <c r="AG293" i="10"/>
  <c r="AH293" i="10" s="1"/>
  <c r="AI293" i="10"/>
  <c r="AJ293" i="10" s="1"/>
  <c r="AK293" i="10"/>
  <c r="AL293" i="10" s="1"/>
  <c r="AM293" i="10"/>
  <c r="AN293" i="10" s="1"/>
  <c r="AO293" i="10"/>
  <c r="AP293" i="10"/>
  <c r="AQ293" i="10"/>
  <c r="AR293" i="10"/>
  <c r="AS293" i="10"/>
  <c r="AT293" i="10"/>
  <c r="AU293" i="10"/>
  <c r="AV293" i="10"/>
  <c r="AW293" i="10"/>
  <c r="T294" i="10"/>
  <c r="W294" i="10"/>
  <c r="X294" i="10"/>
  <c r="Y294" i="10"/>
  <c r="Z294" i="10"/>
  <c r="AA294" i="10"/>
  <c r="AB294" i="10"/>
  <c r="AC294" i="10"/>
  <c r="AD294" i="10" s="1"/>
  <c r="AE294" i="10"/>
  <c r="AF294" i="10"/>
  <c r="AG294" i="10"/>
  <c r="AH294" i="10" s="1"/>
  <c r="AI294" i="10"/>
  <c r="AJ294" i="10" s="1"/>
  <c r="AK294" i="10"/>
  <c r="AL294" i="10"/>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s="1"/>
  <c r="AO295" i="10"/>
  <c r="AP295" i="10"/>
  <c r="AQ295" i="10"/>
  <c r="AR295" i="10"/>
  <c r="AS295" i="10"/>
  <c r="AT295" i="10"/>
  <c r="AU295" i="10"/>
  <c r="AV295" i="10"/>
  <c r="AW295" i="10"/>
  <c r="T296" i="10"/>
  <c r="W296" i="10"/>
  <c r="X296" i="10" s="1"/>
  <c r="Y296" i="10"/>
  <c r="Z296" i="10"/>
  <c r="AA296" i="10"/>
  <c r="AB296" i="10"/>
  <c r="AC296" i="10"/>
  <c r="AD296" i="10" s="1"/>
  <c r="AE296" i="10"/>
  <c r="AF296" i="10"/>
  <c r="AG296" i="10"/>
  <c r="AH296" i="10" s="1"/>
  <c r="AI296" i="10"/>
  <c r="AJ296" i="10" s="1"/>
  <c r="AK296" i="10"/>
  <c r="AL296" i="10"/>
  <c r="AM296" i="10"/>
  <c r="AN296" i="10" s="1"/>
  <c r="AO296" i="10"/>
  <c r="AP296" i="10"/>
  <c r="AQ296" i="10"/>
  <c r="AR296" i="10"/>
  <c r="AS296" i="10"/>
  <c r="AT296" i="10"/>
  <c r="AU296" i="10"/>
  <c r="AV296" i="10"/>
  <c r="AW296" i="10"/>
  <c r="T297" i="10"/>
  <c r="W297" i="10"/>
  <c r="X297" i="10" s="1"/>
  <c r="Y297" i="10"/>
  <c r="Z297" i="10"/>
  <c r="AA297" i="10"/>
  <c r="AB297" i="10"/>
  <c r="AC297" i="10"/>
  <c r="AD297" i="10"/>
  <c r="AE297" i="10"/>
  <c r="AF297" i="10"/>
  <c r="AG297" i="10"/>
  <c r="AH297" i="10" s="1"/>
  <c r="AI297" i="10"/>
  <c r="AJ297" i="10" s="1"/>
  <c r="AK297" i="10"/>
  <c r="AL297" i="10" s="1"/>
  <c r="AM297" i="10"/>
  <c r="AN297" i="10" s="1"/>
  <c r="AO297" i="10"/>
  <c r="AP297" i="10"/>
  <c r="AQ297" i="10"/>
  <c r="AR297" i="10"/>
  <c r="AS297" i="10"/>
  <c r="AT297" i="10"/>
  <c r="AU297" i="10"/>
  <c r="AV297" i="10"/>
  <c r="AW297" i="10"/>
  <c r="T298" i="10"/>
  <c r="W298" i="10"/>
  <c r="X298" i="10" s="1"/>
  <c r="Y298" i="10"/>
  <c r="Z298" i="10"/>
  <c r="AA298" i="10"/>
  <c r="AB298" i="10"/>
  <c r="AC298" i="10"/>
  <c r="AD298" i="10" s="1"/>
  <c r="AE298" i="10"/>
  <c r="AF298" i="10"/>
  <c r="AG298" i="10"/>
  <c r="AH298" i="10" s="1"/>
  <c r="AI298" i="10"/>
  <c r="AJ298" i="10"/>
  <c r="AK298" i="10"/>
  <c r="AL298" i="10" s="1"/>
  <c r="AM298" i="10"/>
  <c r="AN298" i="10" s="1"/>
  <c r="AO298" i="10"/>
  <c r="AP298" i="10"/>
  <c r="AQ298" i="10"/>
  <c r="AR298" i="10"/>
  <c r="AS298" i="10"/>
  <c r="AT298" i="10"/>
  <c r="AU298" i="10"/>
  <c r="AV298" i="10"/>
  <c r="AW298" i="10"/>
  <c r="T299" i="10"/>
  <c r="W299" i="10"/>
  <c r="X299" i="10" s="1"/>
  <c r="Y299" i="10"/>
  <c r="Z299" i="10"/>
  <c r="AA299" i="10"/>
  <c r="AB299" i="10"/>
  <c r="AC299" i="10"/>
  <c r="AD299" i="10" s="1"/>
  <c r="AE299" i="10"/>
  <c r="AF299" i="10"/>
  <c r="AG299" i="10"/>
  <c r="AH299" i="10" s="1"/>
  <c r="AI299" i="10"/>
  <c r="AJ299" i="10" s="1"/>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s="1"/>
  <c r="AE300" i="10"/>
  <c r="AF300" i="10"/>
  <c r="AG300" i="10"/>
  <c r="AH300" i="10" s="1"/>
  <c r="AI300" i="10"/>
  <c r="AJ300" i="10" s="1"/>
  <c r="AK300" i="10"/>
  <c r="AL300" i="10" s="1"/>
  <c r="AM300" i="10"/>
  <c r="AN300" i="10" s="1"/>
  <c r="AO300" i="10"/>
  <c r="AP300" i="10"/>
  <c r="AQ300" i="10"/>
  <c r="AR300" i="10"/>
  <c r="AS300" i="10"/>
  <c r="AT300" i="10"/>
  <c r="AU300" i="10"/>
  <c r="AV300" i="10"/>
  <c r="AW300" i="10"/>
  <c r="T301" i="10"/>
  <c r="W301" i="10"/>
  <c r="X301" i="10" s="1"/>
  <c r="Y301" i="10"/>
  <c r="Z301" i="10"/>
  <c r="AA301" i="10"/>
  <c r="AB301" i="10"/>
  <c r="AC301" i="10"/>
  <c r="AD301" i="10" s="1"/>
  <c r="AE301" i="10"/>
  <c r="AF301" i="10"/>
  <c r="AG301" i="10"/>
  <c r="AH301" i="10" s="1"/>
  <c r="AI301" i="10"/>
  <c r="AJ301" i="10" s="1"/>
  <c r="AK301" i="10"/>
  <c r="AL301" i="10" s="1"/>
  <c r="AM301" i="10"/>
  <c r="AN301" i="10"/>
  <c r="AO301" i="10"/>
  <c r="AP301" i="10"/>
  <c r="AQ301" i="10"/>
  <c r="AR301" i="10"/>
  <c r="AS301" i="10"/>
  <c r="AT301" i="10"/>
  <c r="AU301" i="10"/>
  <c r="AV301" i="10"/>
  <c r="AW301" i="10"/>
  <c r="T302" i="10"/>
  <c r="W302" i="10"/>
  <c r="X302" i="10" s="1"/>
  <c r="Y302" i="10"/>
  <c r="Z302" i="10"/>
  <c r="AA302" i="10"/>
  <c r="AB302" i="10"/>
  <c r="AC302" i="10"/>
  <c r="AD302" i="10" s="1"/>
  <c r="AE302" i="10"/>
  <c r="AF302" i="10"/>
  <c r="AG302" i="10"/>
  <c r="AH302" i="10" s="1"/>
  <c r="AI302" i="10"/>
  <c r="AJ302" i="10" s="1"/>
  <c r="AK302" i="10"/>
  <c r="AL302" i="10" s="1"/>
  <c r="AM302" i="10"/>
  <c r="AN302" i="10" s="1"/>
  <c r="AO302" i="10"/>
  <c r="AP302" i="10"/>
  <c r="AQ302" i="10"/>
  <c r="AR302" i="10"/>
  <c r="AS302" i="10"/>
  <c r="AT302" i="10"/>
  <c r="AU302" i="10"/>
  <c r="AV302" i="10"/>
  <c r="AW302" i="10"/>
  <c r="T303" i="10"/>
  <c r="W303" i="10"/>
  <c r="X303" i="10" s="1"/>
  <c r="Y303" i="10"/>
  <c r="Z303" i="10"/>
  <c r="AA303" i="10"/>
  <c r="AB303" i="10"/>
  <c r="AC303" i="10"/>
  <c r="AD303" i="10" s="1"/>
  <c r="AE303" i="10"/>
  <c r="AF303" i="10"/>
  <c r="AG303" i="10"/>
  <c r="AH303" i="10"/>
  <c r="AI303" i="10"/>
  <c r="AJ303" i="10" s="1"/>
  <c r="AK303" i="10"/>
  <c r="AL303" i="10" s="1"/>
  <c r="AM303" i="10"/>
  <c r="AN303" i="10" s="1"/>
  <c r="AO303" i="10"/>
  <c r="AP303" i="10"/>
  <c r="AQ303" i="10"/>
  <c r="AR303" i="10"/>
  <c r="AS303" i="10"/>
  <c r="AT303" i="10"/>
  <c r="AU303" i="10"/>
  <c r="AV303" i="10"/>
  <c r="AW303" i="10"/>
  <c r="T304" i="10"/>
  <c r="W304" i="10"/>
  <c r="X304" i="10" s="1"/>
  <c r="Y304" i="10"/>
  <c r="Z304" i="10"/>
  <c r="AA304" i="10"/>
  <c r="AB304" i="10"/>
  <c r="AC304" i="10"/>
  <c r="AD304" i="10" s="1"/>
  <c r="AE304" i="10"/>
  <c r="AF304" i="10"/>
  <c r="AG304" i="10"/>
  <c r="AH304" i="10" s="1"/>
  <c r="AI304" i="10"/>
  <c r="AJ304" i="10" s="1"/>
  <c r="AK304" i="10"/>
  <c r="AL304" i="10" s="1"/>
  <c r="AM304" i="10"/>
  <c r="AN304" i="10" s="1"/>
  <c r="AO304" i="10"/>
  <c r="AP304" i="10"/>
  <c r="AQ304" i="10"/>
  <c r="AR304" i="10"/>
  <c r="AS304" i="10"/>
  <c r="AT304" i="10"/>
  <c r="AU304" i="10"/>
  <c r="AV304" i="10"/>
  <c r="AW304" i="10"/>
  <c r="T305" i="10"/>
  <c r="W305" i="10"/>
  <c r="X305" i="10"/>
  <c r="Y305" i="10"/>
  <c r="Z305" i="10"/>
  <c r="AA305" i="10"/>
  <c r="AB305" i="10"/>
  <c r="AC305" i="10"/>
  <c r="AD305" i="10" s="1"/>
  <c r="AE305" i="10"/>
  <c r="AF305" i="10"/>
  <c r="AG305" i="10"/>
  <c r="AH305" i="10" s="1"/>
  <c r="AI305" i="10"/>
  <c r="AJ305" i="10" s="1"/>
  <c r="AK305" i="10"/>
  <c r="AL305" i="10" s="1"/>
  <c r="AM305" i="10"/>
  <c r="AN305" i="10" s="1"/>
  <c r="AO305" i="10"/>
  <c r="AP305" i="10"/>
  <c r="AQ305" i="10"/>
  <c r="AR305" i="10"/>
  <c r="AS305" i="10"/>
  <c r="AT305" i="10"/>
  <c r="AU305" i="10"/>
  <c r="AV305" i="10"/>
  <c r="AW305" i="10"/>
  <c r="T306" i="10"/>
  <c r="W306" i="10"/>
  <c r="X306" i="10"/>
  <c r="Y306" i="10"/>
  <c r="Z306" i="10"/>
  <c r="AA306" i="10"/>
  <c r="AB306" i="10"/>
  <c r="AC306" i="10"/>
  <c r="AD306" i="10" s="1"/>
  <c r="AE306" i="10"/>
  <c r="AF306" i="10"/>
  <c r="AG306" i="10"/>
  <c r="AH306" i="10" s="1"/>
  <c r="AI306" i="10"/>
  <c r="AJ306" i="10" s="1"/>
  <c r="AK306" i="10"/>
  <c r="AL306" i="10" s="1"/>
  <c r="AM306" i="10"/>
  <c r="AN306" i="10" s="1"/>
  <c r="AO306" i="10"/>
  <c r="AP306" i="10"/>
  <c r="AQ306" i="10"/>
  <c r="AR306" i="10"/>
  <c r="AS306" i="10"/>
  <c r="AT306" i="10"/>
  <c r="AU306" i="10"/>
  <c r="AV306" i="10"/>
  <c r="AW306" i="10"/>
  <c r="T307" i="10"/>
  <c r="W307" i="10"/>
  <c r="X307" i="10" s="1"/>
  <c r="Y307" i="10"/>
  <c r="Z307" i="10"/>
  <c r="AA307" i="10"/>
  <c r="AB307" i="10"/>
  <c r="AC307" i="10"/>
  <c r="AD307" i="10" s="1"/>
  <c r="AE307" i="10"/>
  <c r="AF307" i="10"/>
  <c r="AG307" i="10"/>
  <c r="AH307" i="10" s="1"/>
  <c r="AI307" i="10"/>
  <c r="AJ307" i="10" s="1"/>
  <c r="AK307" i="10"/>
  <c r="AL307" i="10" s="1"/>
  <c r="AM307" i="10"/>
  <c r="AN307" i="10" s="1"/>
  <c r="AO307" i="10"/>
  <c r="AP307" i="10"/>
  <c r="AQ307" i="10"/>
  <c r="AR307" i="10"/>
  <c r="AS307" i="10"/>
  <c r="AT307" i="10"/>
  <c r="AU307" i="10"/>
  <c r="AV307" i="10"/>
  <c r="AW307" i="10"/>
  <c r="T308" i="10"/>
  <c r="W308" i="10"/>
  <c r="X308" i="10" s="1"/>
  <c r="Y308" i="10"/>
  <c r="Z308" i="10"/>
  <c r="AA308" i="10"/>
  <c r="AB308" i="10"/>
  <c r="AC308" i="10"/>
  <c r="AD308" i="10"/>
  <c r="AE308" i="10"/>
  <c r="AF308" i="10"/>
  <c r="AG308" i="10"/>
  <c r="AH308" i="10" s="1"/>
  <c r="AI308" i="10"/>
  <c r="AJ308" i="10" s="1"/>
  <c r="AK308" i="10"/>
  <c r="AL308" i="10"/>
  <c r="AM308" i="10"/>
  <c r="AN308" i="10" s="1"/>
  <c r="AO308" i="10"/>
  <c r="AP308" i="10"/>
  <c r="AQ308" i="10"/>
  <c r="AR308" i="10"/>
  <c r="AS308" i="10"/>
  <c r="AT308" i="10"/>
  <c r="AU308" i="10"/>
  <c r="AV308" i="10"/>
  <c r="AW308" i="10"/>
  <c r="T309" i="10"/>
  <c r="W309" i="10"/>
  <c r="X309" i="10" s="1"/>
  <c r="Y309" i="10"/>
  <c r="Z309" i="10"/>
  <c r="AA309" i="10"/>
  <c r="AB309" i="10"/>
  <c r="AC309" i="10"/>
  <c r="AD309" i="10" s="1"/>
  <c r="AE309" i="10"/>
  <c r="AF309" i="10"/>
  <c r="AG309" i="10"/>
  <c r="AH309" i="10" s="1"/>
  <c r="AI309" i="10"/>
  <c r="AJ309" i="10" s="1"/>
  <c r="AK309" i="10"/>
  <c r="AL309" i="10" s="1"/>
  <c r="AM309" i="10"/>
  <c r="AN309" i="10" s="1"/>
  <c r="AO309" i="10"/>
  <c r="AP309" i="10"/>
  <c r="AQ309" i="10"/>
  <c r="AR309" i="10"/>
  <c r="AS309" i="10"/>
  <c r="AT309" i="10"/>
  <c r="AU309" i="10"/>
  <c r="AV309" i="10"/>
  <c r="AW309" i="10"/>
  <c r="T310" i="10"/>
  <c r="W310" i="10"/>
  <c r="X310" i="10" s="1"/>
  <c r="Y310" i="10"/>
  <c r="Z310" i="10"/>
  <c r="AA310" i="10"/>
  <c r="AB310" i="10"/>
  <c r="AC310" i="10"/>
  <c r="AD310" i="10" s="1"/>
  <c r="AE310" i="10"/>
  <c r="AF310" i="10"/>
  <c r="AG310" i="10"/>
  <c r="AH310" i="10" s="1"/>
  <c r="AI310" i="10"/>
  <c r="AJ310" i="10" s="1"/>
  <c r="AK310" i="10"/>
  <c r="AL310" i="10" s="1"/>
  <c r="AM310" i="10"/>
  <c r="AN310" i="10" s="1"/>
  <c r="AO310" i="10"/>
  <c r="AP310" i="10"/>
  <c r="AQ310" i="10"/>
  <c r="AR310" i="10"/>
  <c r="AS310" i="10"/>
  <c r="AT310" i="10"/>
  <c r="AU310" i="10"/>
  <c r="AV310" i="10"/>
  <c r="AW310" i="10"/>
  <c r="T311" i="10"/>
  <c r="W311" i="10"/>
  <c r="X311" i="10" s="1"/>
  <c r="Y311" i="10"/>
  <c r="Z311" i="10"/>
  <c r="AA311" i="10"/>
  <c r="AB311" i="10"/>
  <c r="AC311" i="10"/>
  <c r="AD311" i="10"/>
  <c r="AE311" i="10"/>
  <c r="AF311" i="10"/>
  <c r="AG311" i="10"/>
  <c r="AH311" i="10" s="1"/>
  <c r="AI311" i="10"/>
  <c r="AJ311" i="10" s="1"/>
  <c r="AK311" i="10"/>
  <c r="AL311" i="10" s="1"/>
  <c r="AM311" i="10"/>
  <c r="AN311" i="10" s="1"/>
  <c r="AO311" i="10"/>
  <c r="AP311" i="10"/>
  <c r="AQ311" i="10"/>
  <c r="AR311" i="10"/>
  <c r="AS311" i="10"/>
  <c r="AT311" i="10"/>
  <c r="AU311" i="10"/>
  <c r="AV311" i="10"/>
  <c r="AW311" i="10"/>
  <c r="T312" i="10"/>
  <c r="W312" i="10"/>
  <c r="X312" i="10" s="1"/>
  <c r="Y312" i="10"/>
  <c r="Z312" i="10"/>
  <c r="AA312" i="10"/>
  <c r="AB312" i="10"/>
  <c r="AC312" i="10"/>
  <c r="AD312" i="10" s="1"/>
  <c r="AE312" i="10"/>
  <c r="AF312" i="10"/>
  <c r="AG312" i="10"/>
  <c r="AH312" i="10" s="1"/>
  <c r="AI312" i="10"/>
  <c r="AJ312" i="10" s="1"/>
  <c r="AK312" i="10"/>
  <c r="AL312" i="10" s="1"/>
  <c r="AM312" i="10"/>
  <c r="AN312" i="10" s="1"/>
  <c r="AO312" i="10"/>
  <c r="AP312" i="10"/>
  <c r="AQ312" i="10"/>
  <c r="AR312" i="10"/>
  <c r="AS312" i="10"/>
  <c r="AT312" i="10"/>
  <c r="AU312" i="10"/>
  <c r="AV312" i="10"/>
  <c r="AW312" i="10"/>
  <c r="T313" i="10"/>
  <c r="W313" i="10"/>
  <c r="X313" i="10" s="1"/>
  <c r="Y313" i="10"/>
  <c r="Z313" i="10"/>
  <c r="AA313" i="10"/>
  <c r="AB313" i="10"/>
  <c r="AC313" i="10"/>
  <c r="AD313" i="10" s="1"/>
  <c r="AE313" i="10"/>
  <c r="AF313" i="10"/>
  <c r="AG313" i="10"/>
  <c r="AH313" i="10" s="1"/>
  <c r="AI313" i="10"/>
  <c r="AJ313" i="10" s="1"/>
  <c r="AK313" i="10"/>
  <c r="AL313" i="10" s="1"/>
  <c r="AM313" i="10"/>
  <c r="AN313" i="10" s="1"/>
  <c r="AO313" i="10"/>
  <c r="AP313" i="10"/>
  <c r="AQ313" i="10"/>
  <c r="AR313" i="10"/>
  <c r="AS313" i="10"/>
  <c r="AT313" i="10"/>
  <c r="AU313" i="10"/>
  <c r="AV313" i="10"/>
  <c r="AW313" i="10"/>
  <c r="T314" i="10"/>
  <c r="W314" i="10"/>
  <c r="X314" i="10" s="1"/>
  <c r="Y314" i="10"/>
  <c r="Z314" i="10"/>
  <c r="AA314" i="10"/>
  <c r="AB314" i="10"/>
  <c r="AC314" i="10"/>
  <c r="AD314" i="10"/>
  <c r="AE314" i="10"/>
  <c r="AF314" i="10"/>
  <c r="AG314" i="10"/>
  <c r="AH314" i="10" s="1"/>
  <c r="AI314" i="10"/>
  <c r="AJ314" i="10" s="1"/>
  <c r="AK314" i="10"/>
  <c r="AL314" i="10"/>
  <c r="AM314" i="10"/>
  <c r="AN314" i="10" s="1"/>
  <c r="AO314" i="10"/>
  <c r="AP314" i="10"/>
  <c r="AQ314" i="10"/>
  <c r="AR314" i="10"/>
  <c r="AS314" i="10"/>
  <c r="AT314" i="10"/>
  <c r="AU314" i="10"/>
  <c r="AV314" i="10"/>
  <c r="AW314" i="10"/>
  <c r="T315" i="10"/>
  <c r="W315" i="10"/>
  <c r="X315" i="10" s="1"/>
  <c r="Y315" i="10"/>
  <c r="Z315" i="10"/>
  <c r="AA315" i="10"/>
  <c r="AB315" i="10"/>
  <c r="AC315" i="10"/>
  <c r="AD315" i="10" s="1"/>
  <c r="AE315" i="10"/>
  <c r="AF315" i="10"/>
  <c r="AG315" i="10"/>
  <c r="AH315" i="10"/>
  <c r="AI315" i="10"/>
  <c r="AJ315" i="10" s="1"/>
  <c r="AK315" i="10"/>
  <c r="AL315" i="10" s="1"/>
  <c r="AM315" i="10"/>
  <c r="AN315" i="10"/>
  <c r="AO315" i="10"/>
  <c r="AP315" i="10"/>
  <c r="AQ315" i="10"/>
  <c r="AR315" i="10"/>
  <c r="AS315" i="10"/>
  <c r="AT315" i="10"/>
  <c r="AU315" i="10"/>
  <c r="AV315" i="10"/>
  <c r="AW315" i="10"/>
  <c r="T316" i="10"/>
  <c r="W316" i="10"/>
  <c r="X316" i="10" s="1"/>
  <c r="Y316" i="10"/>
  <c r="Z316" i="10"/>
  <c r="AA316" i="10"/>
  <c r="AB316" i="10"/>
  <c r="AC316" i="10"/>
  <c r="AD316" i="10" s="1"/>
  <c r="AE316" i="10"/>
  <c r="AF316" i="10"/>
  <c r="AG316" i="10"/>
  <c r="AH316" i="10"/>
  <c r="AI316" i="10"/>
  <c r="AJ316" i="10" s="1"/>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s="1"/>
  <c r="AK317" i="10"/>
  <c r="AL317" i="10" s="1"/>
  <c r="AM317" i="10"/>
  <c r="AN317" i="10" s="1"/>
  <c r="AO317" i="10"/>
  <c r="AP317" i="10"/>
  <c r="AQ317" i="10"/>
  <c r="AR317" i="10"/>
  <c r="AS317" i="10"/>
  <c r="AT317" i="10"/>
  <c r="AU317" i="10"/>
  <c r="AV317" i="10"/>
  <c r="AW317" i="10"/>
  <c r="T318" i="10"/>
  <c r="W318" i="10"/>
  <c r="X318" i="10"/>
  <c r="Y318" i="10"/>
  <c r="Z318" i="10"/>
  <c r="AA318" i="10"/>
  <c r="AB318" i="10"/>
  <c r="AC318" i="10"/>
  <c r="AD318" i="10" s="1"/>
  <c r="AE318" i="10"/>
  <c r="AF318" i="10"/>
  <c r="AG318" i="10"/>
  <c r="AH318" i="10" s="1"/>
  <c r="AI318" i="10"/>
  <c r="AJ318" i="10" s="1"/>
  <c r="AK318" i="10"/>
  <c r="AL318" i="10" s="1"/>
  <c r="AM318" i="10"/>
  <c r="AN318" i="10" s="1"/>
  <c r="AO318" i="10"/>
  <c r="AP318" i="10"/>
  <c r="AQ318" i="10"/>
  <c r="AR318" i="10"/>
  <c r="AS318" i="10"/>
  <c r="AT318" i="10"/>
  <c r="AU318" i="10"/>
  <c r="AV318" i="10"/>
  <c r="AW318" i="10"/>
  <c r="T319" i="10"/>
  <c r="W319" i="10"/>
  <c r="X319" i="10"/>
  <c r="Y319" i="10"/>
  <c r="Z319" i="10"/>
  <c r="AA319" i="10"/>
  <c r="AB319" i="10"/>
  <c r="AC319" i="10"/>
  <c r="AD319" i="10" s="1"/>
  <c r="AE319" i="10"/>
  <c r="AF319" i="10"/>
  <c r="AG319" i="10"/>
  <c r="AH319" i="10"/>
  <c r="AI319" i="10"/>
  <c r="AJ319" i="10"/>
  <c r="AK319" i="10"/>
  <c r="AL319" i="10" s="1"/>
  <c r="AM319" i="10"/>
  <c r="AN319" i="10" s="1"/>
  <c r="AO319" i="10"/>
  <c r="AP319" i="10"/>
  <c r="AQ319" i="10"/>
  <c r="AR319" i="10"/>
  <c r="AS319" i="10"/>
  <c r="AT319" i="10"/>
  <c r="AU319" i="10"/>
  <c r="AV319" i="10"/>
  <c r="AW319" i="10"/>
  <c r="T320" i="10"/>
  <c r="W320" i="10"/>
  <c r="X320" i="10" s="1"/>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T321" i="10"/>
  <c r="W321" i="10"/>
  <c r="X321" i="10" s="1"/>
  <c r="Y321" i="10"/>
  <c r="Z321" i="10"/>
  <c r="AA321" i="10"/>
  <c r="AB321" i="10"/>
  <c r="AC321" i="10"/>
  <c r="AD321" i="10" s="1"/>
  <c r="AE321" i="10"/>
  <c r="AF321" i="10"/>
  <c r="AG321" i="10"/>
  <c r="AH321" i="10" s="1"/>
  <c r="AI321" i="10"/>
  <c r="AJ321" i="10"/>
  <c r="AK321" i="10"/>
  <c r="AL321" i="10" s="1"/>
  <c r="AM321" i="10"/>
  <c r="AN321" i="10"/>
  <c r="AO321" i="10"/>
  <c r="AP321" i="10"/>
  <c r="AQ321" i="10"/>
  <c r="AR321" i="10"/>
  <c r="AS321" i="10"/>
  <c r="AT321" i="10"/>
  <c r="AU321" i="10"/>
  <c r="AV321" i="10"/>
  <c r="AW321" i="10"/>
  <c r="T322" i="10"/>
  <c r="W322" i="10"/>
  <c r="X322" i="10" s="1"/>
  <c r="Y322" i="10"/>
  <c r="Z322" i="10"/>
  <c r="AA322" i="10"/>
  <c r="AB322" i="10"/>
  <c r="AC322" i="10"/>
  <c r="AD322" i="10" s="1"/>
  <c r="AE322" i="10"/>
  <c r="AF322" i="10"/>
  <c r="AG322" i="10"/>
  <c r="AH322" i="10" s="1"/>
  <c r="AI322" i="10"/>
  <c r="AJ322" i="10" s="1"/>
  <c r="AK322" i="10"/>
  <c r="AL322" i="10"/>
  <c r="AM322" i="10"/>
  <c r="AN322" i="10"/>
  <c r="AO322" i="10"/>
  <c r="AP322" i="10"/>
  <c r="AQ322" i="10"/>
  <c r="AR322" i="10"/>
  <c r="AS322" i="10"/>
  <c r="AT322" i="10"/>
  <c r="AU322" i="10"/>
  <c r="AV322" i="10"/>
  <c r="AW322" i="10"/>
  <c r="T323" i="10"/>
  <c r="W323" i="10"/>
  <c r="X323" i="10"/>
  <c r="Y323" i="10"/>
  <c r="Z323" i="10"/>
  <c r="AA323" i="10"/>
  <c r="AB323" i="10"/>
  <c r="AC323" i="10"/>
  <c r="AD323" i="10" s="1"/>
  <c r="AE323" i="10"/>
  <c r="AF323" i="10"/>
  <c r="AG323" i="10"/>
  <c r="AH323" i="10" s="1"/>
  <c r="AI323" i="10"/>
  <c r="AJ323" i="10" s="1"/>
  <c r="AK323" i="10"/>
  <c r="AL323" i="10" s="1"/>
  <c r="AM323" i="10"/>
  <c r="AN323" i="10" s="1"/>
  <c r="AO323" i="10"/>
  <c r="AP323" i="10"/>
  <c r="AQ323" i="10"/>
  <c r="AR323" i="10"/>
  <c r="AS323" i="10"/>
  <c r="AT323" i="10"/>
  <c r="AU323" i="10"/>
  <c r="AV323" i="10"/>
  <c r="AW323" i="10"/>
  <c r="T324" i="10"/>
  <c r="W324" i="10"/>
  <c r="X324" i="10" s="1"/>
  <c r="U324" i="10" s="1"/>
  <c r="Y324" i="10"/>
  <c r="Z324" i="10"/>
  <c r="AA324" i="10"/>
  <c r="AB324" i="10"/>
  <c r="AC324" i="10"/>
  <c r="AD324" i="10" s="1"/>
  <c r="AE324" i="10"/>
  <c r="AF324" i="10"/>
  <c r="AG324" i="10"/>
  <c r="AH324" i="10" s="1"/>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c r="AE325" i="10"/>
  <c r="AF325" i="10"/>
  <c r="AG325" i="10"/>
  <c r="AH325" i="10" s="1"/>
  <c r="AI325" i="10"/>
  <c r="AJ325" i="10" s="1"/>
  <c r="AK325" i="10"/>
  <c r="AL325" i="10"/>
  <c r="AM325" i="10"/>
  <c r="AN325" i="10" s="1"/>
  <c r="AO325" i="10"/>
  <c r="AP325" i="10"/>
  <c r="AQ325" i="10"/>
  <c r="AR325" i="10"/>
  <c r="AS325" i="10"/>
  <c r="AT325" i="10"/>
  <c r="AU325" i="10"/>
  <c r="AV325" i="10"/>
  <c r="AW325" i="10"/>
  <c r="T326" i="10"/>
  <c r="W326" i="10"/>
  <c r="X326" i="10" s="1"/>
  <c r="Y326" i="10"/>
  <c r="Z326" i="10"/>
  <c r="AA326" i="10"/>
  <c r="AB326" i="10"/>
  <c r="AC326" i="10"/>
  <c r="AD326" i="10" s="1"/>
  <c r="AE326" i="10"/>
  <c r="AF326" i="10"/>
  <c r="AG326" i="10"/>
  <c r="AH326" i="10" s="1"/>
  <c r="AI326" i="10"/>
  <c r="AJ326" i="10" s="1"/>
  <c r="AK326" i="10"/>
  <c r="AL326" i="10" s="1"/>
  <c r="AM326" i="10"/>
  <c r="AN326" i="10" s="1"/>
  <c r="AO326" i="10"/>
  <c r="AP326" i="10"/>
  <c r="AQ326" i="10"/>
  <c r="AR326" i="10"/>
  <c r="AS326" i="10"/>
  <c r="AT326" i="10"/>
  <c r="AU326" i="10"/>
  <c r="AV326" i="10"/>
  <c r="AW326" i="10"/>
  <c r="T327" i="10"/>
  <c r="W327" i="10"/>
  <c r="X327" i="10"/>
  <c r="Y327" i="10"/>
  <c r="Z327" i="10"/>
  <c r="AA327" i="10"/>
  <c r="AB327" i="10"/>
  <c r="AC327" i="10"/>
  <c r="AD327" i="10" s="1"/>
  <c r="AE327" i="10"/>
  <c r="AF327" i="10"/>
  <c r="AG327" i="10"/>
  <c r="AH327" i="10"/>
  <c r="AI327" i="10"/>
  <c r="AJ327" i="10" s="1"/>
  <c r="AK327" i="10"/>
  <c r="AL327" i="10" s="1"/>
  <c r="AM327" i="10"/>
  <c r="AN327" i="10" s="1"/>
  <c r="AO327" i="10"/>
  <c r="AP327" i="10"/>
  <c r="AQ327" i="10"/>
  <c r="AR327" i="10"/>
  <c r="AS327" i="10"/>
  <c r="AT327" i="10"/>
  <c r="AU327" i="10"/>
  <c r="AV327" i="10"/>
  <c r="AW327" i="10"/>
  <c r="T328" i="10"/>
  <c r="W328" i="10"/>
  <c r="X328" i="10" s="1"/>
  <c r="Y328" i="10"/>
  <c r="Z328" i="10"/>
  <c r="AA328" i="10"/>
  <c r="AB328" i="10"/>
  <c r="AC328" i="10"/>
  <c r="AD328" i="10" s="1"/>
  <c r="AE328" i="10"/>
  <c r="AF328" i="10"/>
  <c r="AG328" i="10"/>
  <c r="AH328" i="10" s="1"/>
  <c r="AI328" i="10"/>
  <c r="AJ328" i="10" s="1"/>
  <c r="AK328" i="10"/>
  <c r="AL328" i="10" s="1"/>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s="1"/>
  <c r="AI329" i="10"/>
  <c r="AJ329" i="10" s="1"/>
  <c r="AK329" i="10"/>
  <c r="AL329" i="10"/>
  <c r="AM329" i="10"/>
  <c r="AN329" i="10" s="1"/>
  <c r="AO329" i="10"/>
  <c r="AP329" i="10"/>
  <c r="AQ329" i="10"/>
  <c r="AR329" i="10"/>
  <c r="AS329" i="10"/>
  <c r="AT329" i="10"/>
  <c r="AU329" i="10"/>
  <c r="AV329" i="10"/>
  <c r="AW329" i="10"/>
  <c r="T330" i="10"/>
  <c r="W330" i="10"/>
  <c r="X330" i="10" s="1"/>
  <c r="U330" i="10" s="1"/>
  <c r="Y330" i="10"/>
  <c r="Z330" i="10"/>
  <c r="AA330" i="10"/>
  <c r="AB330" i="10"/>
  <c r="AC330" i="10"/>
  <c r="AD330" i="10"/>
  <c r="AE330" i="10"/>
  <c r="AF330" i="10"/>
  <c r="AG330" i="10"/>
  <c r="AH330" i="10"/>
  <c r="AI330" i="10"/>
  <c r="AJ330" i="10"/>
  <c r="AK330" i="10"/>
  <c r="AL330" i="10" s="1"/>
  <c r="AM330" i="10"/>
  <c r="AN330" i="10" s="1"/>
  <c r="AO330" i="10"/>
  <c r="AP330" i="10"/>
  <c r="AQ330" i="10"/>
  <c r="AR330" i="10"/>
  <c r="AS330" i="10"/>
  <c r="AT330" i="10"/>
  <c r="AU330" i="10"/>
  <c r="AV330" i="10"/>
  <c r="AW330" i="10"/>
  <c r="T331" i="10"/>
  <c r="W331" i="10"/>
  <c r="X331" i="10" s="1"/>
  <c r="Y331" i="10"/>
  <c r="Z331" i="10"/>
  <c r="U331" i="10" s="1"/>
  <c r="AA331" i="10"/>
  <c r="AB331" i="10"/>
  <c r="AC331" i="10"/>
  <c r="AD331" i="10" s="1"/>
  <c r="AE331" i="10"/>
  <c r="AF331" i="10"/>
  <c r="AG331" i="10"/>
  <c r="AH331" i="10" s="1"/>
  <c r="AI331" i="10"/>
  <c r="AJ331" i="10" s="1"/>
  <c r="AK331" i="10"/>
  <c r="AL331" i="10" s="1"/>
  <c r="AM331" i="10"/>
  <c r="AN331" i="10" s="1"/>
  <c r="AO331" i="10"/>
  <c r="AP331" i="10"/>
  <c r="AQ331" i="10"/>
  <c r="AR331" i="10"/>
  <c r="AS331" i="10"/>
  <c r="AT331" i="10"/>
  <c r="AU331" i="10"/>
  <c r="AV331" i="10"/>
  <c r="AW331" i="10"/>
  <c r="T332" i="10"/>
  <c r="W332" i="10"/>
  <c r="X332" i="10" s="1"/>
  <c r="Y332" i="10"/>
  <c r="Z332" i="10"/>
  <c r="AA332" i="10"/>
  <c r="AB332" i="10"/>
  <c r="AC332" i="10"/>
  <c r="AD332" i="10"/>
  <c r="AE332" i="10"/>
  <c r="AF332" i="10"/>
  <c r="AG332" i="10"/>
  <c r="AH332" i="10" s="1"/>
  <c r="AI332" i="10"/>
  <c r="AJ332" i="10" s="1"/>
  <c r="AK332" i="10"/>
  <c r="AL332" i="10"/>
  <c r="AM332" i="10"/>
  <c r="AN332" i="10" s="1"/>
  <c r="AO332" i="10"/>
  <c r="AP332" i="10"/>
  <c r="AQ332" i="10"/>
  <c r="AR332" i="10"/>
  <c r="AS332" i="10"/>
  <c r="AT332" i="10"/>
  <c r="AU332" i="10"/>
  <c r="AV332" i="10"/>
  <c r="AW332" i="10"/>
  <c r="T333" i="10"/>
  <c r="W333" i="10"/>
  <c r="X333" i="10" s="1"/>
  <c r="Y333" i="10"/>
  <c r="Z333" i="10"/>
  <c r="AA333" i="10"/>
  <c r="AB333" i="10"/>
  <c r="AC333" i="10"/>
  <c r="AD333" i="10" s="1"/>
  <c r="AE333" i="10"/>
  <c r="AF333" i="10"/>
  <c r="AG333" i="10"/>
  <c r="AH333" i="10" s="1"/>
  <c r="AI333" i="10"/>
  <c r="AJ333" i="10" s="1"/>
  <c r="AK333" i="10"/>
  <c r="AL333" i="10" s="1"/>
  <c r="AM333" i="10"/>
  <c r="AN333" i="10" s="1"/>
  <c r="AO333" i="10"/>
  <c r="AP333" i="10"/>
  <c r="AQ333" i="10"/>
  <c r="AR333" i="10"/>
  <c r="AS333" i="10"/>
  <c r="AT333" i="10"/>
  <c r="AU333" i="10"/>
  <c r="AV333" i="10"/>
  <c r="AW333" i="10"/>
  <c r="T334" i="10"/>
  <c r="W334" i="10"/>
  <c r="X334" i="10" s="1"/>
  <c r="Y334" i="10"/>
  <c r="Z334" i="10"/>
  <c r="AA334" i="10"/>
  <c r="AB334" i="10"/>
  <c r="AC334" i="10"/>
  <c r="AD334" i="10" s="1"/>
  <c r="AE334" i="10"/>
  <c r="AF334" i="10"/>
  <c r="AG334" i="10"/>
  <c r="AH334" i="10"/>
  <c r="AI334" i="10"/>
  <c r="AJ334" i="10" s="1"/>
  <c r="AK334" i="10"/>
  <c r="AL334" i="10" s="1"/>
  <c r="AM334" i="10"/>
  <c r="AN334" i="10" s="1"/>
  <c r="AO334" i="10"/>
  <c r="AP334" i="10"/>
  <c r="AQ334" i="10"/>
  <c r="AR334" i="10"/>
  <c r="AS334" i="10"/>
  <c r="AT334" i="10"/>
  <c r="AU334" i="10"/>
  <c r="AV334" i="10"/>
  <c r="AW334" i="10"/>
  <c r="T335" i="10"/>
  <c r="W335" i="10"/>
  <c r="X335" i="10" s="1"/>
  <c r="Y335" i="10"/>
  <c r="Z335" i="10"/>
  <c r="AA335" i="10"/>
  <c r="AB335" i="10"/>
  <c r="AC335" i="10"/>
  <c r="AD335" i="10" s="1"/>
  <c r="AE335" i="10"/>
  <c r="AF335" i="10"/>
  <c r="AG335" i="10"/>
  <c r="AH335" i="10" s="1"/>
  <c r="AI335" i="10"/>
  <c r="AJ335" i="10" s="1"/>
  <c r="AK335" i="10"/>
  <c r="AL335" i="10" s="1"/>
  <c r="AM335" i="10"/>
  <c r="AN335" i="10"/>
  <c r="AO335" i="10"/>
  <c r="AP335" i="10"/>
  <c r="AQ335" i="10"/>
  <c r="AR335" i="10"/>
  <c r="AS335" i="10"/>
  <c r="AT335" i="10"/>
  <c r="AU335" i="10"/>
  <c r="AV335" i="10"/>
  <c r="AW335" i="10"/>
  <c r="T336" i="10"/>
  <c r="W336" i="10"/>
  <c r="X336" i="10" s="1"/>
  <c r="Y336" i="10"/>
  <c r="Z336" i="10"/>
  <c r="AA336" i="10"/>
  <c r="AB336" i="10"/>
  <c r="AC336" i="10"/>
  <c r="AD336" i="10" s="1"/>
  <c r="AE336" i="10"/>
  <c r="AF336" i="10"/>
  <c r="AG336" i="10"/>
  <c r="AH336" i="10" s="1"/>
  <c r="AI336" i="10"/>
  <c r="AJ336" i="10" s="1"/>
  <c r="AK336" i="10"/>
  <c r="AL336" i="10"/>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s="1"/>
  <c r="AK338" i="10"/>
  <c r="AL338" i="10" s="1"/>
  <c r="AM338" i="10"/>
  <c r="AN338" i="10" s="1"/>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s="1"/>
  <c r="AM339" i="10"/>
  <c r="AN339" i="10" s="1"/>
  <c r="AO339" i="10"/>
  <c r="AP339" i="10"/>
  <c r="AQ339" i="10"/>
  <c r="AR339" i="10"/>
  <c r="AS339" i="10"/>
  <c r="AT339" i="10"/>
  <c r="AU339" i="10"/>
  <c r="AV339" i="10"/>
  <c r="AW339" i="10"/>
  <c r="T340" i="10"/>
  <c r="W340" i="10"/>
  <c r="X340" i="10" s="1"/>
  <c r="Y340" i="10"/>
  <c r="Z340" i="10"/>
  <c r="AA340" i="10"/>
  <c r="AB340" i="10"/>
  <c r="AC340" i="10"/>
  <c r="AD340" i="10" s="1"/>
  <c r="AE340" i="10"/>
  <c r="AF340" i="10"/>
  <c r="AG340" i="10"/>
  <c r="AH340" i="10" s="1"/>
  <c r="AI340" i="10"/>
  <c r="AJ340" i="10" s="1"/>
  <c r="AK340" i="10"/>
  <c r="AL340" i="10"/>
  <c r="AM340" i="10"/>
  <c r="AN340" i="10" s="1"/>
  <c r="AO340" i="10"/>
  <c r="AP340" i="10"/>
  <c r="AQ340" i="10"/>
  <c r="AR340" i="10"/>
  <c r="AS340" i="10"/>
  <c r="AT340" i="10"/>
  <c r="AU340" i="10"/>
  <c r="AV340" i="10"/>
  <c r="AW340" i="10"/>
  <c r="T341" i="10"/>
  <c r="W341" i="10"/>
  <c r="X341" i="10" s="1"/>
  <c r="Y341" i="10"/>
  <c r="Z341" i="10"/>
  <c r="AA341" i="10"/>
  <c r="AB341" i="10"/>
  <c r="AC341" i="10"/>
  <c r="AD341" i="10" s="1"/>
  <c r="AE341" i="10"/>
  <c r="AF341" i="10"/>
  <c r="AG341" i="10"/>
  <c r="AH341" i="10" s="1"/>
  <c r="AI341" i="10"/>
  <c r="AJ341" i="10" s="1"/>
  <c r="AK341" i="10"/>
  <c r="AL341" i="10" s="1"/>
  <c r="AM341" i="10"/>
  <c r="AN341" i="10" s="1"/>
  <c r="AO341" i="10"/>
  <c r="AP341" i="10"/>
  <c r="AQ341" i="10"/>
  <c r="AR341" i="10"/>
  <c r="AS341" i="10"/>
  <c r="AT341" i="10"/>
  <c r="AU341" i="10"/>
  <c r="AV341" i="10"/>
  <c r="AW341" i="10"/>
  <c r="T342" i="10"/>
  <c r="W342" i="10"/>
  <c r="X342" i="10" s="1"/>
  <c r="Y342" i="10"/>
  <c r="Z342" i="10"/>
  <c r="AA342" i="10"/>
  <c r="AB342" i="10"/>
  <c r="AC342" i="10"/>
  <c r="AD342" i="10" s="1"/>
  <c r="AE342" i="10"/>
  <c r="AF342" i="10"/>
  <c r="AG342" i="10"/>
  <c r="AH342" i="10" s="1"/>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s="1"/>
  <c r="AE343" i="10"/>
  <c r="AF343" i="10"/>
  <c r="AG343" i="10"/>
  <c r="AH343" i="10" s="1"/>
  <c r="AI343" i="10"/>
  <c r="AJ343" i="10" s="1"/>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s="1"/>
  <c r="AE344" i="10"/>
  <c r="AF344" i="10"/>
  <c r="AG344" i="10"/>
  <c r="AH344" i="10" s="1"/>
  <c r="AI344" i="10"/>
  <c r="AJ344" i="10" s="1"/>
  <c r="AK344" i="10"/>
  <c r="AL344" i="10" s="1"/>
  <c r="AM344" i="10"/>
  <c r="AN344" i="10" s="1"/>
  <c r="AO344" i="10"/>
  <c r="AP344" i="10"/>
  <c r="AQ344" i="10"/>
  <c r="AR344" i="10"/>
  <c r="AS344" i="10"/>
  <c r="AT344" i="10"/>
  <c r="AU344" i="10"/>
  <c r="AV344" i="10"/>
  <c r="AW344" i="10"/>
  <c r="T345" i="10"/>
  <c r="W345" i="10"/>
  <c r="X345" i="10" s="1"/>
  <c r="Y345" i="10"/>
  <c r="Z345" i="10"/>
  <c r="AA345" i="10"/>
  <c r="AB345" i="10"/>
  <c r="AC345" i="10"/>
  <c r="AD345" i="10" s="1"/>
  <c r="AE345" i="10"/>
  <c r="AF345" i="10"/>
  <c r="AG345" i="10"/>
  <c r="AH345" i="10" s="1"/>
  <c r="AI345" i="10"/>
  <c r="AJ345" i="10" s="1"/>
  <c r="AK345" i="10"/>
  <c r="AL345" i="10"/>
  <c r="AM345" i="10"/>
  <c r="AN345" i="10" s="1"/>
  <c r="AO345" i="10"/>
  <c r="AP345" i="10"/>
  <c r="AQ345" i="10"/>
  <c r="AR345" i="10"/>
  <c r="AS345" i="10"/>
  <c r="AT345" i="10"/>
  <c r="AU345" i="10"/>
  <c r="AV345" i="10"/>
  <c r="AW345" i="10"/>
  <c r="T346" i="10"/>
  <c r="W346" i="10"/>
  <c r="X346" i="10" s="1"/>
  <c r="Y346" i="10"/>
  <c r="Z346" i="10"/>
  <c r="AA346" i="10"/>
  <c r="AB346" i="10"/>
  <c r="AC346" i="10"/>
  <c r="AD346" i="10" s="1"/>
  <c r="V346" i="10" s="1"/>
  <c r="AE346" i="10"/>
  <c r="AF346" i="10"/>
  <c r="AG346" i="10"/>
  <c r="AH346" i="10"/>
  <c r="AI346" i="10"/>
  <c r="AJ346" i="10" s="1"/>
  <c r="AK346" i="10"/>
  <c r="AL346" i="10" s="1"/>
  <c r="AM346" i="10"/>
  <c r="AN346" i="10" s="1"/>
  <c r="AO346" i="10"/>
  <c r="AP346" i="10"/>
  <c r="AQ346" i="10"/>
  <c r="AR346" i="10"/>
  <c r="AS346" i="10"/>
  <c r="AT346" i="10"/>
  <c r="AU346" i="10"/>
  <c r="AV346" i="10"/>
  <c r="AW346" i="10"/>
  <c r="T347" i="10"/>
  <c r="W347" i="10"/>
  <c r="X347" i="10" s="1"/>
  <c r="Y347" i="10"/>
  <c r="Z347" i="10"/>
  <c r="AA347" i="10"/>
  <c r="AB347" i="10"/>
  <c r="AC347" i="10"/>
  <c r="AD347" i="10" s="1"/>
  <c r="AE347" i="10"/>
  <c r="AF347" i="10"/>
  <c r="AG347" i="10"/>
  <c r="AH347" i="10" s="1"/>
  <c r="AI347" i="10"/>
  <c r="AJ347" i="10" s="1"/>
  <c r="AK347" i="10"/>
  <c r="AL347" i="10" s="1"/>
  <c r="AM347" i="10"/>
  <c r="AN347" i="10"/>
  <c r="AO347" i="10"/>
  <c r="AP347" i="10"/>
  <c r="AQ347" i="10"/>
  <c r="AR347" i="10"/>
  <c r="AS347" i="10"/>
  <c r="AT347" i="10"/>
  <c r="AU347" i="10"/>
  <c r="AV347" i="10"/>
  <c r="AW347" i="10"/>
  <c r="T348" i="10"/>
  <c r="W348" i="10"/>
  <c r="X348" i="10" s="1"/>
  <c r="Y348" i="10"/>
  <c r="Z348" i="10"/>
  <c r="AA348" i="10"/>
  <c r="AB348" i="10"/>
  <c r="AC348" i="10"/>
  <c r="AD348" i="10" s="1"/>
  <c r="AE348" i="10"/>
  <c r="AF348" i="10"/>
  <c r="AG348" i="10"/>
  <c r="AH348" i="10" s="1"/>
  <c r="AI348" i="10"/>
  <c r="AJ348" i="10" s="1"/>
  <c r="AK348" i="10"/>
  <c r="AL348" i="10" s="1"/>
  <c r="AM348" i="10"/>
  <c r="AN348" i="10"/>
  <c r="AO348" i="10"/>
  <c r="AP348" i="10"/>
  <c r="AQ348" i="10"/>
  <c r="AR348" i="10"/>
  <c r="AS348" i="10"/>
  <c r="AT348" i="10"/>
  <c r="AU348" i="10"/>
  <c r="AV348" i="10"/>
  <c r="AW348" i="10"/>
  <c r="T349" i="10"/>
  <c r="W349" i="10"/>
  <c r="X349" i="10" s="1"/>
  <c r="U349" i="10" s="1"/>
  <c r="Y349" i="10"/>
  <c r="Z349" i="10"/>
  <c r="AA349" i="10"/>
  <c r="AB349" i="10"/>
  <c r="AC349" i="10"/>
  <c r="AD349" i="10" s="1"/>
  <c r="AE349" i="10"/>
  <c r="AF349" i="10"/>
  <c r="AG349" i="10"/>
  <c r="AH349" i="10" s="1"/>
  <c r="AI349" i="10"/>
  <c r="AJ349" i="10" s="1"/>
  <c r="AK349" i="10"/>
  <c r="AL349" i="10" s="1"/>
  <c r="AM349" i="10"/>
  <c r="AN349" i="10" s="1"/>
  <c r="AO349" i="10"/>
  <c r="AP349" i="10"/>
  <c r="AQ349" i="10"/>
  <c r="AR349" i="10"/>
  <c r="AS349" i="10"/>
  <c r="AT349" i="10"/>
  <c r="AU349" i="10"/>
  <c r="AV349" i="10"/>
  <c r="AW349" i="10"/>
  <c r="T350" i="10"/>
  <c r="W350" i="10"/>
  <c r="X350" i="10" s="1"/>
  <c r="Y350" i="10"/>
  <c r="Z350" i="10"/>
  <c r="AA350" i="10"/>
  <c r="AB350" i="10"/>
  <c r="AC350" i="10"/>
  <c r="AD350" i="10" s="1"/>
  <c r="AE350" i="10"/>
  <c r="AF350" i="10"/>
  <c r="AG350" i="10"/>
  <c r="AH350" i="10" s="1"/>
  <c r="AI350" i="10"/>
  <c r="AJ350" i="10" s="1"/>
  <c r="AK350" i="10"/>
  <c r="AL350" i="10" s="1"/>
  <c r="AM350" i="10"/>
  <c r="AN350" i="10" s="1"/>
  <c r="AO350" i="10"/>
  <c r="AP350" i="10"/>
  <c r="AQ350" i="10"/>
  <c r="AR350" i="10"/>
  <c r="AS350" i="10"/>
  <c r="AT350" i="10"/>
  <c r="AU350" i="10"/>
  <c r="AV350" i="10"/>
  <c r="AW350" i="10"/>
  <c r="T351" i="10"/>
  <c r="W351" i="10"/>
  <c r="X351" i="10" s="1"/>
  <c r="Y351" i="10"/>
  <c r="Z351" i="10"/>
  <c r="AA351" i="10"/>
  <c r="AB351" i="10"/>
  <c r="AC351" i="10"/>
  <c r="AD351" i="10"/>
  <c r="AE351" i="10"/>
  <c r="AF351" i="10"/>
  <c r="AG351" i="10"/>
  <c r="AH351" i="10" s="1"/>
  <c r="AI351" i="10"/>
  <c r="AJ351" i="10" s="1"/>
  <c r="AK351" i="10"/>
  <c r="AL351" i="10" s="1"/>
  <c r="AM351" i="10"/>
  <c r="AN351" i="10" s="1"/>
  <c r="AO351" i="10"/>
  <c r="AP351" i="10"/>
  <c r="AQ351" i="10"/>
  <c r="AR351" i="10"/>
  <c r="AS351" i="10"/>
  <c r="AT351" i="10"/>
  <c r="AU351" i="10"/>
  <c r="AV351" i="10"/>
  <c r="AW351" i="10"/>
  <c r="T352" i="10"/>
  <c r="W352" i="10"/>
  <c r="X352" i="10" s="1"/>
  <c r="Y352" i="10"/>
  <c r="Z352" i="10"/>
  <c r="AA352" i="10"/>
  <c r="AB352" i="10"/>
  <c r="AC352" i="10"/>
  <c r="AD352" i="10"/>
  <c r="AE352" i="10"/>
  <c r="AF352" i="10"/>
  <c r="AG352" i="10"/>
  <c r="AH352" i="10" s="1"/>
  <c r="AI352" i="10"/>
  <c r="AJ352" i="10" s="1"/>
  <c r="AK352" i="10"/>
  <c r="AL352" i="10"/>
  <c r="AM352" i="10"/>
  <c r="AN352" i="10" s="1"/>
  <c r="AO352" i="10"/>
  <c r="AP352" i="10"/>
  <c r="AQ352" i="10"/>
  <c r="AR352" i="10"/>
  <c r="AS352" i="10"/>
  <c r="AT352" i="10"/>
  <c r="AU352" i="10"/>
  <c r="AV352" i="10"/>
  <c r="AW352" i="10"/>
  <c r="T353" i="10"/>
  <c r="W353" i="10"/>
  <c r="X353" i="10" s="1"/>
  <c r="Y353" i="10"/>
  <c r="Z353" i="10"/>
  <c r="AA353" i="10"/>
  <c r="AB353" i="10"/>
  <c r="AC353" i="10"/>
  <c r="AD353" i="10" s="1"/>
  <c r="AE353" i="10"/>
  <c r="AF353" i="10"/>
  <c r="AG353" i="10"/>
  <c r="AH353" i="10" s="1"/>
  <c r="AI353" i="10"/>
  <c r="AJ353" i="10" s="1"/>
  <c r="AK353" i="10"/>
  <c r="AL353" i="10" s="1"/>
  <c r="AM353" i="10"/>
  <c r="AN353" i="10" s="1"/>
  <c r="AO353" i="10"/>
  <c r="AP353" i="10"/>
  <c r="AQ353" i="10"/>
  <c r="AR353" i="10"/>
  <c r="AS353" i="10"/>
  <c r="AT353" i="10"/>
  <c r="AU353" i="10"/>
  <c r="AV353" i="10"/>
  <c r="AW353" i="10"/>
  <c r="T354" i="10"/>
  <c r="W354" i="10"/>
  <c r="X354" i="10" s="1"/>
  <c r="Y354" i="10"/>
  <c r="Z354" i="10"/>
  <c r="AA354" i="10"/>
  <c r="AB354" i="10"/>
  <c r="AC354" i="10"/>
  <c r="AD354" i="10"/>
  <c r="AE354" i="10"/>
  <c r="AF354" i="10"/>
  <c r="AG354" i="10"/>
  <c r="AH354" i="10" s="1"/>
  <c r="AI354" i="10"/>
  <c r="AJ354" i="10" s="1"/>
  <c r="AK354" i="10"/>
  <c r="AL354" i="10" s="1"/>
  <c r="AM354" i="10"/>
  <c r="AN354" i="10" s="1"/>
  <c r="AO354" i="10"/>
  <c r="AP354" i="10"/>
  <c r="AQ354" i="10"/>
  <c r="AR354" i="10"/>
  <c r="AS354" i="10"/>
  <c r="AT354" i="10"/>
  <c r="AU354" i="10"/>
  <c r="AV354" i="10"/>
  <c r="AW354" i="10"/>
  <c r="T355" i="10"/>
  <c r="W355" i="10"/>
  <c r="X355" i="10" s="1"/>
  <c r="Y355" i="10"/>
  <c r="Z355" i="10"/>
  <c r="AA355" i="10"/>
  <c r="AB355" i="10"/>
  <c r="AC355" i="10"/>
  <c r="AD355" i="10" s="1"/>
  <c r="AE355" i="10"/>
  <c r="AF355" i="10"/>
  <c r="AG355" i="10"/>
  <c r="AH355" i="10" s="1"/>
  <c r="AI355" i="10"/>
  <c r="AJ355" i="10" s="1"/>
  <c r="AK355" i="10"/>
  <c r="AL355" i="10" s="1"/>
  <c r="AM355" i="10"/>
  <c r="AN355" i="10" s="1"/>
  <c r="AO355" i="10"/>
  <c r="AP355" i="10"/>
  <c r="AQ355" i="10"/>
  <c r="AR355" i="10"/>
  <c r="AS355" i="10"/>
  <c r="AT355" i="10"/>
  <c r="AU355" i="10"/>
  <c r="AV355" i="10"/>
  <c r="AW355" i="10"/>
  <c r="T356" i="10"/>
  <c r="W356" i="10"/>
  <c r="X356" i="10" s="1"/>
  <c r="Y356" i="10"/>
  <c r="Z356" i="10"/>
  <c r="AA356" i="10"/>
  <c r="AB356" i="10"/>
  <c r="AC356" i="10"/>
  <c r="AD356" i="10"/>
  <c r="AE356" i="10"/>
  <c r="AF356" i="10"/>
  <c r="AG356" i="10"/>
  <c r="AH356" i="10" s="1"/>
  <c r="AI356" i="10"/>
  <c r="AJ356" i="10"/>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s="1"/>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s="1"/>
  <c r="AI358" i="10"/>
  <c r="AJ358" i="10" s="1"/>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s="1"/>
  <c r="AE359" i="10"/>
  <c r="AF359" i="10"/>
  <c r="AG359" i="10"/>
  <c r="AH359" i="10" s="1"/>
  <c r="AI359" i="10"/>
  <c r="AJ359" i="10" s="1"/>
  <c r="AK359" i="10"/>
  <c r="AL359" i="10" s="1"/>
  <c r="AM359" i="10"/>
  <c r="AN359" i="10" s="1"/>
  <c r="AO359" i="10"/>
  <c r="AP359" i="10"/>
  <c r="AQ359" i="10"/>
  <c r="AR359" i="10"/>
  <c r="AS359" i="10"/>
  <c r="AT359" i="10"/>
  <c r="AU359" i="10"/>
  <c r="AV359" i="10"/>
  <c r="AW359" i="10"/>
  <c r="T360" i="10"/>
  <c r="W360" i="10"/>
  <c r="X360" i="10" s="1"/>
  <c r="Y360" i="10"/>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T361" i="10"/>
  <c r="W361" i="10"/>
  <c r="X361" i="10" s="1"/>
  <c r="Y361" i="10"/>
  <c r="Z361" i="10"/>
  <c r="AA361" i="10"/>
  <c r="AB361" i="10"/>
  <c r="AC361" i="10"/>
  <c r="AD361" i="10" s="1"/>
  <c r="AE361" i="10"/>
  <c r="AF361" i="10"/>
  <c r="AG361" i="10"/>
  <c r="AH361" i="10" s="1"/>
  <c r="AI361" i="10"/>
  <c r="AJ361" i="10" s="1"/>
  <c r="AK361" i="10"/>
  <c r="AL361" i="10" s="1"/>
  <c r="AM361" i="10"/>
  <c r="AN361" i="10" s="1"/>
  <c r="AO361" i="10"/>
  <c r="AP361" i="10"/>
  <c r="AQ361" i="10"/>
  <c r="AR361" i="10"/>
  <c r="AS361" i="10"/>
  <c r="AT361" i="10"/>
  <c r="AU361" i="10"/>
  <c r="AV361" i="10"/>
  <c r="AW361" i="10"/>
  <c r="T362" i="10"/>
  <c r="W362" i="10"/>
  <c r="X362" i="10" s="1"/>
  <c r="Y362" i="10"/>
  <c r="Z362" i="10"/>
  <c r="AA362" i="10"/>
  <c r="AB362" i="10"/>
  <c r="AC362" i="10"/>
  <c r="AD362" i="10" s="1"/>
  <c r="AE362" i="10"/>
  <c r="AF362" i="10"/>
  <c r="AG362" i="10"/>
  <c r="AH362" i="10" s="1"/>
  <c r="AI362" i="10"/>
  <c r="AJ362" i="10" s="1"/>
  <c r="AK362" i="10"/>
  <c r="AL362" i="10" s="1"/>
  <c r="AM362" i="10"/>
  <c r="AN362" i="10" s="1"/>
  <c r="AO362" i="10"/>
  <c r="AP362" i="10"/>
  <c r="AQ362" i="10"/>
  <c r="AR362" i="10"/>
  <c r="AS362" i="10"/>
  <c r="AT362" i="10"/>
  <c r="AU362" i="10"/>
  <c r="AV362" i="10"/>
  <c r="AW362" i="10"/>
  <c r="T363" i="10"/>
  <c r="W363" i="10"/>
  <c r="X363" i="10"/>
  <c r="Y363" i="10"/>
  <c r="Z363" i="10"/>
  <c r="AA363" i="10"/>
  <c r="AB363" i="10"/>
  <c r="AC363" i="10"/>
  <c r="AD363" i="10" s="1"/>
  <c r="AE363" i="10"/>
  <c r="AF363" i="10"/>
  <c r="AG363" i="10"/>
  <c r="AH363" i="10" s="1"/>
  <c r="AI363" i="10"/>
  <c r="AJ363" i="10" s="1"/>
  <c r="AK363" i="10"/>
  <c r="AL363" i="10" s="1"/>
  <c r="AM363" i="10"/>
  <c r="AN363" i="10" s="1"/>
  <c r="AO363" i="10"/>
  <c r="AP363" i="10"/>
  <c r="AQ363" i="10"/>
  <c r="AR363" i="10"/>
  <c r="AS363" i="10"/>
  <c r="AT363" i="10"/>
  <c r="AU363" i="10"/>
  <c r="AV363" i="10"/>
  <c r="AW363" i="10"/>
  <c r="T364" i="10"/>
  <c r="W364" i="10"/>
  <c r="X364" i="10"/>
  <c r="Y364" i="10"/>
  <c r="Z364" i="10"/>
  <c r="AA364" i="10"/>
  <c r="AB364" i="10"/>
  <c r="AC364" i="10"/>
  <c r="AD364" i="10" s="1"/>
  <c r="AE364" i="10"/>
  <c r="AF364" i="10"/>
  <c r="AG364" i="10"/>
  <c r="AH364" i="10" s="1"/>
  <c r="AI364" i="10"/>
  <c r="AJ364" i="10" s="1"/>
  <c r="AK364" i="10"/>
  <c r="AL364" i="10" s="1"/>
  <c r="AM364" i="10"/>
  <c r="AN364" i="10"/>
  <c r="AO364" i="10"/>
  <c r="AP364" i="10"/>
  <c r="AQ364" i="10"/>
  <c r="AR364" i="10"/>
  <c r="AS364" i="10"/>
  <c r="AT364" i="10"/>
  <c r="AU364" i="10"/>
  <c r="AV364" i="10"/>
  <c r="AW364" i="10"/>
  <c r="T365" i="10"/>
  <c r="W365" i="10"/>
  <c r="X365" i="10" s="1"/>
  <c r="Y365" i="10"/>
  <c r="Z365" i="10"/>
  <c r="AA365" i="10"/>
  <c r="AB365" i="10"/>
  <c r="AC365" i="10"/>
  <c r="AD365" i="10" s="1"/>
  <c r="AE365" i="10"/>
  <c r="AF365" i="10"/>
  <c r="AG365" i="10"/>
  <c r="AH365" i="10" s="1"/>
  <c r="AI365" i="10"/>
  <c r="AJ365" i="10"/>
  <c r="AK365" i="10"/>
  <c r="AL365" i="10" s="1"/>
  <c r="AM365" i="10"/>
  <c r="AN365" i="10"/>
  <c r="AO365" i="10"/>
  <c r="AP365" i="10"/>
  <c r="AQ365" i="10"/>
  <c r="AR365" i="10"/>
  <c r="AS365" i="10"/>
  <c r="AT365" i="10"/>
  <c r="AU365" i="10"/>
  <c r="AV365" i="10"/>
  <c r="AW365" i="10"/>
  <c r="T366" i="10"/>
  <c r="W366" i="10"/>
  <c r="X366" i="10"/>
  <c r="Y366" i="10"/>
  <c r="Z366" i="10"/>
  <c r="AA366" i="10"/>
  <c r="AB366" i="10"/>
  <c r="AC366" i="10"/>
  <c r="AD366" i="10" s="1"/>
  <c r="AE366" i="10"/>
  <c r="AF366" i="10"/>
  <c r="AG366" i="10"/>
  <c r="AH366" i="10"/>
  <c r="AI366" i="10"/>
  <c r="AJ366" i="10" s="1"/>
  <c r="AK366" i="10"/>
  <c r="AL366" i="10" s="1"/>
  <c r="AM366" i="10"/>
  <c r="AN366" i="10"/>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s="1"/>
  <c r="AK367" i="10"/>
  <c r="AL367" i="10" s="1"/>
  <c r="AM367" i="10"/>
  <c r="AN367" i="10"/>
  <c r="AO367" i="10"/>
  <c r="AP367" i="10"/>
  <c r="AQ367" i="10"/>
  <c r="AR367" i="10"/>
  <c r="AS367" i="10"/>
  <c r="AT367" i="10"/>
  <c r="AU367" i="10"/>
  <c r="AV367" i="10"/>
  <c r="AW367" i="10"/>
  <c r="T368" i="10"/>
  <c r="W368" i="10"/>
  <c r="X368" i="10" s="1"/>
  <c r="Y368" i="10"/>
  <c r="Z368" i="10"/>
  <c r="AA368" i="10"/>
  <c r="AB368" i="10"/>
  <c r="AC368" i="10"/>
  <c r="AD368" i="10" s="1"/>
  <c r="AE368" i="10"/>
  <c r="AF368" i="10"/>
  <c r="AG368" i="10"/>
  <c r="AH368" i="10" s="1"/>
  <c r="AI368" i="10"/>
  <c r="AJ368" i="10"/>
  <c r="AK368" i="10"/>
  <c r="AL368" i="10"/>
  <c r="AM368" i="10"/>
  <c r="AN368" i="10" s="1"/>
  <c r="AO368" i="10"/>
  <c r="AP368" i="10"/>
  <c r="AQ368" i="10"/>
  <c r="AR368" i="10"/>
  <c r="AS368" i="10"/>
  <c r="AT368" i="10"/>
  <c r="AU368" i="10"/>
  <c r="AV368" i="10"/>
  <c r="AW368" i="10"/>
  <c r="T369" i="10"/>
  <c r="W369" i="10"/>
  <c r="X369" i="10" s="1"/>
  <c r="Y369" i="10"/>
  <c r="Z369" i="10"/>
  <c r="AA369" i="10"/>
  <c r="AB369" i="10"/>
  <c r="AC369" i="10"/>
  <c r="AD369" i="10"/>
  <c r="AE369" i="10"/>
  <c r="AF369" i="10"/>
  <c r="AG369" i="10"/>
  <c r="AH369" i="10" s="1"/>
  <c r="AI369" i="10"/>
  <c r="AJ369" i="10" s="1"/>
  <c r="AK369" i="10"/>
  <c r="AL369" i="10"/>
  <c r="AM369" i="10"/>
  <c r="AN369" i="10" s="1"/>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c r="AI370" i="10"/>
  <c r="AJ370" i="10" s="1"/>
  <c r="AK370" i="10"/>
  <c r="AL370" i="10" s="1"/>
  <c r="AM370" i="10"/>
  <c r="AN370" i="10" s="1"/>
  <c r="AO370" i="10"/>
  <c r="AP370" i="10"/>
  <c r="AQ370" i="10"/>
  <c r="AR370" i="10"/>
  <c r="AS370" i="10"/>
  <c r="AT370" i="10"/>
  <c r="AU370" i="10"/>
  <c r="AV370" i="10"/>
  <c r="AW370" i="10"/>
  <c r="T371" i="10"/>
  <c r="W371" i="10"/>
  <c r="X371" i="10" s="1"/>
  <c r="Y371" i="10"/>
  <c r="Z371" i="10"/>
  <c r="AA371" i="10"/>
  <c r="AB371" i="10"/>
  <c r="AC371" i="10"/>
  <c r="AD371" i="10" s="1"/>
  <c r="AE371" i="10"/>
  <c r="AF371" i="10"/>
  <c r="AG371" i="10"/>
  <c r="AH371" i="10" s="1"/>
  <c r="AI371" i="10"/>
  <c r="AJ371" i="10"/>
  <c r="AK371" i="10"/>
  <c r="AL371" i="10" s="1"/>
  <c r="AM371" i="10"/>
  <c r="AN371" i="10" s="1"/>
  <c r="AO371" i="10"/>
  <c r="AP371" i="10"/>
  <c r="AQ371" i="10"/>
  <c r="AR371" i="10"/>
  <c r="AS371" i="10"/>
  <c r="AT371" i="10"/>
  <c r="AU371" i="10"/>
  <c r="AV371" i="10"/>
  <c r="AW371" i="10"/>
  <c r="T372" i="10"/>
  <c r="W372" i="10"/>
  <c r="X372" i="10" s="1"/>
  <c r="Y372" i="10"/>
  <c r="Z372" i="10"/>
  <c r="AA372" i="10"/>
  <c r="AB372" i="10"/>
  <c r="AC372" i="10"/>
  <c r="AD372" i="10" s="1"/>
  <c r="AE372" i="10"/>
  <c r="AF372" i="10"/>
  <c r="AG372" i="10"/>
  <c r="AH372" i="10" s="1"/>
  <c r="AI372" i="10"/>
  <c r="AJ372" i="10"/>
  <c r="AK372" i="10"/>
  <c r="AL372" i="10" s="1"/>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s="1"/>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s="1"/>
  <c r="AI374" i="10"/>
  <c r="AJ374" i="10" s="1"/>
  <c r="AK374" i="10"/>
  <c r="AL374" i="10"/>
  <c r="AM374" i="10"/>
  <c r="AN374" i="10"/>
  <c r="AO374" i="10"/>
  <c r="AP374" i="10"/>
  <c r="AQ374" i="10"/>
  <c r="AR374" i="10"/>
  <c r="AS374" i="10"/>
  <c r="AT374" i="10"/>
  <c r="AU374" i="10"/>
  <c r="AV374" i="10"/>
  <c r="AW374" i="10"/>
  <c r="T375" i="10"/>
  <c r="W375" i="10"/>
  <c r="X375" i="10" s="1"/>
  <c r="Y375" i="10"/>
  <c r="Z375" i="10"/>
  <c r="AA375" i="10"/>
  <c r="AB375" i="10"/>
  <c r="AC375" i="10"/>
  <c r="AD375" i="10" s="1"/>
  <c r="AE375" i="10"/>
  <c r="AF375" i="10"/>
  <c r="AG375" i="10"/>
  <c r="AH375" i="10" s="1"/>
  <c r="AI375" i="10"/>
  <c r="AJ375" i="10" s="1"/>
  <c r="AK375" i="10"/>
  <c r="AL375" i="10" s="1"/>
  <c r="AM375" i="10"/>
  <c r="AN375" i="10" s="1"/>
  <c r="AO375" i="10"/>
  <c r="AP375" i="10"/>
  <c r="AQ375" i="10"/>
  <c r="AR375" i="10"/>
  <c r="AS375" i="10"/>
  <c r="AT375" i="10"/>
  <c r="AU375" i="10"/>
  <c r="AV375" i="10"/>
  <c r="AW375" i="10"/>
  <c r="T376" i="10"/>
  <c r="W376" i="10"/>
  <c r="X376" i="10" s="1"/>
  <c r="Y376" i="10"/>
  <c r="Z376" i="10"/>
  <c r="AA376" i="10"/>
  <c r="AB376" i="10"/>
  <c r="AC376" i="10"/>
  <c r="AD376" i="10" s="1"/>
  <c r="AE376" i="10"/>
  <c r="AF376" i="10"/>
  <c r="AG376" i="10"/>
  <c r="AH376" i="10" s="1"/>
  <c r="AI376" i="10"/>
  <c r="AJ376" i="10" s="1"/>
  <c r="AK376" i="10"/>
  <c r="AL376" i="10" s="1"/>
  <c r="AM376" i="10"/>
  <c r="AN376" i="10" s="1"/>
  <c r="AO376" i="10"/>
  <c r="AP376" i="10"/>
  <c r="AQ376" i="10"/>
  <c r="AR376" i="10"/>
  <c r="AS376" i="10"/>
  <c r="AT376" i="10"/>
  <c r="AU376" i="10"/>
  <c r="AV376" i="10"/>
  <c r="AW376" i="10"/>
  <c r="T377" i="10"/>
  <c r="W377" i="10"/>
  <c r="X377" i="10" s="1"/>
  <c r="Y377" i="10"/>
  <c r="Z377" i="10"/>
  <c r="AA377" i="10"/>
  <c r="AB377" i="10"/>
  <c r="AC377" i="10"/>
  <c r="AD377" i="10" s="1"/>
  <c r="AE377" i="10"/>
  <c r="AF377" i="10"/>
  <c r="AG377" i="10"/>
  <c r="AH377" i="10" s="1"/>
  <c r="AI377" i="10"/>
  <c r="AJ377" i="10" s="1"/>
  <c r="AK377" i="10"/>
  <c r="AL377" i="10" s="1"/>
  <c r="AM377" i="10"/>
  <c r="AN377" i="10" s="1"/>
  <c r="AO377" i="10"/>
  <c r="AP377" i="10"/>
  <c r="AQ377" i="10"/>
  <c r="AR377" i="10"/>
  <c r="AS377" i="10"/>
  <c r="AT377" i="10"/>
  <c r="AU377" i="10"/>
  <c r="AV377" i="10"/>
  <c r="AW377" i="10"/>
  <c r="T378" i="10"/>
  <c r="W378" i="10"/>
  <c r="X378" i="10"/>
  <c r="U378" i="10" s="1"/>
  <c r="Y378" i="10"/>
  <c r="Z378" i="10"/>
  <c r="AA378" i="10"/>
  <c r="AB378" i="10"/>
  <c r="AC378" i="10"/>
  <c r="AD378" i="10" s="1"/>
  <c r="AE378" i="10"/>
  <c r="AF378" i="10"/>
  <c r="AG378" i="10"/>
  <c r="AH378" i="10" s="1"/>
  <c r="AI378" i="10"/>
  <c r="AJ378" i="10" s="1"/>
  <c r="AK378" i="10"/>
  <c r="AL378" i="10" s="1"/>
  <c r="AM378" i="10"/>
  <c r="AN378" i="10"/>
  <c r="AO378" i="10"/>
  <c r="AP378" i="10"/>
  <c r="AQ378" i="10"/>
  <c r="AR378" i="10"/>
  <c r="AS378" i="10"/>
  <c r="AT378" i="10"/>
  <c r="AU378" i="10"/>
  <c r="AV378" i="10"/>
  <c r="AW378" i="10"/>
  <c r="T379" i="10"/>
  <c r="W379" i="10"/>
  <c r="X379" i="10" s="1"/>
  <c r="Y379" i="10"/>
  <c r="Z379" i="10"/>
  <c r="AA379" i="10"/>
  <c r="AB379" i="10"/>
  <c r="AC379" i="10"/>
  <c r="AD379" i="10" s="1"/>
  <c r="AE379" i="10"/>
  <c r="AF379" i="10"/>
  <c r="AG379" i="10"/>
  <c r="AH379" i="10" s="1"/>
  <c r="AI379" i="10"/>
  <c r="AJ379" i="10" s="1"/>
  <c r="AK379" i="10"/>
  <c r="AL379" i="10" s="1"/>
  <c r="AM379" i="10"/>
  <c r="AN379" i="10" s="1"/>
  <c r="AO379" i="10"/>
  <c r="AP379" i="10"/>
  <c r="AQ379" i="10"/>
  <c r="AR379" i="10"/>
  <c r="AS379" i="10"/>
  <c r="AT379" i="10"/>
  <c r="AU379" i="10"/>
  <c r="AV379" i="10"/>
  <c r="AW379" i="10"/>
  <c r="T380" i="10"/>
  <c r="W380" i="10"/>
  <c r="X380" i="10"/>
  <c r="Y380" i="10"/>
  <c r="Z380" i="10"/>
  <c r="AA380" i="10"/>
  <c r="AB380" i="10"/>
  <c r="AC380" i="10"/>
  <c r="AD380" i="10" s="1"/>
  <c r="AE380" i="10"/>
  <c r="AF380" i="10"/>
  <c r="AG380" i="10"/>
  <c r="AH380" i="10"/>
  <c r="AI380" i="10"/>
  <c r="AJ380" i="10" s="1"/>
  <c r="AK380" i="10"/>
  <c r="AL380" i="10" s="1"/>
  <c r="AM380" i="10"/>
  <c r="AN380" i="10" s="1"/>
  <c r="AO380" i="10"/>
  <c r="AP380" i="10"/>
  <c r="AQ380" i="10"/>
  <c r="AR380" i="10"/>
  <c r="AS380" i="10"/>
  <c r="AT380" i="10"/>
  <c r="AU380" i="10"/>
  <c r="AV380" i="10"/>
  <c r="AW380" i="10"/>
  <c r="T381" i="10"/>
  <c r="W381" i="10"/>
  <c r="X381" i="10" s="1"/>
  <c r="Y381" i="10"/>
  <c r="Z381" i="10"/>
  <c r="AA381" i="10"/>
  <c r="AB381" i="10"/>
  <c r="AC381" i="10"/>
  <c r="AD381" i="10" s="1"/>
  <c r="AE381" i="10"/>
  <c r="AF381" i="10"/>
  <c r="AG381" i="10"/>
  <c r="AH381" i="10" s="1"/>
  <c r="AI381" i="10"/>
  <c r="AJ381" i="10" s="1"/>
  <c r="AK381" i="10"/>
  <c r="AL381" i="10" s="1"/>
  <c r="AM381" i="10"/>
  <c r="AN381" i="10" s="1"/>
  <c r="AO381" i="10"/>
  <c r="AP381" i="10"/>
  <c r="AQ381" i="10"/>
  <c r="AR381" i="10"/>
  <c r="AS381" i="10"/>
  <c r="AT381" i="10"/>
  <c r="AU381" i="10"/>
  <c r="AV381" i="10"/>
  <c r="AW381" i="10"/>
  <c r="T382" i="10"/>
  <c r="W382" i="10"/>
  <c r="X382" i="10"/>
  <c r="Y382" i="10"/>
  <c r="Z382" i="10"/>
  <c r="AA382" i="10"/>
  <c r="AB382" i="10"/>
  <c r="AC382" i="10"/>
  <c r="AD382" i="10" s="1"/>
  <c r="AE382" i="10"/>
  <c r="AF382" i="10"/>
  <c r="AG382" i="10"/>
  <c r="AH382" i="10" s="1"/>
  <c r="AI382" i="10"/>
  <c r="AJ382" i="10" s="1"/>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s="1"/>
  <c r="AE383" i="10"/>
  <c r="AF383" i="10"/>
  <c r="AG383" i="10"/>
  <c r="AH383" i="10" s="1"/>
  <c r="AI383" i="10"/>
  <c r="AJ383" i="10" s="1"/>
  <c r="AK383" i="10"/>
  <c r="AL383" i="10" s="1"/>
  <c r="AM383" i="10"/>
  <c r="AN383" i="10" s="1"/>
  <c r="AO383" i="10"/>
  <c r="AP383" i="10"/>
  <c r="AQ383" i="10"/>
  <c r="AR383" i="10"/>
  <c r="AS383" i="10"/>
  <c r="AT383" i="10"/>
  <c r="AU383" i="10"/>
  <c r="AV383" i="10"/>
  <c r="AW383" i="10"/>
  <c r="T384" i="10"/>
  <c r="W384" i="10"/>
  <c r="X384" i="10" s="1"/>
  <c r="Y384" i="10"/>
  <c r="Z384" i="10"/>
  <c r="AA384" i="10"/>
  <c r="AB384" i="10"/>
  <c r="AC384" i="10"/>
  <c r="AD384" i="10" s="1"/>
  <c r="AE384" i="10"/>
  <c r="AF384" i="10"/>
  <c r="AG384" i="10"/>
  <c r="AH384" i="10" s="1"/>
  <c r="AI384" i="10"/>
  <c r="AJ384" i="10" s="1"/>
  <c r="AK384" i="10"/>
  <c r="AL384" i="10" s="1"/>
  <c r="AM384" i="10"/>
  <c r="AN384" i="10" s="1"/>
  <c r="AO384" i="10"/>
  <c r="AP384" i="10"/>
  <c r="AQ384" i="10"/>
  <c r="AR384" i="10"/>
  <c r="AS384" i="10"/>
  <c r="AT384" i="10"/>
  <c r="AU384" i="10"/>
  <c r="AV384" i="10"/>
  <c r="AW384" i="10"/>
  <c r="T385" i="10"/>
  <c r="W385" i="10"/>
  <c r="X385" i="10" s="1"/>
  <c r="Y385" i="10"/>
  <c r="Z385" i="10"/>
  <c r="AA385" i="10"/>
  <c r="AB385" i="10"/>
  <c r="AC385" i="10"/>
  <c r="AD385" i="10"/>
  <c r="AE385" i="10"/>
  <c r="AF385" i="10"/>
  <c r="AG385" i="10"/>
  <c r="AH385" i="10" s="1"/>
  <c r="AI385" i="10"/>
  <c r="AJ385" i="10" s="1"/>
  <c r="AK385" i="10"/>
  <c r="AL385" i="10"/>
  <c r="AM385" i="10"/>
  <c r="AN385" i="10" s="1"/>
  <c r="AO385" i="10"/>
  <c r="AP385" i="10"/>
  <c r="AQ385" i="10"/>
  <c r="AR385" i="10"/>
  <c r="AS385" i="10"/>
  <c r="AT385" i="10"/>
  <c r="AU385" i="10"/>
  <c r="AV385" i="10"/>
  <c r="AW385" i="10"/>
  <c r="T386" i="10"/>
  <c r="W386" i="10"/>
  <c r="X386" i="10"/>
  <c r="Y386" i="10"/>
  <c r="Z386" i="10"/>
  <c r="AA386" i="10"/>
  <c r="AB386" i="10"/>
  <c r="AC386" i="10"/>
  <c r="AD386" i="10" s="1"/>
  <c r="AE386" i="10"/>
  <c r="AF386" i="10"/>
  <c r="AG386" i="10"/>
  <c r="AH386" i="10" s="1"/>
  <c r="AI386" i="10"/>
  <c r="AJ386" i="10" s="1"/>
  <c r="AK386" i="10"/>
  <c r="AL386" i="10" s="1"/>
  <c r="AM386" i="10"/>
  <c r="AN386" i="10" s="1"/>
  <c r="AO386" i="10"/>
  <c r="AP386" i="10"/>
  <c r="AQ386" i="10"/>
  <c r="AR386" i="10"/>
  <c r="AS386" i="10"/>
  <c r="AT386" i="10"/>
  <c r="AU386" i="10"/>
  <c r="AV386" i="10"/>
  <c r="AW386" i="10"/>
  <c r="T387" i="10"/>
  <c r="W387" i="10"/>
  <c r="X387" i="10" s="1"/>
  <c r="Y387" i="10"/>
  <c r="Z387" i="10"/>
  <c r="AA387" i="10"/>
  <c r="AB387" i="10"/>
  <c r="AC387" i="10"/>
  <c r="AD387" i="10" s="1"/>
  <c r="AE387" i="10"/>
  <c r="AF387" i="10"/>
  <c r="AG387" i="10"/>
  <c r="AH387" i="10" s="1"/>
  <c r="AI387" i="10"/>
  <c r="AJ387" i="10" s="1"/>
  <c r="AK387" i="10"/>
  <c r="AL387" i="10" s="1"/>
  <c r="AM387" i="10"/>
  <c r="AN387" i="10" s="1"/>
  <c r="AO387" i="10"/>
  <c r="AP387" i="10"/>
  <c r="AQ387" i="10"/>
  <c r="AR387" i="10"/>
  <c r="AS387" i="10"/>
  <c r="AT387" i="10"/>
  <c r="AU387" i="10"/>
  <c r="AV387" i="10"/>
  <c r="AW387" i="10"/>
  <c r="T388" i="10"/>
  <c r="W388" i="10"/>
  <c r="X388" i="10" s="1"/>
  <c r="Y388" i="10"/>
  <c r="Z388" i="10"/>
  <c r="AA388" i="10"/>
  <c r="AB388" i="10"/>
  <c r="AC388" i="10"/>
  <c r="AD388" i="10" s="1"/>
  <c r="AE388" i="10"/>
  <c r="AF388" i="10"/>
  <c r="AG388" i="10"/>
  <c r="AH388" i="10"/>
  <c r="AI388" i="10"/>
  <c r="AJ388" i="10" s="1"/>
  <c r="AK388" i="10"/>
  <c r="AL388" i="10" s="1"/>
  <c r="AM388" i="10"/>
  <c r="AN388" i="10" s="1"/>
  <c r="AO388" i="10"/>
  <c r="AP388" i="10"/>
  <c r="AQ388" i="10"/>
  <c r="AR388" i="10"/>
  <c r="AS388" i="10"/>
  <c r="AT388" i="10"/>
  <c r="AU388" i="10"/>
  <c r="AV388" i="10"/>
  <c r="AW388" i="10"/>
  <c r="T389" i="10"/>
  <c r="W389" i="10"/>
  <c r="X389" i="10" s="1"/>
  <c r="Y389" i="10"/>
  <c r="Z389" i="10"/>
  <c r="AA389" i="10"/>
  <c r="AB389" i="10"/>
  <c r="AC389" i="10"/>
  <c r="AD389" i="10" s="1"/>
  <c r="AE389" i="10"/>
  <c r="AF389" i="10"/>
  <c r="AG389" i="10"/>
  <c r="AH389" i="10" s="1"/>
  <c r="AI389" i="10"/>
  <c r="AJ389" i="10" s="1"/>
  <c r="AK389" i="10"/>
  <c r="AL389" i="10" s="1"/>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s="1"/>
  <c r="AI390" i="10"/>
  <c r="AJ390" i="10" s="1"/>
  <c r="AK390" i="10"/>
  <c r="AL390" i="10" s="1"/>
  <c r="AM390" i="10"/>
  <c r="AN390" i="10" s="1"/>
  <c r="AO390" i="10"/>
  <c r="AP390" i="10"/>
  <c r="AQ390" i="10"/>
  <c r="AR390" i="10"/>
  <c r="AS390" i="10"/>
  <c r="AT390" i="10"/>
  <c r="AU390" i="10"/>
  <c r="AV390" i="10"/>
  <c r="AW390" i="10"/>
  <c r="T391" i="10"/>
  <c r="W391" i="10"/>
  <c r="X391" i="10" s="1"/>
  <c r="Y391" i="10"/>
  <c r="Z391" i="10"/>
  <c r="AA391" i="10"/>
  <c r="AB391" i="10"/>
  <c r="AC391" i="10"/>
  <c r="AD391" i="10" s="1"/>
  <c r="AE391" i="10"/>
  <c r="AF391" i="10"/>
  <c r="AG391" i="10"/>
  <c r="AH391" i="10" s="1"/>
  <c r="AI391" i="10"/>
  <c r="AJ391" i="10" s="1"/>
  <c r="AK391" i="10"/>
  <c r="AL391" i="10" s="1"/>
  <c r="AM391" i="10"/>
  <c r="AN391" i="10" s="1"/>
  <c r="AO391" i="10"/>
  <c r="AP391" i="10"/>
  <c r="AQ391" i="10"/>
  <c r="AR391" i="10"/>
  <c r="AS391" i="10"/>
  <c r="AT391" i="10"/>
  <c r="AU391" i="10"/>
  <c r="AV391" i="10"/>
  <c r="AW391" i="10"/>
  <c r="T392" i="10"/>
  <c r="W392" i="10"/>
  <c r="X392" i="10" s="1"/>
  <c r="Y392" i="10"/>
  <c r="Z392" i="10"/>
  <c r="AA392" i="10"/>
  <c r="AB392" i="10"/>
  <c r="AC392" i="10"/>
  <c r="AD392" i="10" s="1"/>
  <c r="AE392" i="10"/>
  <c r="AF392" i="10"/>
  <c r="AG392" i="10"/>
  <c r="AH392" i="10" s="1"/>
  <c r="AI392" i="10"/>
  <c r="AJ392" i="10" s="1"/>
  <c r="AK392" i="10"/>
  <c r="AL392" i="10" s="1"/>
  <c r="AM392" i="10"/>
  <c r="AN392" i="10" s="1"/>
  <c r="AO392" i="10"/>
  <c r="AP392" i="10"/>
  <c r="AQ392" i="10"/>
  <c r="AR392" i="10"/>
  <c r="AS392" i="10"/>
  <c r="AT392" i="10"/>
  <c r="AU392" i="10"/>
  <c r="AV392" i="10"/>
  <c r="AW392" i="10"/>
  <c r="T393" i="10"/>
  <c r="W393" i="10"/>
  <c r="X393" i="10" s="1"/>
  <c r="Y393" i="10"/>
  <c r="Z393" i="10"/>
  <c r="AA393" i="10"/>
  <c r="AB393" i="10"/>
  <c r="AC393" i="10"/>
  <c r="AD393" i="10" s="1"/>
  <c r="AE393" i="10"/>
  <c r="AF393" i="10"/>
  <c r="AG393" i="10"/>
  <c r="AH393" i="10" s="1"/>
  <c r="AI393" i="10"/>
  <c r="AJ393" i="10" s="1"/>
  <c r="AK393" i="10"/>
  <c r="AL393" i="10" s="1"/>
  <c r="AM393" i="10"/>
  <c r="AN393" i="10" s="1"/>
  <c r="AO393" i="10"/>
  <c r="AP393" i="10"/>
  <c r="AQ393" i="10"/>
  <c r="AR393" i="10"/>
  <c r="AS393" i="10"/>
  <c r="AT393" i="10"/>
  <c r="AU393" i="10"/>
  <c r="AV393" i="10"/>
  <c r="AW393" i="10"/>
  <c r="T394" i="10"/>
  <c r="W394" i="10"/>
  <c r="X394" i="10" s="1"/>
  <c r="U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W395" i="10"/>
  <c r="X395" i="10" s="1"/>
  <c r="Y395" i="10"/>
  <c r="Z395" i="10"/>
  <c r="AA395" i="10"/>
  <c r="AB395" i="10"/>
  <c r="AC395" i="10"/>
  <c r="AD395" i="10" s="1"/>
  <c r="AE395" i="10"/>
  <c r="AF395" i="10"/>
  <c r="AG395" i="10"/>
  <c r="AH395" i="10" s="1"/>
  <c r="AI395" i="10"/>
  <c r="AJ395" i="10"/>
  <c r="AK395" i="10"/>
  <c r="AL395" i="10" s="1"/>
  <c r="AM395" i="10"/>
  <c r="AN395" i="10" s="1"/>
  <c r="AO395" i="10"/>
  <c r="AP395" i="10"/>
  <c r="AQ395" i="10"/>
  <c r="AR395" i="10"/>
  <c r="AS395" i="10"/>
  <c r="AT395" i="10"/>
  <c r="AU395" i="10"/>
  <c r="AV395" i="10"/>
  <c r="AW395" i="10"/>
  <c r="T396" i="10"/>
  <c r="W396" i="10"/>
  <c r="X396" i="10" s="1"/>
  <c r="Y396" i="10"/>
  <c r="Z396" i="10"/>
  <c r="AA396" i="10"/>
  <c r="AB396" i="10"/>
  <c r="AC396" i="10"/>
  <c r="AD396" i="10" s="1"/>
  <c r="AE396" i="10"/>
  <c r="AF396" i="10"/>
  <c r="AG396" i="10"/>
  <c r="AH396" i="10" s="1"/>
  <c r="AI396" i="10"/>
  <c r="AJ396" i="10" s="1"/>
  <c r="AK396" i="10"/>
  <c r="AL396" i="10" s="1"/>
  <c r="AM396" i="10"/>
  <c r="AN396" i="10" s="1"/>
  <c r="AO396" i="10"/>
  <c r="AP396" i="10"/>
  <c r="AQ396" i="10"/>
  <c r="AR396" i="10"/>
  <c r="AS396" i="10"/>
  <c r="AT396" i="10"/>
  <c r="AU396" i="10"/>
  <c r="AV396" i="10"/>
  <c r="AW396" i="10"/>
  <c r="T397" i="10"/>
  <c r="W397" i="10"/>
  <c r="X397" i="10" s="1"/>
  <c r="Y397" i="10"/>
  <c r="Z397" i="10"/>
  <c r="AA397" i="10"/>
  <c r="AB397" i="10"/>
  <c r="AC397" i="10"/>
  <c r="AD397" i="10" s="1"/>
  <c r="AE397" i="10"/>
  <c r="AF397" i="10"/>
  <c r="AG397" i="10"/>
  <c r="AH397" i="10" s="1"/>
  <c r="AI397" i="10"/>
  <c r="AJ397" i="10" s="1"/>
  <c r="AK397" i="10"/>
  <c r="AL397" i="10"/>
  <c r="AM397" i="10"/>
  <c r="AN397" i="10" s="1"/>
  <c r="AO397" i="10"/>
  <c r="AP397" i="10"/>
  <c r="AQ397" i="10"/>
  <c r="AR397" i="10"/>
  <c r="AS397" i="10"/>
  <c r="AT397" i="10"/>
  <c r="AU397" i="10"/>
  <c r="AV397" i="10"/>
  <c r="AW397" i="10"/>
  <c r="T398" i="10"/>
  <c r="W398" i="10"/>
  <c r="X398" i="10" s="1"/>
  <c r="Y398" i="10"/>
  <c r="Z398" i="10"/>
  <c r="AA398" i="10"/>
  <c r="AB398" i="10"/>
  <c r="AC398" i="10"/>
  <c r="AD398" i="10" s="1"/>
  <c r="AE398" i="10"/>
  <c r="AF398" i="10"/>
  <c r="AG398" i="10"/>
  <c r="AH398" i="10" s="1"/>
  <c r="AI398" i="10"/>
  <c r="AJ398" i="10" s="1"/>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c r="AG399" i="10"/>
  <c r="AH399" i="10" s="1"/>
  <c r="AI399" i="10"/>
  <c r="AJ399" i="10" s="1"/>
  <c r="AK399" i="10"/>
  <c r="AL399" i="10" s="1"/>
  <c r="AM399" i="10"/>
  <c r="AN399" i="10"/>
  <c r="AO399" i="10"/>
  <c r="AP399" i="10"/>
  <c r="AQ399" i="10"/>
  <c r="AR399" i="10"/>
  <c r="AS399" i="10"/>
  <c r="AT399" i="10"/>
  <c r="AU399" i="10"/>
  <c r="AV399" i="10"/>
  <c r="AW399" i="10"/>
  <c r="T400" i="10"/>
  <c r="W400" i="10"/>
  <c r="X400" i="10" s="1"/>
  <c r="Y400" i="10"/>
  <c r="Z400" i="10"/>
  <c r="AA400" i="10"/>
  <c r="AB400" i="10"/>
  <c r="AC400" i="10"/>
  <c r="AD400" i="10" s="1"/>
  <c r="AE400" i="10"/>
  <c r="AF400" i="10"/>
  <c r="AG400" i="10"/>
  <c r="AH400" i="10" s="1"/>
  <c r="AI400" i="10"/>
  <c r="AJ400" i="10"/>
  <c r="AK400" i="10"/>
  <c r="AL400" i="10" s="1"/>
  <c r="AM400" i="10"/>
  <c r="AN400" i="10" s="1"/>
  <c r="AO400" i="10"/>
  <c r="AP400" i="10"/>
  <c r="AQ400" i="10"/>
  <c r="AR400" i="10"/>
  <c r="AS400" i="10"/>
  <c r="AT400" i="10"/>
  <c r="AU400" i="10"/>
  <c r="AV400" i="10"/>
  <c r="AW400" i="10"/>
  <c r="T401" i="10"/>
  <c r="W401" i="10"/>
  <c r="X401" i="10" s="1"/>
  <c r="Y401" i="10"/>
  <c r="Z401" i="10"/>
  <c r="AA401" i="10"/>
  <c r="AB401" i="10"/>
  <c r="AC401" i="10"/>
  <c r="AD401" i="10" s="1"/>
  <c r="AE401" i="10"/>
  <c r="AF401" i="10"/>
  <c r="AG401" i="10"/>
  <c r="AH401" i="10" s="1"/>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T403" i="10"/>
  <c r="W403" i="10"/>
  <c r="X403" i="10" s="1"/>
  <c r="Y403" i="10"/>
  <c r="Z403" i="10"/>
  <c r="AA403" i="10"/>
  <c r="AB403" i="10"/>
  <c r="AC403" i="10"/>
  <c r="AD403" i="10" s="1"/>
  <c r="AE403" i="10"/>
  <c r="AF403" i="10"/>
  <c r="AG403" i="10"/>
  <c r="AH403" i="10" s="1"/>
  <c r="AI403" i="10"/>
  <c r="AJ403" i="10" s="1"/>
  <c r="AK403" i="10"/>
  <c r="AL403" i="10" s="1"/>
  <c r="AM403" i="10"/>
  <c r="AN403" i="10"/>
  <c r="AO403" i="10"/>
  <c r="AP403" i="10"/>
  <c r="AQ403" i="10"/>
  <c r="AR403" i="10"/>
  <c r="AS403" i="10"/>
  <c r="AT403" i="10"/>
  <c r="AU403" i="10"/>
  <c r="AV403" i="10"/>
  <c r="AW403" i="10"/>
  <c r="T404" i="10"/>
  <c r="W404" i="10"/>
  <c r="X404" i="10" s="1"/>
  <c r="Y404" i="10"/>
  <c r="Z404" i="10"/>
  <c r="AA404" i="10"/>
  <c r="AB404" i="10"/>
  <c r="AC404" i="10"/>
  <c r="AD404" i="10" s="1"/>
  <c r="AE404" i="10"/>
  <c r="AF404" i="10"/>
  <c r="AG404" i="10"/>
  <c r="AH404" i="10" s="1"/>
  <c r="AI404" i="10"/>
  <c r="AJ404" i="10" s="1"/>
  <c r="AK404" i="10"/>
  <c r="AL404" i="10" s="1"/>
  <c r="AM404" i="10"/>
  <c r="AN404" i="10" s="1"/>
  <c r="AO404" i="10"/>
  <c r="AP404" i="10"/>
  <c r="AQ404" i="10"/>
  <c r="AR404" i="10"/>
  <c r="AS404" i="10"/>
  <c r="AT404" i="10"/>
  <c r="AU404" i="10"/>
  <c r="AV404" i="10"/>
  <c r="AW404" i="10"/>
  <c r="U404" i="10" s="1"/>
  <c r="T405" i="10"/>
  <c r="W405" i="10"/>
  <c r="X405" i="10" s="1"/>
  <c r="Y405" i="10"/>
  <c r="Z405" i="10"/>
  <c r="AA405" i="10"/>
  <c r="AB405" i="10"/>
  <c r="AC405" i="10"/>
  <c r="AD405" i="10" s="1"/>
  <c r="AE405" i="10"/>
  <c r="AF405" i="10"/>
  <c r="AG405" i="10"/>
  <c r="AH405" i="10" s="1"/>
  <c r="AI405" i="10"/>
  <c r="AJ405" i="10" s="1"/>
  <c r="AK405" i="10"/>
  <c r="AL405" i="10" s="1"/>
  <c r="AM405" i="10"/>
  <c r="AN405" i="10" s="1"/>
  <c r="AO405" i="10"/>
  <c r="AP405" i="10"/>
  <c r="AQ405" i="10"/>
  <c r="AR405" i="10"/>
  <c r="AS405" i="10"/>
  <c r="AT405" i="10"/>
  <c r="AU405" i="10"/>
  <c r="AV405" i="10"/>
  <c r="AW405" i="10"/>
  <c r="T406" i="10"/>
  <c r="W406" i="10"/>
  <c r="X406" i="10" s="1"/>
  <c r="Y406" i="10"/>
  <c r="Z406" i="10"/>
  <c r="AA406" i="10"/>
  <c r="AB406" i="10"/>
  <c r="AC406" i="10"/>
  <c r="AD406" i="10" s="1"/>
  <c r="AE406" i="10"/>
  <c r="AF406" i="10"/>
  <c r="AG406" i="10"/>
  <c r="AH406" i="10" s="1"/>
  <c r="AI406" i="10"/>
  <c r="AJ406" i="10" s="1"/>
  <c r="AK406" i="10"/>
  <c r="AL406" i="10" s="1"/>
  <c r="AM406" i="10"/>
  <c r="AN406" i="10" s="1"/>
  <c r="AO406" i="10"/>
  <c r="AP406" i="10"/>
  <c r="AQ406" i="10"/>
  <c r="AR406" i="10"/>
  <c r="AS406" i="10"/>
  <c r="AT406" i="10"/>
  <c r="AU406" i="10"/>
  <c r="AV406" i="10"/>
  <c r="AW406" i="10"/>
  <c r="T407" i="10"/>
  <c r="W407" i="10"/>
  <c r="X407" i="10" s="1"/>
  <c r="Y407" i="10"/>
  <c r="Z407" i="10"/>
  <c r="AA407" i="10"/>
  <c r="AB407" i="10"/>
  <c r="AC407" i="10"/>
  <c r="AD407" i="10" s="1"/>
  <c r="AE407" i="10"/>
  <c r="AF407" i="10"/>
  <c r="AG407" i="10"/>
  <c r="AH407" i="10" s="1"/>
  <c r="AI407" i="10"/>
  <c r="AJ407" i="10" s="1"/>
  <c r="AK407" i="10"/>
  <c r="AL407" i="10" s="1"/>
  <c r="AM407" i="10"/>
  <c r="AN407" i="10" s="1"/>
  <c r="AO407" i="10"/>
  <c r="AP407" i="10"/>
  <c r="AQ407" i="10"/>
  <c r="AR407" i="10"/>
  <c r="AS407" i="10"/>
  <c r="AT407" i="10"/>
  <c r="AU407" i="10"/>
  <c r="AV407" i="10"/>
  <c r="AW407" i="10"/>
  <c r="T408" i="10"/>
  <c r="W408" i="10"/>
  <c r="X408" i="10" s="1"/>
  <c r="Y408" i="10"/>
  <c r="Z408" i="10"/>
  <c r="AA408" i="10"/>
  <c r="AB408" i="10"/>
  <c r="AC408" i="10"/>
  <c r="AD408" i="10" s="1"/>
  <c r="AE408" i="10"/>
  <c r="AF408" i="10"/>
  <c r="AG408" i="10"/>
  <c r="AH408" i="10" s="1"/>
  <c r="AI408" i="10"/>
  <c r="AJ408" i="10"/>
  <c r="AK408" i="10"/>
  <c r="AL408" i="10" s="1"/>
  <c r="AM408" i="10"/>
  <c r="AN408" i="10" s="1"/>
  <c r="AO408" i="10"/>
  <c r="AP408" i="10"/>
  <c r="AQ408" i="10"/>
  <c r="AR408" i="10"/>
  <c r="AS408" i="10"/>
  <c r="AT408" i="10"/>
  <c r="AU408" i="10"/>
  <c r="AV408" i="10"/>
  <c r="AW408" i="10"/>
  <c r="T409" i="10"/>
  <c r="W409" i="10"/>
  <c r="X409" i="10" s="1"/>
  <c r="Y409" i="10"/>
  <c r="Z409" i="10"/>
  <c r="AA409" i="10"/>
  <c r="AB409" i="10"/>
  <c r="AC409" i="10"/>
  <c r="AD409" i="10" s="1"/>
  <c r="AE409" i="10"/>
  <c r="AF409" i="10"/>
  <c r="AG409" i="10"/>
  <c r="AH409" i="10"/>
  <c r="AI409" i="10"/>
  <c r="AJ409" i="10" s="1"/>
  <c r="AK409" i="10"/>
  <c r="AL409" i="10" s="1"/>
  <c r="AM409" i="10"/>
  <c r="AN409" i="10" s="1"/>
  <c r="AO409" i="10"/>
  <c r="AP409" i="10"/>
  <c r="AQ409" i="10"/>
  <c r="AR409" i="10"/>
  <c r="AS409" i="10"/>
  <c r="AT409" i="10"/>
  <c r="AU409" i="10"/>
  <c r="AV409" i="10"/>
  <c r="AW409" i="10"/>
  <c r="T423" i="10"/>
  <c r="T424" i="10"/>
  <c r="T425" i="10"/>
  <c r="W425" i="10"/>
  <c r="X425" i="10" s="1"/>
  <c r="Y425" i="10"/>
  <c r="Z425" i="10"/>
  <c r="AA425" i="10"/>
  <c r="AB425" i="10"/>
  <c r="AC425" i="10"/>
  <c r="AD425" i="10" s="1"/>
  <c r="AE425" i="10"/>
  <c r="AF425" i="10" s="1"/>
  <c r="AG425" i="10"/>
  <c r="AH425" i="10" s="1"/>
  <c r="AI425" i="10"/>
  <c r="AJ425" i="10" s="1"/>
  <c r="AK425" i="10"/>
  <c r="AL425" i="10"/>
  <c r="AM425" i="10"/>
  <c r="AN425" i="10" s="1"/>
  <c r="AO425" i="10"/>
  <c r="AP425" i="10"/>
  <c r="AQ425" i="10"/>
  <c r="AR425" i="10"/>
  <c r="AS425" i="10"/>
  <c r="AT425" i="10"/>
  <c r="AU425" i="10"/>
  <c r="AV425" i="10"/>
  <c r="AW425" i="10"/>
  <c r="T426" i="10"/>
  <c r="W426" i="10"/>
  <c r="X426" i="10" s="1"/>
  <c r="Y426" i="10"/>
  <c r="Z426" i="10"/>
  <c r="AA426" i="10"/>
  <c r="AB426" i="10"/>
  <c r="AC426" i="10"/>
  <c r="AD426" i="10"/>
  <c r="AE426" i="10"/>
  <c r="AF426" i="10" s="1"/>
  <c r="AG426" i="10"/>
  <c r="AH426" i="10" s="1"/>
  <c r="AI426" i="10"/>
  <c r="AJ426" i="10" s="1"/>
  <c r="AK426" i="10"/>
  <c r="AL426" i="10" s="1"/>
  <c r="AM426" i="10"/>
  <c r="AN426" i="10"/>
  <c r="AO426" i="10"/>
  <c r="AP426" i="10"/>
  <c r="AQ426" i="10"/>
  <c r="AR426" i="10"/>
  <c r="AS426" i="10"/>
  <c r="AT426" i="10"/>
  <c r="AU426" i="10"/>
  <c r="AV426" i="10"/>
  <c r="AW426" i="10"/>
  <c r="U426" i="10" s="1"/>
  <c r="T427" i="10"/>
  <c r="W427" i="10"/>
  <c r="X427" i="10" s="1"/>
  <c r="Y427" i="10"/>
  <c r="Z427" i="10"/>
  <c r="AA427" i="10"/>
  <c r="AB427" i="10"/>
  <c r="AC427" i="10"/>
  <c r="AD427" i="10" s="1"/>
  <c r="AE427" i="10"/>
  <c r="AF427" i="10"/>
  <c r="AG427" i="10"/>
  <c r="AH427" i="10"/>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s="1"/>
  <c r="AG428" i="10"/>
  <c r="AH428" i="10" s="1"/>
  <c r="AI428" i="10"/>
  <c r="AJ428" i="10" s="1"/>
  <c r="AK428" i="10"/>
  <c r="AL428" i="10" s="1"/>
  <c r="AM428" i="10"/>
  <c r="AN428" i="10" s="1"/>
  <c r="AO428" i="10"/>
  <c r="AP428" i="10"/>
  <c r="AQ428" i="10"/>
  <c r="AR428" i="10"/>
  <c r="AS428" i="10"/>
  <c r="AT428" i="10"/>
  <c r="AU428" i="10"/>
  <c r="AV428" i="10"/>
  <c r="AW428" i="10"/>
  <c r="T429" i="10"/>
  <c r="W429" i="10"/>
  <c r="X429" i="10" s="1"/>
  <c r="Y429" i="10"/>
  <c r="Z429" i="10"/>
  <c r="AA429" i="10"/>
  <c r="AB429" i="10"/>
  <c r="AC429" i="10"/>
  <c r="AD429" i="10" s="1"/>
  <c r="AE429" i="10"/>
  <c r="AF429" i="10" s="1"/>
  <c r="AG429" i="10"/>
  <c r="AH429" i="10" s="1"/>
  <c r="AI429" i="10"/>
  <c r="AJ429" i="10" s="1"/>
  <c r="AK429" i="10"/>
  <c r="AL429" i="10" s="1"/>
  <c r="AM429" i="10"/>
  <c r="AN429" i="10" s="1"/>
  <c r="AO429" i="10"/>
  <c r="AP429" i="10"/>
  <c r="AQ429" i="10"/>
  <c r="AR429" i="10"/>
  <c r="AS429" i="10"/>
  <c r="AT429" i="10"/>
  <c r="AU429" i="10"/>
  <c r="AV429" i="10"/>
  <c r="AW429" i="10"/>
  <c r="T430" i="10"/>
  <c r="W430" i="10"/>
  <c r="X430" i="10" s="1"/>
  <c r="Y430" i="10"/>
  <c r="Z430" i="10"/>
  <c r="AA430" i="10"/>
  <c r="AB430" i="10"/>
  <c r="AC430" i="10"/>
  <c r="AD430" i="10" s="1"/>
  <c r="AE430" i="10"/>
  <c r="AF430" i="10" s="1"/>
  <c r="AG430" i="10"/>
  <c r="AH430" i="10" s="1"/>
  <c r="AI430" i="10"/>
  <c r="AJ430" i="10"/>
  <c r="AK430" i="10"/>
  <c r="AL430" i="10" s="1"/>
  <c r="AM430" i="10"/>
  <c r="AN430" i="10" s="1"/>
  <c r="AO430" i="10"/>
  <c r="AP430" i="10"/>
  <c r="AQ430" i="10"/>
  <c r="AR430" i="10"/>
  <c r="AS430" i="10"/>
  <c r="AT430" i="10"/>
  <c r="AU430" i="10"/>
  <c r="AV430" i="10"/>
  <c r="AW430" i="10"/>
  <c r="T431" i="10"/>
  <c r="W431" i="10"/>
  <c r="X431" i="10" s="1"/>
  <c r="Y431" i="10"/>
  <c r="Z431" i="10"/>
  <c r="AA431" i="10"/>
  <c r="AB431" i="10"/>
  <c r="AC431" i="10"/>
  <c r="AD431" i="10" s="1"/>
  <c r="AE431" i="10"/>
  <c r="AF431" i="10" s="1"/>
  <c r="AG431" i="10"/>
  <c r="AH431" i="10" s="1"/>
  <c r="AI431" i="10"/>
  <c r="AJ431" i="10" s="1"/>
  <c r="AK431" i="10"/>
  <c r="AL431" i="10" s="1"/>
  <c r="AM431" i="10"/>
  <c r="AN431" i="10"/>
  <c r="AO431" i="10"/>
  <c r="AP431" i="10"/>
  <c r="AQ431" i="10"/>
  <c r="AR431" i="10"/>
  <c r="AS431" i="10"/>
  <c r="AT431" i="10"/>
  <c r="AU431" i="10"/>
  <c r="AV431" i="10"/>
  <c r="AW431" i="10"/>
  <c r="T432" i="10"/>
  <c r="W432" i="10"/>
  <c r="X432" i="10"/>
  <c r="Y432" i="10"/>
  <c r="Z432" i="10"/>
  <c r="AA432" i="10"/>
  <c r="AB432" i="10"/>
  <c r="AC432" i="10"/>
  <c r="AD432" i="10" s="1"/>
  <c r="AE432" i="10"/>
  <c r="AF432" i="10" s="1"/>
  <c r="AG432" i="10"/>
  <c r="AH432" i="10" s="1"/>
  <c r="AI432" i="10"/>
  <c r="AJ432" i="10" s="1"/>
  <c r="AK432" i="10"/>
  <c r="AL432" i="10" s="1"/>
  <c r="AM432" i="10"/>
  <c r="AN432" i="10"/>
  <c r="AO432" i="10"/>
  <c r="AP432" i="10"/>
  <c r="AQ432" i="10"/>
  <c r="AR432" i="10"/>
  <c r="AS432" i="10"/>
  <c r="AT432" i="10"/>
  <c r="AU432" i="10"/>
  <c r="AV432" i="10"/>
  <c r="AW432" i="10"/>
  <c r="T433" i="10"/>
  <c r="W433" i="10"/>
  <c r="X433" i="10" s="1"/>
  <c r="Y433" i="10"/>
  <c r="Z433" i="10"/>
  <c r="AA433" i="10"/>
  <c r="AB433" i="10"/>
  <c r="AC433" i="10"/>
  <c r="AD433" i="10" s="1"/>
  <c r="AE433" i="10"/>
  <c r="AF433" i="10" s="1"/>
  <c r="AG433" i="10"/>
  <c r="AH433" i="10" s="1"/>
  <c r="AI433" i="10"/>
  <c r="AJ433" i="10" s="1"/>
  <c r="AK433" i="10"/>
  <c r="AL433" i="10" s="1"/>
  <c r="AM433" i="10"/>
  <c r="AN433" i="10" s="1"/>
  <c r="AO433" i="10"/>
  <c r="AP433" i="10"/>
  <c r="AQ433" i="10"/>
  <c r="AR433" i="10"/>
  <c r="AS433" i="10"/>
  <c r="AT433" i="10"/>
  <c r="AU433" i="10"/>
  <c r="AV433" i="10"/>
  <c r="AW433" i="10"/>
  <c r="T434" i="10"/>
  <c r="W434" i="10"/>
  <c r="X434" i="10" s="1"/>
  <c r="Y434" i="10"/>
  <c r="Z434" i="10"/>
  <c r="AA434" i="10"/>
  <c r="AB434" i="10"/>
  <c r="AC434" i="10"/>
  <c r="AD434" i="10" s="1"/>
  <c r="AE434" i="10"/>
  <c r="AF434" i="10" s="1"/>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s="1"/>
  <c r="AG435" i="10"/>
  <c r="AH435" i="10"/>
  <c r="AI435" i="10"/>
  <c r="AJ435" i="10" s="1"/>
  <c r="AK435" i="10"/>
  <c r="AL435" i="10" s="1"/>
  <c r="AM435" i="10"/>
  <c r="AN435" i="10"/>
  <c r="AO435" i="10"/>
  <c r="AP435" i="10"/>
  <c r="AQ435" i="10"/>
  <c r="AR435" i="10"/>
  <c r="AS435" i="10"/>
  <c r="AT435" i="10"/>
  <c r="AU435" i="10"/>
  <c r="AV435" i="10"/>
  <c r="AW435" i="10"/>
  <c r="T436" i="10"/>
  <c r="W436" i="10"/>
  <c r="X436" i="10" s="1"/>
  <c r="U436" i="10" s="1"/>
  <c r="Y436" i="10"/>
  <c r="Z436" i="10"/>
  <c r="AA436" i="10"/>
  <c r="AB436" i="10"/>
  <c r="AC436" i="10"/>
  <c r="AD436" i="10" s="1"/>
  <c r="AE436" i="10"/>
  <c r="AF436" i="10" s="1"/>
  <c r="AG436" i="10"/>
  <c r="AH436" i="10" s="1"/>
  <c r="AI436" i="10"/>
  <c r="AJ436" i="10"/>
  <c r="AK436" i="10"/>
  <c r="AL436" i="10"/>
  <c r="AM436" i="10"/>
  <c r="AN436" i="10" s="1"/>
  <c r="AO436" i="10"/>
  <c r="AP436" i="10"/>
  <c r="AQ436" i="10"/>
  <c r="AR436" i="10"/>
  <c r="AS436" i="10"/>
  <c r="AT436" i="10"/>
  <c r="AU436" i="10"/>
  <c r="AV436" i="10"/>
  <c r="AW436" i="10"/>
  <c r="T437" i="10"/>
  <c r="W437" i="10"/>
  <c r="X437" i="10" s="1"/>
  <c r="Y437" i="10"/>
  <c r="Z437" i="10"/>
  <c r="AA437" i="10"/>
  <c r="AB437" i="10"/>
  <c r="AC437" i="10"/>
  <c r="AD437" i="10" s="1"/>
  <c r="AE437" i="10"/>
  <c r="AF437" i="10" s="1"/>
  <c r="AG437" i="10"/>
  <c r="AH437" i="10"/>
  <c r="AI437" i="10"/>
  <c r="AJ437" i="10" s="1"/>
  <c r="AK437" i="10"/>
  <c r="AL437" i="10" s="1"/>
  <c r="AM437" i="10"/>
  <c r="AN437" i="10" s="1"/>
  <c r="AO437" i="10"/>
  <c r="AP437" i="10"/>
  <c r="AQ437" i="10"/>
  <c r="AR437" i="10"/>
  <c r="AS437" i="10"/>
  <c r="AT437" i="10"/>
  <c r="AU437" i="10"/>
  <c r="AV437" i="10"/>
  <c r="AW437" i="10"/>
  <c r="T438" i="10"/>
  <c r="W438" i="10"/>
  <c r="X438" i="10" s="1"/>
  <c r="Y438" i="10"/>
  <c r="Z438" i="10"/>
  <c r="AA438" i="10"/>
  <c r="AB438" i="10"/>
  <c r="AC438" i="10"/>
  <c r="AD438" i="10" s="1"/>
  <c r="AE438" i="10"/>
  <c r="AF438" i="10"/>
  <c r="AG438" i="10"/>
  <c r="AH438" i="10" s="1"/>
  <c r="AI438" i="10"/>
  <c r="AJ438" i="10"/>
  <c r="AK438" i="10"/>
  <c r="AL438" i="10" s="1"/>
  <c r="AM438" i="10"/>
  <c r="AN438" i="10" s="1"/>
  <c r="AO438" i="10"/>
  <c r="AP438" i="10"/>
  <c r="AQ438" i="10"/>
  <c r="AR438" i="10"/>
  <c r="AS438" i="10"/>
  <c r="AT438" i="10"/>
  <c r="AU438" i="10"/>
  <c r="AV438" i="10"/>
  <c r="AW438" i="10"/>
  <c r="T439" i="10"/>
  <c r="W439" i="10"/>
  <c r="X439" i="10" s="1"/>
  <c r="Y439" i="10"/>
  <c r="Z439" i="10"/>
  <c r="AA439" i="10"/>
  <c r="AB439" i="10"/>
  <c r="AC439" i="10"/>
  <c r="AD439" i="10" s="1"/>
  <c r="AE439" i="10"/>
  <c r="AF439" i="10"/>
  <c r="AG439" i="10"/>
  <c r="AH439" i="10"/>
  <c r="AI439" i="10"/>
  <c r="AJ439" i="10" s="1"/>
  <c r="AK439" i="10"/>
  <c r="AL439" i="10" s="1"/>
  <c r="AM439" i="10"/>
  <c r="AN439" i="10" s="1"/>
  <c r="AO439" i="10"/>
  <c r="AP439" i="10"/>
  <c r="AQ439" i="10"/>
  <c r="AR439" i="10"/>
  <c r="AS439" i="10"/>
  <c r="AT439" i="10"/>
  <c r="AU439" i="10"/>
  <c r="AV439" i="10"/>
  <c r="AW439" i="10"/>
  <c r="T440" i="10"/>
  <c r="W440" i="10"/>
  <c r="X440" i="10" s="1"/>
  <c r="U440" i="10" s="1"/>
  <c r="Y440" i="10"/>
  <c r="Z440" i="10"/>
  <c r="AA440" i="10"/>
  <c r="AB440" i="10"/>
  <c r="AC440" i="10"/>
  <c r="AD440" i="10" s="1"/>
  <c r="AE440" i="10"/>
  <c r="AF440" i="10"/>
  <c r="AG440" i="10"/>
  <c r="AH440" i="10" s="1"/>
  <c r="AI440" i="10"/>
  <c r="AJ440" i="10" s="1"/>
  <c r="AK440" i="10"/>
  <c r="AL440" i="10" s="1"/>
  <c r="AM440" i="10"/>
  <c r="AN440" i="10" s="1"/>
  <c r="AO440" i="10"/>
  <c r="AP440" i="10"/>
  <c r="AQ440" i="10"/>
  <c r="AR440" i="10"/>
  <c r="AS440" i="10"/>
  <c r="AT440" i="10"/>
  <c r="AU440" i="10"/>
  <c r="AV440" i="10"/>
  <c r="AW440" i="10"/>
  <c r="T441" i="10"/>
  <c r="W441" i="10"/>
  <c r="X441" i="10"/>
  <c r="Y441" i="10"/>
  <c r="Z441" i="10"/>
  <c r="AA441" i="10"/>
  <c r="AB441" i="10"/>
  <c r="AC441" i="10"/>
  <c r="AD441" i="10" s="1"/>
  <c r="AE441" i="10"/>
  <c r="AF441" i="10"/>
  <c r="AG441" i="10"/>
  <c r="AH441" i="10" s="1"/>
  <c r="AI441" i="10"/>
  <c r="AJ441" i="10" s="1"/>
  <c r="AK441" i="10"/>
  <c r="AL441" i="10"/>
  <c r="AM441" i="10"/>
  <c r="AN441" i="10" s="1"/>
  <c r="AO441" i="10"/>
  <c r="AP441" i="10"/>
  <c r="AQ441" i="10"/>
  <c r="AR441" i="10"/>
  <c r="AS441" i="10"/>
  <c r="AT441" i="10"/>
  <c r="AU441" i="10"/>
  <c r="AV441" i="10"/>
  <c r="AW441" i="10"/>
  <c r="T442" i="10"/>
  <c r="W442" i="10"/>
  <c r="X442" i="10" s="1"/>
  <c r="Y442" i="10"/>
  <c r="Z442" i="10"/>
  <c r="AA442" i="10"/>
  <c r="AB442" i="10"/>
  <c r="AC442" i="10"/>
  <c r="AD442" i="10" s="1"/>
  <c r="AE442" i="10"/>
  <c r="AF442" i="10"/>
  <c r="AG442" i="10"/>
  <c r="AH442" i="10" s="1"/>
  <c r="AI442" i="10"/>
  <c r="AJ442" i="10" s="1"/>
  <c r="AK442" i="10"/>
  <c r="AL442" i="10" s="1"/>
  <c r="AM442" i="10"/>
  <c r="AN442" i="10" s="1"/>
  <c r="AO442" i="10"/>
  <c r="AP442" i="10"/>
  <c r="AQ442" i="10"/>
  <c r="AR442" i="10"/>
  <c r="AS442" i="10"/>
  <c r="AT442" i="10"/>
  <c r="AU442" i="10"/>
  <c r="AV442" i="10"/>
  <c r="AW442" i="10"/>
  <c r="T443" i="10"/>
  <c r="W443" i="10"/>
  <c r="X443" i="10" s="1"/>
  <c r="Y443" i="10"/>
  <c r="Z443" i="10"/>
  <c r="AA443" i="10"/>
  <c r="AB443" i="10"/>
  <c r="AC443" i="10"/>
  <c r="AD443" i="10" s="1"/>
  <c r="AE443" i="10"/>
  <c r="AF443" i="10"/>
  <c r="AG443" i="10"/>
  <c r="AH443" i="10" s="1"/>
  <c r="AI443" i="10"/>
  <c r="AJ443" i="10" s="1"/>
  <c r="AK443" i="10"/>
  <c r="AL443" i="10" s="1"/>
  <c r="AM443" i="10"/>
  <c r="AN443" i="10" s="1"/>
  <c r="AO443" i="10"/>
  <c r="AP443" i="10"/>
  <c r="AQ443" i="10"/>
  <c r="AR443" i="10"/>
  <c r="AS443" i="10"/>
  <c r="AT443" i="10"/>
  <c r="AU443" i="10"/>
  <c r="AV443" i="10"/>
  <c r="AW443" i="10"/>
  <c r="T444" i="10"/>
  <c r="W444" i="10"/>
  <c r="X444" i="10" s="1"/>
  <c r="Y444" i="10"/>
  <c r="Z444" i="10"/>
  <c r="AA444" i="10"/>
  <c r="AB444" i="10"/>
  <c r="AC444" i="10"/>
  <c r="AD444" i="10" s="1"/>
  <c r="AE444" i="10"/>
  <c r="AF444" i="10"/>
  <c r="AG444" i="10"/>
  <c r="AH444" i="10" s="1"/>
  <c r="AI444" i="10"/>
  <c r="AJ444" i="10" s="1"/>
  <c r="AK444" i="10"/>
  <c r="AL444" i="10" s="1"/>
  <c r="AM444" i="10"/>
  <c r="AN444" i="10" s="1"/>
  <c r="AO444" i="10"/>
  <c r="AP444" i="10"/>
  <c r="AQ444" i="10"/>
  <c r="AR444" i="10"/>
  <c r="AS444" i="10"/>
  <c r="AT444" i="10"/>
  <c r="AU444" i="10"/>
  <c r="AV444" i="10"/>
  <c r="AW444" i="10"/>
  <c r="T445" i="10"/>
  <c r="W445" i="10"/>
  <c r="X445" i="10" s="1"/>
  <c r="Y445" i="10"/>
  <c r="Z445" i="10"/>
  <c r="AA445" i="10"/>
  <c r="AB445" i="10"/>
  <c r="AC445" i="10"/>
  <c r="AD445" i="10" s="1"/>
  <c r="AE445" i="10"/>
  <c r="AF445" i="10"/>
  <c r="AG445" i="10"/>
  <c r="AH445" i="10" s="1"/>
  <c r="AI445" i="10"/>
  <c r="AJ445" i="10" s="1"/>
  <c r="AK445" i="10"/>
  <c r="AL445" i="10" s="1"/>
  <c r="AM445" i="10"/>
  <c r="AN445" i="10" s="1"/>
  <c r="AO445" i="10"/>
  <c r="AP445" i="10"/>
  <c r="AQ445" i="10"/>
  <c r="AR445" i="10"/>
  <c r="AS445" i="10"/>
  <c r="AT445" i="10"/>
  <c r="AU445" i="10"/>
  <c r="AV445" i="10"/>
  <c r="AW445" i="10"/>
  <c r="T446" i="10"/>
  <c r="W446" i="10"/>
  <c r="X446" i="10" s="1"/>
  <c r="Y446" i="10"/>
  <c r="Z446" i="10"/>
  <c r="AA446" i="10"/>
  <c r="AB446" i="10"/>
  <c r="AC446" i="10"/>
  <c r="AD446" i="10" s="1"/>
  <c r="AE446" i="10"/>
  <c r="AF446" i="10"/>
  <c r="AG446" i="10"/>
  <c r="AH446" i="10" s="1"/>
  <c r="AI446" i="10"/>
  <c r="AJ446" i="10" s="1"/>
  <c r="AK446" i="10"/>
  <c r="AL446" i="10" s="1"/>
  <c r="AM446" i="10"/>
  <c r="AN446" i="10" s="1"/>
  <c r="AO446" i="10"/>
  <c r="AP446" i="10"/>
  <c r="AQ446" i="10"/>
  <c r="AR446" i="10"/>
  <c r="AS446" i="10"/>
  <c r="AT446" i="10"/>
  <c r="AU446" i="10"/>
  <c r="AV446" i="10"/>
  <c r="AW446" i="10"/>
  <c r="U446" i="10" s="1"/>
  <c r="T447" i="10"/>
  <c r="W447" i="10"/>
  <c r="X447" i="10" s="1"/>
  <c r="Y447" i="10"/>
  <c r="Z447" i="10"/>
  <c r="AA447" i="10"/>
  <c r="AB447" i="10"/>
  <c r="AC447" i="10"/>
  <c r="AD447" i="10" s="1"/>
  <c r="AE447" i="10"/>
  <c r="AF447" i="10"/>
  <c r="AG447" i="10"/>
  <c r="AH447" i="10" s="1"/>
  <c r="AI447" i="10"/>
  <c r="AJ447" i="10" s="1"/>
  <c r="AK447" i="10"/>
  <c r="AL447" i="10"/>
  <c r="AM447" i="10"/>
  <c r="AN447" i="10" s="1"/>
  <c r="V447" i="10" s="1"/>
  <c r="AO447" i="10"/>
  <c r="AP447" i="10"/>
  <c r="AQ447" i="10"/>
  <c r="AR447" i="10"/>
  <c r="AS447" i="10"/>
  <c r="AT447" i="10"/>
  <c r="AU447" i="10"/>
  <c r="AV447" i="10"/>
  <c r="AW447" i="10"/>
  <c r="T448" i="10"/>
  <c r="W448" i="10"/>
  <c r="X448" i="10" s="1"/>
  <c r="Y448" i="10"/>
  <c r="Z448" i="10"/>
  <c r="AA448" i="10"/>
  <c r="AB448" i="10"/>
  <c r="AC448" i="10"/>
  <c r="AD448" i="10" s="1"/>
  <c r="AE448" i="10"/>
  <c r="AF448" i="10"/>
  <c r="AG448" i="10"/>
  <c r="AH448" i="10" s="1"/>
  <c r="AI448" i="10"/>
  <c r="AJ448" i="10" s="1"/>
  <c r="AK448" i="10"/>
  <c r="AL448" i="10"/>
  <c r="AM448" i="10"/>
  <c r="AN448" i="10" s="1"/>
  <c r="AO448" i="10"/>
  <c r="AP448" i="10"/>
  <c r="AQ448" i="10"/>
  <c r="AR448" i="10"/>
  <c r="AS448" i="10"/>
  <c r="AT448" i="10"/>
  <c r="AU448" i="10"/>
  <c r="AV448" i="10"/>
  <c r="AW448" i="10"/>
  <c r="T449" i="10"/>
  <c r="W449" i="10"/>
  <c r="X449" i="10" s="1"/>
  <c r="Y449" i="10"/>
  <c r="Z449" i="10"/>
  <c r="AA449" i="10"/>
  <c r="AB449" i="10"/>
  <c r="AC449" i="10"/>
  <c r="AD449" i="10" s="1"/>
  <c r="AE449" i="10"/>
  <c r="AF449" i="10"/>
  <c r="AG449" i="10"/>
  <c r="AH449" i="10" s="1"/>
  <c r="AI449" i="10"/>
  <c r="AJ449" i="10" s="1"/>
  <c r="AK449" i="10"/>
  <c r="AL449" i="10" s="1"/>
  <c r="AM449" i="10"/>
  <c r="AN449" i="10" s="1"/>
  <c r="AO449" i="10"/>
  <c r="AP449" i="10"/>
  <c r="AQ449" i="10"/>
  <c r="AR449" i="10"/>
  <c r="AS449" i="10"/>
  <c r="AT449" i="10"/>
  <c r="AU449" i="10"/>
  <c r="AV449" i="10"/>
  <c r="AW449" i="10"/>
  <c r="T450" i="10"/>
  <c r="W450" i="10"/>
  <c r="X450" i="10" s="1"/>
  <c r="Y450" i="10"/>
  <c r="Z450" i="10"/>
  <c r="AA450" i="10"/>
  <c r="AB450" i="10"/>
  <c r="AC450" i="10"/>
  <c r="AD450" i="10" s="1"/>
  <c r="AE450" i="10"/>
  <c r="AF450" i="10"/>
  <c r="AG450" i="10"/>
  <c r="AH450" i="10" s="1"/>
  <c r="AI450" i="10"/>
  <c r="AJ450" i="10" s="1"/>
  <c r="AK450" i="10"/>
  <c r="AL450" i="10" s="1"/>
  <c r="AM450" i="10"/>
  <c r="AN450" i="10" s="1"/>
  <c r="AO450" i="10"/>
  <c r="AP450" i="10"/>
  <c r="AQ450" i="10"/>
  <c r="AR450" i="10"/>
  <c r="AS450" i="10"/>
  <c r="AT450" i="10"/>
  <c r="AU450" i="10"/>
  <c r="AV450" i="10"/>
  <c r="AW450" i="10"/>
  <c r="T451" i="10"/>
  <c r="W451" i="10"/>
  <c r="X451" i="10" s="1"/>
  <c r="Y451" i="10"/>
  <c r="Z451" i="10"/>
  <c r="AA451" i="10"/>
  <c r="AB451" i="10"/>
  <c r="AC451" i="10"/>
  <c r="AD451" i="10" s="1"/>
  <c r="AE451" i="10"/>
  <c r="AF451" i="10"/>
  <c r="AG451" i="10"/>
  <c r="AH451" i="10" s="1"/>
  <c r="AI451" i="10"/>
  <c r="AJ451" i="10"/>
  <c r="AK451" i="10"/>
  <c r="AL451" i="10" s="1"/>
  <c r="AM451" i="10"/>
  <c r="AN451" i="10" s="1"/>
  <c r="AO451" i="10"/>
  <c r="AP451" i="10"/>
  <c r="AQ451" i="10"/>
  <c r="AR451" i="10"/>
  <c r="AS451" i="10"/>
  <c r="AT451" i="10"/>
  <c r="AU451" i="10"/>
  <c r="AV451" i="10"/>
  <c r="AW451" i="10"/>
  <c r="T452" i="10"/>
  <c r="W452" i="10"/>
  <c r="X452" i="10" s="1"/>
  <c r="Y452" i="10"/>
  <c r="Z452" i="10"/>
  <c r="AA452" i="10"/>
  <c r="AB452" i="10"/>
  <c r="AC452" i="10"/>
  <c r="AD452" i="10" s="1"/>
  <c r="AE452" i="10"/>
  <c r="AF452" i="10"/>
  <c r="AG452" i="10"/>
  <c r="AH452" i="10" s="1"/>
  <c r="AI452" i="10"/>
  <c r="AJ452" i="10" s="1"/>
  <c r="AK452" i="10"/>
  <c r="AL452" i="10"/>
  <c r="AM452" i="10"/>
  <c r="AN452" i="10" s="1"/>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s="1"/>
  <c r="AM453" i="10"/>
  <c r="AN453" i="10" s="1"/>
  <c r="AO453" i="10"/>
  <c r="AP453" i="10"/>
  <c r="AQ453" i="10"/>
  <c r="AR453" i="10"/>
  <c r="AS453" i="10"/>
  <c r="AT453" i="10"/>
  <c r="AU453" i="10"/>
  <c r="AV453" i="10"/>
  <c r="AW453" i="10"/>
  <c r="T454" i="10"/>
  <c r="W454" i="10"/>
  <c r="X454" i="10" s="1"/>
  <c r="Y454" i="10"/>
  <c r="Z454" i="10"/>
  <c r="AA454" i="10"/>
  <c r="AB454" i="10"/>
  <c r="AC454" i="10"/>
  <c r="AD454" i="10"/>
  <c r="AE454" i="10"/>
  <c r="AF454" i="10"/>
  <c r="AG454" i="10"/>
  <c r="AH454" i="10" s="1"/>
  <c r="AI454" i="10"/>
  <c r="AJ454" i="10" s="1"/>
  <c r="AK454" i="10"/>
  <c r="AL454" i="10" s="1"/>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c r="AG455" i="10"/>
  <c r="AH455" i="10" s="1"/>
  <c r="AI455" i="10"/>
  <c r="AJ455" i="10" s="1"/>
  <c r="AK455" i="10"/>
  <c r="AL455" i="10"/>
  <c r="AM455" i="10"/>
  <c r="AN455" i="10" s="1"/>
  <c r="AO455" i="10"/>
  <c r="AP455" i="10"/>
  <c r="AQ455" i="10"/>
  <c r="AR455" i="10"/>
  <c r="AS455" i="10"/>
  <c r="AT455" i="10"/>
  <c r="AU455" i="10"/>
  <c r="AV455" i="10"/>
  <c r="AW455" i="10"/>
  <c r="T456" i="10"/>
  <c r="W456" i="10"/>
  <c r="X456" i="10" s="1"/>
  <c r="Y456" i="10"/>
  <c r="Z456" i="10"/>
  <c r="AA456" i="10"/>
  <c r="AB456" i="10"/>
  <c r="AC456" i="10"/>
  <c r="AD456" i="10" s="1"/>
  <c r="AE456" i="10"/>
  <c r="AF456" i="10"/>
  <c r="AG456" i="10"/>
  <c r="AH456" i="10" s="1"/>
  <c r="AI456" i="10"/>
  <c r="AJ456" i="10" s="1"/>
  <c r="AK456" i="10"/>
  <c r="AL456" i="10" s="1"/>
  <c r="AM456" i="10"/>
  <c r="AN456" i="10" s="1"/>
  <c r="AO456" i="10"/>
  <c r="AP456" i="10"/>
  <c r="AQ456" i="10"/>
  <c r="AR456" i="10"/>
  <c r="AS456" i="10"/>
  <c r="AT456" i="10"/>
  <c r="AU456" i="10"/>
  <c r="AV456" i="10"/>
  <c r="AW456" i="10"/>
  <c r="T457" i="10"/>
  <c r="W457" i="10"/>
  <c r="X457" i="10" s="1"/>
  <c r="Y457" i="10"/>
  <c r="Z457" i="10"/>
  <c r="AA457" i="10"/>
  <c r="AB457" i="10"/>
  <c r="AC457" i="10"/>
  <c r="AD457" i="10" s="1"/>
  <c r="AE457" i="10"/>
  <c r="AF457" i="10"/>
  <c r="AG457" i="10"/>
  <c r="AH457" i="10" s="1"/>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Y459" i="10"/>
  <c r="Z459" i="10"/>
  <c r="AA459" i="10"/>
  <c r="AB459" i="10"/>
  <c r="AC459" i="10"/>
  <c r="AD459" i="10" s="1"/>
  <c r="AE459" i="10"/>
  <c r="AF459" i="10"/>
  <c r="AG459" i="10"/>
  <c r="AH459" i="10"/>
  <c r="AI459" i="10"/>
  <c r="AJ459" i="10" s="1"/>
  <c r="AK459" i="10"/>
  <c r="AL459" i="10" s="1"/>
  <c r="AM459" i="10"/>
  <c r="AN459" i="10" s="1"/>
  <c r="AO459" i="10"/>
  <c r="AP459" i="10"/>
  <c r="AQ459" i="10"/>
  <c r="AR459" i="10"/>
  <c r="AS459" i="10"/>
  <c r="AT459" i="10"/>
  <c r="AU459" i="10"/>
  <c r="AV459" i="10"/>
  <c r="AW459" i="10"/>
  <c r="T460" i="10"/>
  <c r="W460" i="10"/>
  <c r="X460" i="10" s="1"/>
  <c r="Y460" i="10"/>
  <c r="Z460" i="10"/>
  <c r="AA460" i="10"/>
  <c r="AB460" i="10"/>
  <c r="AC460" i="10"/>
  <c r="AD460" i="10" s="1"/>
  <c r="AE460" i="10"/>
  <c r="AF460" i="10"/>
  <c r="AG460" i="10"/>
  <c r="AH460" i="10" s="1"/>
  <c r="AI460" i="10"/>
  <c r="AJ460" i="10" s="1"/>
  <c r="AK460" i="10"/>
  <c r="AL460" i="10" s="1"/>
  <c r="AM460" i="10"/>
  <c r="AN460" i="10" s="1"/>
  <c r="AO460" i="10"/>
  <c r="AP460" i="10"/>
  <c r="AQ460" i="10"/>
  <c r="AR460" i="10"/>
  <c r="AS460" i="10"/>
  <c r="AT460" i="10"/>
  <c r="AU460" i="10"/>
  <c r="AV460" i="10"/>
  <c r="AW460" i="10"/>
  <c r="T461" i="10"/>
  <c r="W461" i="10"/>
  <c r="X461" i="10" s="1"/>
  <c r="Y461" i="10"/>
  <c r="Z461" i="10"/>
  <c r="AA461" i="10"/>
  <c r="AB461" i="10"/>
  <c r="AC461" i="10"/>
  <c r="AD461" i="10" s="1"/>
  <c r="AE461" i="10"/>
  <c r="AF461" i="10"/>
  <c r="AG461" i="10"/>
  <c r="AH461" i="10" s="1"/>
  <c r="AI461" i="10"/>
  <c r="AJ461" i="10" s="1"/>
  <c r="AK461" i="10"/>
  <c r="AL461" i="10" s="1"/>
  <c r="AM461" i="10"/>
  <c r="AN461" i="10" s="1"/>
  <c r="AO461" i="10"/>
  <c r="AP461" i="10"/>
  <c r="AQ461" i="10"/>
  <c r="AR461" i="10"/>
  <c r="AS461" i="10"/>
  <c r="AT461" i="10"/>
  <c r="AU461" i="10"/>
  <c r="AV461" i="10"/>
  <c r="AW461" i="10"/>
  <c r="T462" i="10"/>
  <c r="W462" i="10"/>
  <c r="X462" i="10" s="1"/>
  <c r="Y462" i="10"/>
  <c r="Z462" i="10"/>
  <c r="AA462" i="10"/>
  <c r="AB462" i="10"/>
  <c r="AC462" i="10"/>
  <c r="AD462" i="10" s="1"/>
  <c r="AE462" i="10"/>
  <c r="AF462" i="10"/>
  <c r="AG462" i="10"/>
  <c r="AH462" i="10" s="1"/>
  <c r="AI462" i="10"/>
  <c r="AJ462" i="10" s="1"/>
  <c r="AK462" i="10"/>
  <c r="AL462" i="10" s="1"/>
  <c r="AM462" i="10"/>
  <c r="AN462" i="10" s="1"/>
  <c r="AO462" i="10"/>
  <c r="AP462" i="10"/>
  <c r="AQ462" i="10"/>
  <c r="AR462" i="10"/>
  <c r="AS462" i="10"/>
  <c r="AT462" i="10"/>
  <c r="AU462" i="10"/>
  <c r="AV462" i="10"/>
  <c r="AW462" i="10"/>
  <c r="T463" i="10"/>
  <c r="W463" i="10"/>
  <c r="X463" i="10" s="1"/>
  <c r="Y463" i="10"/>
  <c r="Z463" i="10"/>
  <c r="AA463" i="10"/>
  <c r="AB463" i="10"/>
  <c r="AC463" i="10"/>
  <c r="AD463" i="10" s="1"/>
  <c r="AE463" i="10"/>
  <c r="AF463" i="10"/>
  <c r="AG463" i="10"/>
  <c r="AH463" i="10" s="1"/>
  <c r="AI463" i="10"/>
  <c r="AJ463" i="10" s="1"/>
  <c r="AK463" i="10"/>
  <c r="AL463" i="10" s="1"/>
  <c r="AM463" i="10"/>
  <c r="AN463" i="10" s="1"/>
  <c r="AO463" i="10"/>
  <c r="AP463" i="10"/>
  <c r="AQ463" i="10"/>
  <c r="AR463" i="10"/>
  <c r="AS463" i="10"/>
  <c r="AT463" i="10"/>
  <c r="AU463" i="10"/>
  <c r="AV463" i="10"/>
  <c r="AW463" i="10"/>
  <c r="T464" i="10"/>
  <c r="W464" i="10"/>
  <c r="X464" i="10" s="1"/>
  <c r="Y464" i="10"/>
  <c r="Z464" i="10"/>
  <c r="AA464" i="10"/>
  <c r="AB464" i="10"/>
  <c r="AC464" i="10"/>
  <c r="AD464" i="10" s="1"/>
  <c r="AE464" i="10"/>
  <c r="AF464" i="10"/>
  <c r="AG464" i="10"/>
  <c r="AH464" i="10" s="1"/>
  <c r="AI464" i="10"/>
  <c r="AJ464" i="10" s="1"/>
  <c r="AK464" i="10"/>
  <c r="AL464" i="10" s="1"/>
  <c r="AM464" i="10"/>
  <c r="AN464" i="10" s="1"/>
  <c r="AO464" i="10"/>
  <c r="AP464" i="10"/>
  <c r="AQ464" i="10"/>
  <c r="AR464" i="10"/>
  <c r="AS464" i="10"/>
  <c r="AT464" i="10"/>
  <c r="AU464" i="10"/>
  <c r="AV464" i="10"/>
  <c r="AW464" i="10"/>
  <c r="T465" i="10"/>
  <c r="W465" i="10"/>
  <c r="X465" i="10" s="1"/>
  <c r="U465" i="10" s="1"/>
  <c r="Y465" i="10"/>
  <c r="Z465" i="10"/>
  <c r="AA465" i="10"/>
  <c r="AB465" i="10"/>
  <c r="AC465" i="10"/>
  <c r="AD465" i="10" s="1"/>
  <c r="AE465" i="10"/>
  <c r="AF465" i="10"/>
  <c r="AG465" i="10"/>
  <c r="AH465" i="10" s="1"/>
  <c r="AI465" i="10"/>
  <c r="AJ465" i="10" s="1"/>
  <c r="AK465" i="10"/>
  <c r="AL465" i="10" s="1"/>
  <c r="AM465" i="10"/>
  <c r="AN465" i="10" s="1"/>
  <c r="AO465" i="10"/>
  <c r="AP465" i="10"/>
  <c r="AQ465" i="10"/>
  <c r="AR465" i="10"/>
  <c r="AS465" i="10"/>
  <c r="AT465" i="10"/>
  <c r="AU465" i="10"/>
  <c r="AV465" i="10"/>
  <c r="AW465" i="10"/>
  <c r="T466" i="10"/>
  <c r="W466" i="10"/>
  <c r="X466" i="10"/>
  <c r="Y466" i="10"/>
  <c r="Z466" i="10"/>
  <c r="AA466" i="10"/>
  <c r="AB466" i="10"/>
  <c r="AC466" i="10"/>
  <c r="AD466" i="10" s="1"/>
  <c r="AE466" i="10"/>
  <c r="AF466" i="10"/>
  <c r="AG466" i="10"/>
  <c r="AH466" i="10" s="1"/>
  <c r="AI466" i="10"/>
  <c r="AJ466" i="10" s="1"/>
  <c r="AK466" i="10"/>
  <c r="AL466" i="10" s="1"/>
  <c r="AM466" i="10"/>
  <c r="AN466" i="10" s="1"/>
  <c r="AO466" i="10"/>
  <c r="AP466" i="10"/>
  <c r="AQ466" i="10"/>
  <c r="AR466" i="10"/>
  <c r="AS466" i="10"/>
  <c r="AT466" i="10"/>
  <c r="AU466" i="10"/>
  <c r="AV466" i="10"/>
  <c r="AW466" i="10"/>
  <c r="T467" i="10"/>
  <c r="W467" i="10"/>
  <c r="X467" i="10" s="1"/>
  <c r="Y467" i="10"/>
  <c r="Z467" i="10"/>
  <c r="AA467" i="10"/>
  <c r="AB467" i="10"/>
  <c r="AC467" i="10"/>
  <c r="AD467" i="10" s="1"/>
  <c r="AE467" i="10"/>
  <c r="AF467" i="10"/>
  <c r="AG467" i="10"/>
  <c r="AH467" i="10" s="1"/>
  <c r="AI467" i="10"/>
  <c r="AJ467" i="10" s="1"/>
  <c r="AK467" i="10"/>
  <c r="AL467" i="10" s="1"/>
  <c r="AM467" i="10"/>
  <c r="AN467" i="10" s="1"/>
  <c r="AO467" i="10"/>
  <c r="AP467" i="10"/>
  <c r="AQ467" i="10"/>
  <c r="AR467" i="10"/>
  <c r="AS467" i="10"/>
  <c r="AT467" i="10"/>
  <c r="AU467" i="10"/>
  <c r="AV467" i="10"/>
  <c r="AW467" i="10"/>
  <c r="T468" i="10"/>
  <c r="W468" i="10"/>
  <c r="X468" i="10" s="1"/>
  <c r="Y468" i="10"/>
  <c r="Z468" i="10"/>
  <c r="AA468" i="10"/>
  <c r="AB468" i="10"/>
  <c r="AC468" i="10"/>
  <c r="AD468" i="10" s="1"/>
  <c r="AE468" i="10"/>
  <c r="AF468" i="10" s="1"/>
  <c r="AG468" i="10"/>
  <c r="AH468" i="10" s="1"/>
  <c r="AI468" i="10"/>
  <c r="AJ468" i="10" s="1"/>
  <c r="AK468" i="10"/>
  <c r="AL468" i="10" s="1"/>
  <c r="AM468" i="10"/>
  <c r="AN468" i="10" s="1"/>
  <c r="AO468" i="10"/>
  <c r="AP468" i="10"/>
  <c r="AQ468" i="10"/>
  <c r="AR468" i="10"/>
  <c r="AS468" i="10"/>
  <c r="AT468" i="10"/>
  <c r="AU468" i="10"/>
  <c r="AV468" i="10"/>
  <c r="AW468" i="10"/>
  <c r="T469" i="10"/>
  <c r="W469" i="10"/>
  <c r="X469" i="10" s="1"/>
  <c r="Y469" i="10"/>
  <c r="Z469" i="10"/>
  <c r="AA469" i="10"/>
  <c r="AB469" i="10"/>
  <c r="AC469" i="10"/>
  <c r="AD469" i="10" s="1"/>
  <c r="AE469" i="10"/>
  <c r="AF469" i="10" s="1"/>
  <c r="AG469" i="10"/>
  <c r="AH469" i="10" s="1"/>
  <c r="AI469" i="10"/>
  <c r="AJ469" i="10" s="1"/>
  <c r="AK469" i="10"/>
  <c r="AL469" i="10" s="1"/>
  <c r="AM469" i="10"/>
  <c r="AN469" i="10" s="1"/>
  <c r="AO469" i="10"/>
  <c r="AP469" i="10"/>
  <c r="AQ469" i="10"/>
  <c r="AR469" i="10"/>
  <c r="AS469" i="10"/>
  <c r="AT469" i="10"/>
  <c r="AU469" i="10"/>
  <c r="AV469" i="10"/>
  <c r="AW469" i="10"/>
  <c r="T470" i="10"/>
  <c r="W470" i="10"/>
  <c r="X470" i="10" s="1"/>
  <c r="Y470" i="10"/>
  <c r="Z470" i="10"/>
  <c r="AA470" i="10"/>
  <c r="AB470" i="10"/>
  <c r="AC470" i="10"/>
  <c r="AD470" i="10" s="1"/>
  <c r="AE470" i="10"/>
  <c r="AF470" i="10" s="1"/>
  <c r="AG470" i="10"/>
  <c r="AH470" i="10" s="1"/>
  <c r="AI470" i="10"/>
  <c r="AJ470" i="10" s="1"/>
  <c r="AK470" i="10"/>
  <c r="AL470" i="10" s="1"/>
  <c r="AM470" i="10"/>
  <c r="AN470" i="10" s="1"/>
  <c r="AO470" i="10"/>
  <c r="AP470" i="10"/>
  <c r="AQ470" i="10"/>
  <c r="AR470" i="10"/>
  <c r="AS470" i="10"/>
  <c r="AT470" i="10"/>
  <c r="AU470" i="10"/>
  <c r="AV470" i="10"/>
  <c r="AW470" i="10"/>
  <c r="T471" i="10"/>
  <c r="W471" i="10"/>
  <c r="X471" i="10" s="1"/>
  <c r="Y471" i="10"/>
  <c r="Z471" i="10"/>
  <c r="AA471" i="10"/>
  <c r="AB471" i="10"/>
  <c r="AC471" i="10"/>
  <c r="AD471" i="10" s="1"/>
  <c r="AE471" i="10"/>
  <c r="AF471" i="10" s="1"/>
  <c r="AG471" i="10"/>
  <c r="AH471" i="10" s="1"/>
  <c r="AI471" i="10"/>
  <c r="AJ471" i="10" s="1"/>
  <c r="AK471" i="10"/>
  <c r="AL471" i="10" s="1"/>
  <c r="AM471" i="10"/>
  <c r="AN471" i="10" s="1"/>
  <c r="AO471" i="10"/>
  <c r="AP471" i="10"/>
  <c r="AQ471" i="10"/>
  <c r="AR471" i="10"/>
  <c r="AS471" i="10"/>
  <c r="AT471" i="10"/>
  <c r="AU471" i="10"/>
  <c r="AV471" i="10"/>
  <c r="AW471" i="10"/>
  <c r="T472" i="10"/>
  <c r="W472" i="10"/>
  <c r="X472" i="10" s="1"/>
  <c r="Y472" i="10"/>
  <c r="Z472" i="10"/>
  <c r="AA472" i="10"/>
  <c r="AB472" i="10"/>
  <c r="AC472" i="10"/>
  <c r="AD472" i="10" s="1"/>
  <c r="AE472" i="10"/>
  <c r="AF472" i="10" s="1"/>
  <c r="AG472" i="10"/>
  <c r="AH472" i="10" s="1"/>
  <c r="AI472" i="10"/>
  <c r="AJ472" i="10"/>
  <c r="AK472" i="10"/>
  <c r="AL472" i="10" s="1"/>
  <c r="AM472" i="10"/>
  <c r="AN472" i="10" s="1"/>
  <c r="AO472" i="10"/>
  <c r="AP472" i="10"/>
  <c r="AQ472" i="10"/>
  <c r="AR472" i="10"/>
  <c r="AS472" i="10"/>
  <c r="AT472" i="10"/>
  <c r="AU472" i="10"/>
  <c r="AV472" i="10"/>
  <c r="AW472" i="10"/>
  <c r="T473" i="10"/>
  <c r="W473" i="10"/>
  <c r="X473" i="10" s="1"/>
  <c r="Y473" i="10"/>
  <c r="Z473" i="10"/>
  <c r="AA473" i="10"/>
  <c r="AB473" i="10"/>
  <c r="AC473" i="10"/>
  <c r="AD473" i="10" s="1"/>
  <c r="AE473" i="10"/>
  <c r="AF473" i="10" s="1"/>
  <c r="AG473" i="10"/>
  <c r="AH473" i="10" s="1"/>
  <c r="AI473" i="10"/>
  <c r="AJ473" i="10" s="1"/>
  <c r="AK473" i="10"/>
  <c r="AL473" i="10" s="1"/>
  <c r="AM473" i="10"/>
  <c r="AN473" i="10" s="1"/>
  <c r="AO473" i="10"/>
  <c r="AP473" i="10"/>
  <c r="AQ473" i="10"/>
  <c r="AR473" i="10"/>
  <c r="AS473" i="10"/>
  <c r="AT473" i="10"/>
  <c r="AU473" i="10"/>
  <c r="AV473" i="10"/>
  <c r="AW473" i="10"/>
  <c r="T474" i="10"/>
  <c r="W474" i="10"/>
  <c r="X474" i="10" s="1"/>
  <c r="Y474" i="10"/>
  <c r="Z474" i="10"/>
  <c r="AA474" i="10"/>
  <c r="AB474" i="10"/>
  <c r="AC474" i="10"/>
  <c r="AD474" i="10" s="1"/>
  <c r="AE474" i="10"/>
  <c r="AF474" i="10" s="1"/>
  <c r="AG474" i="10"/>
  <c r="AH474" i="10" s="1"/>
  <c r="AI474" i="10"/>
  <c r="AJ474" i="10" s="1"/>
  <c r="AK474" i="10"/>
  <c r="AL474" i="10" s="1"/>
  <c r="AM474" i="10"/>
  <c r="AN474" i="10" s="1"/>
  <c r="AO474" i="10"/>
  <c r="AP474" i="10"/>
  <c r="AQ474" i="10"/>
  <c r="AR474" i="10"/>
  <c r="AS474" i="10"/>
  <c r="AT474" i="10"/>
  <c r="AU474" i="10"/>
  <c r="AV474" i="10"/>
  <c r="AW474" i="10"/>
  <c r="T475" i="10"/>
  <c r="W475" i="10"/>
  <c r="X475" i="10" s="1"/>
  <c r="Y475" i="10"/>
  <c r="Z475" i="10"/>
  <c r="AA475" i="10"/>
  <c r="AB475" i="10"/>
  <c r="AC475" i="10"/>
  <c r="AD475" i="10" s="1"/>
  <c r="AE475" i="10"/>
  <c r="AF475" i="10" s="1"/>
  <c r="AG475" i="10"/>
  <c r="AH475" i="10"/>
  <c r="AI475" i="10"/>
  <c r="AJ475" i="10" s="1"/>
  <c r="AK475" i="10"/>
  <c r="AL475" i="10"/>
  <c r="AM475" i="10"/>
  <c r="AN475" i="10" s="1"/>
  <c r="AO475" i="10"/>
  <c r="AP475" i="10"/>
  <c r="AQ475" i="10"/>
  <c r="AR475" i="10"/>
  <c r="AS475" i="10"/>
  <c r="AT475" i="10"/>
  <c r="AU475" i="10"/>
  <c r="AV475" i="10"/>
  <c r="AW475" i="10"/>
  <c r="T476" i="10"/>
  <c r="W476" i="10"/>
  <c r="X476" i="10" s="1"/>
  <c r="Y476" i="10"/>
  <c r="Z476" i="10"/>
  <c r="AA476" i="10"/>
  <c r="AB476" i="10"/>
  <c r="AC476" i="10"/>
  <c r="AD476" i="10" s="1"/>
  <c r="AE476" i="10"/>
  <c r="AF476" i="10" s="1"/>
  <c r="AG476" i="10"/>
  <c r="AH476" i="10" s="1"/>
  <c r="AI476" i="10"/>
  <c r="AJ476" i="10" s="1"/>
  <c r="AK476" i="10"/>
  <c r="AL476" i="10" s="1"/>
  <c r="AM476" i="10"/>
  <c r="AN476" i="10" s="1"/>
  <c r="AO476" i="10"/>
  <c r="AP476" i="10"/>
  <c r="AQ476" i="10"/>
  <c r="AR476" i="10"/>
  <c r="AS476" i="10"/>
  <c r="AT476" i="10"/>
  <c r="AU476" i="10"/>
  <c r="AV476" i="10"/>
  <c r="AW476" i="10"/>
  <c r="T477" i="10"/>
  <c r="W477" i="10"/>
  <c r="X477" i="10" s="1"/>
  <c r="Y477" i="10"/>
  <c r="Z477" i="10"/>
  <c r="AA477" i="10"/>
  <c r="AB477" i="10"/>
  <c r="AC477" i="10"/>
  <c r="AD477" i="10" s="1"/>
  <c r="AE477" i="10"/>
  <c r="AF477" i="10" s="1"/>
  <c r="AG477" i="10"/>
  <c r="AH477" i="10" s="1"/>
  <c r="AI477" i="10"/>
  <c r="AJ477" i="10" s="1"/>
  <c r="AK477" i="10"/>
  <c r="AL477" i="10" s="1"/>
  <c r="AM477" i="10"/>
  <c r="AN477" i="10" s="1"/>
  <c r="AO477" i="10"/>
  <c r="AP477" i="10"/>
  <c r="AQ477" i="10"/>
  <c r="AR477" i="10"/>
  <c r="AS477" i="10"/>
  <c r="AT477" i="10"/>
  <c r="AU477" i="10"/>
  <c r="AV477" i="10"/>
  <c r="AW477" i="10"/>
  <c r="T478" i="10"/>
  <c r="W478" i="10"/>
  <c r="X478" i="10" s="1"/>
  <c r="Y478" i="10"/>
  <c r="Z478" i="10"/>
  <c r="AA478" i="10"/>
  <c r="AB478" i="10"/>
  <c r="AC478" i="10"/>
  <c r="AD478" i="10" s="1"/>
  <c r="AE478" i="10"/>
  <c r="AF478" i="10"/>
  <c r="AG478" i="10"/>
  <c r="AH478" i="10" s="1"/>
  <c r="AI478" i="10"/>
  <c r="AJ478" i="10" s="1"/>
  <c r="AK478" i="10"/>
  <c r="AL478" i="10" s="1"/>
  <c r="AM478" i="10"/>
  <c r="AN478" i="10" s="1"/>
  <c r="AO478" i="10"/>
  <c r="AP478" i="10"/>
  <c r="AQ478" i="10"/>
  <c r="AR478" i="10"/>
  <c r="AS478" i="10"/>
  <c r="AT478" i="10"/>
  <c r="AU478" i="10"/>
  <c r="AV478" i="10"/>
  <c r="AW478" i="10"/>
  <c r="T479" i="10"/>
  <c r="W479" i="10"/>
  <c r="X479" i="10" s="1"/>
  <c r="Y479" i="10"/>
  <c r="Z479" i="10"/>
  <c r="AA479" i="10"/>
  <c r="AB479" i="10"/>
  <c r="AC479" i="10"/>
  <c r="AD479" i="10" s="1"/>
  <c r="AE479" i="10"/>
  <c r="AF479" i="10" s="1"/>
  <c r="AG479" i="10"/>
  <c r="AH479" i="10" s="1"/>
  <c r="AI479" i="10"/>
  <c r="AJ479" i="10" s="1"/>
  <c r="AK479" i="10"/>
  <c r="AL479" i="10" s="1"/>
  <c r="AM479" i="10"/>
  <c r="AN479" i="10" s="1"/>
  <c r="AO479" i="10"/>
  <c r="AP479" i="10"/>
  <c r="AQ479" i="10"/>
  <c r="AR479" i="10"/>
  <c r="AS479" i="10"/>
  <c r="AT479" i="10"/>
  <c r="AU479" i="10"/>
  <c r="AV479" i="10"/>
  <c r="AW479" i="10"/>
  <c r="T480" i="10"/>
  <c r="W480" i="10"/>
  <c r="X480" i="10" s="1"/>
  <c r="Y480" i="10"/>
  <c r="Z480" i="10"/>
  <c r="AA480" i="10"/>
  <c r="AB480" i="10"/>
  <c r="AC480" i="10"/>
  <c r="AD480" i="10" s="1"/>
  <c r="AE480" i="10"/>
  <c r="AF480" i="10" s="1"/>
  <c r="AG480" i="10"/>
  <c r="AH480" i="10" s="1"/>
  <c r="AI480" i="10"/>
  <c r="AJ480" i="10" s="1"/>
  <c r="AK480" i="10"/>
  <c r="AL480" i="10" s="1"/>
  <c r="AM480" i="10"/>
  <c r="AN480" i="10" s="1"/>
  <c r="AO480" i="10"/>
  <c r="AP480" i="10"/>
  <c r="AQ480" i="10"/>
  <c r="AR480" i="10"/>
  <c r="AS480" i="10"/>
  <c r="AT480" i="10"/>
  <c r="AU480" i="10"/>
  <c r="AV480" i="10"/>
  <c r="AW480" i="10"/>
  <c r="T481" i="10"/>
  <c r="W481" i="10"/>
  <c r="X481" i="10" s="1"/>
  <c r="Y481" i="10"/>
  <c r="Z481" i="10"/>
  <c r="AA481" i="10"/>
  <c r="AB481" i="10"/>
  <c r="AC481" i="10"/>
  <c r="AD481" i="10" s="1"/>
  <c r="AE481" i="10"/>
  <c r="AF481" i="10" s="1"/>
  <c r="AG481" i="10"/>
  <c r="AH481" i="10" s="1"/>
  <c r="AI481" i="10"/>
  <c r="AJ481" i="10" s="1"/>
  <c r="AK481" i="10"/>
  <c r="AL481" i="10" s="1"/>
  <c r="AM481" i="10"/>
  <c r="AN481" i="10" s="1"/>
  <c r="AO481" i="10"/>
  <c r="AP481" i="10"/>
  <c r="AQ481" i="10"/>
  <c r="AR481" i="10"/>
  <c r="AS481" i="10"/>
  <c r="AT481" i="10"/>
  <c r="AU481" i="10"/>
  <c r="AV481" i="10"/>
  <c r="AW481" i="10"/>
  <c r="T482" i="10"/>
  <c r="W482" i="10"/>
  <c r="X482" i="10" s="1"/>
  <c r="Y482" i="10"/>
  <c r="Z482" i="10"/>
  <c r="AA482" i="10"/>
  <c r="AB482" i="10"/>
  <c r="AC482" i="10"/>
  <c r="AD482" i="10" s="1"/>
  <c r="AE482" i="10"/>
  <c r="AF482" i="10" s="1"/>
  <c r="AG482" i="10"/>
  <c r="AH482" i="10" s="1"/>
  <c r="AI482" i="10"/>
  <c r="AJ482" i="10" s="1"/>
  <c r="AK482" i="10"/>
  <c r="AL482" i="10" s="1"/>
  <c r="AM482" i="10"/>
  <c r="AN482" i="10" s="1"/>
  <c r="AO482" i="10"/>
  <c r="AP482" i="10"/>
  <c r="AQ482" i="10"/>
  <c r="AR482" i="10"/>
  <c r="AS482" i="10"/>
  <c r="AT482" i="10"/>
  <c r="AU482" i="10"/>
  <c r="AV482" i="10"/>
  <c r="AW482" i="10"/>
  <c r="T483" i="10"/>
  <c r="W483" i="10"/>
  <c r="X483" i="10" s="1"/>
  <c r="Y483" i="10"/>
  <c r="Z483" i="10"/>
  <c r="AA483" i="10"/>
  <c r="AB483" i="10"/>
  <c r="AC483" i="10"/>
  <c r="AD483" i="10" s="1"/>
  <c r="AE483" i="10"/>
  <c r="AF483" i="10"/>
  <c r="AG483" i="10"/>
  <c r="AH483" i="10" s="1"/>
  <c r="AI483" i="10"/>
  <c r="AJ483" i="10" s="1"/>
  <c r="AK483" i="10"/>
  <c r="AL483" i="10" s="1"/>
  <c r="AM483" i="10"/>
  <c r="AN483" i="10" s="1"/>
  <c r="AO483" i="10"/>
  <c r="AP483" i="10"/>
  <c r="AQ483" i="10"/>
  <c r="AR483" i="10"/>
  <c r="AS483" i="10"/>
  <c r="AT483" i="10"/>
  <c r="AU483" i="10"/>
  <c r="AV483" i="10"/>
  <c r="AW483" i="10"/>
  <c r="T484" i="10"/>
  <c r="W484" i="10"/>
  <c r="X484" i="10"/>
  <c r="Y484" i="10"/>
  <c r="Z484" i="10"/>
  <c r="AA484" i="10"/>
  <c r="AB484" i="10"/>
  <c r="AC484" i="10"/>
  <c r="AD484" i="10" s="1"/>
  <c r="AE484" i="10"/>
  <c r="AF484" i="10" s="1"/>
  <c r="AG484" i="10"/>
  <c r="AH484" i="10" s="1"/>
  <c r="AI484" i="10"/>
  <c r="AJ484" i="10" s="1"/>
  <c r="AK484" i="10"/>
  <c r="AL484" i="10" s="1"/>
  <c r="AM484" i="10"/>
  <c r="AN484" i="10" s="1"/>
  <c r="AO484" i="10"/>
  <c r="AP484" i="10"/>
  <c r="AQ484" i="10"/>
  <c r="AR484" i="10"/>
  <c r="AS484" i="10"/>
  <c r="AT484" i="10"/>
  <c r="AU484" i="10"/>
  <c r="AV484" i="10"/>
  <c r="AW484" i="10"/>
  <c r="T485" i="10"/>
  <c r="W485" i="10"/>
  <c r="X485" i="10" s="1"/>
  <c r="Y485" i="10"/>
  <c r="Z485" i="10"/>
  <c r="AA485" i="10"/>
  <c r="AB485" i="10"/>
  <c r="AC485" i="10"/>
  <c r="AD485" i="10" s="1"/>
  <c r="AE485" i="10"/>
  <c r="AF485" i="10" s="1"/>
  <c r="AG485" i="10"/>
  <c r="AH485" i="10"/>
  <c r="AI485" i="10"/>
  <c r="AJ485" i="10" s="1"/>
  <c r="AK485" i="10"/>
  <c r="AL485" i="10" s="1"/>
  <c r="AM485" i="10"/>
  <c r="AN485" i="10" s="1"/>
  <c r="AO485" i="10"/>
  <c r="AP485" i="10"/>
  <c r="AQ485" i="10"/>
  <c r="AR485" i="10"/>
  <c r="AS485" i="10"/>
  <c r="AT485" i="10"/>
  <c r="AU485" i="10"/>
  <c r="AV485" i="10"/>
  <c r="AW485" i="10"/>
  <c r="T486" i="10"/>
  <c r="W486" i="10"/>
  <c r="X486" i="10" s="1"/>
  <c r="Y486" i="10"/>
  <c r="Z486" i="10"/>
  <c r="AA486" i="10"/>
  <c r="AB486" i="10"/>
  <c r="AC486" i="10"/>
  <c r="AD486" i="10" s="1"/>
  <c r="AE486" i="10"/>
  <c r="AF486" i="10" s="1"/>
  <c r="AG486" i="10"/>
  <c r="AH486" i="10"/>
  <c r="AI486" i="10"/>
  <c r="AJ486" i="10" s="1"/>
  <c r="AK486" i="10"/>
  <c r="AL486" i="10" s="1"/>
  <c r="AM486" i="10"/>
  <c r="AN486" i="10"/>
  <c r="AO486" i="10"/>
  <c r="AP486" i="10"/>
  <c r="AQ486" i="10"/>
  <c r="AR486" i="10"/>
  <c r="AS486" i="10"/>
  <c r="AT486" i="10"/>
  <c r="AU486" i="10"/>
  <c r="AV486" i="10"/>
  <c r="AW486" i="10"/>
  <c r="T487" i="10"/>
  <c r="W487" i="10"/>
  <c r="X487" i="10" s="1"/>
  <c r="Y487" i="10"/>
  <c r="Z487" i="10"/>
  <c r="AA487" i="10"/>
  <c r="AB487" i="10"/>
  <c r="AC487" i="10"/>
  <c r="AD487" i="10" s="1"/>
  <c r="AE487" i="10"/>
  <c r="AF487" i="10" s="1"/>
  <c r="AG487" i="10"/>
  <c r="AH487" i="10"/>
  <c r="AI487" i="10"/>
  <c r="AJ487" i="10"/>
  <c r="AK487" i="10"/>
  <c r="AL487" i="10" s="1"/>
  <c r="AM487" i="10"/>
  <c r="AN487" i="10" s="1"/>
  <c r="AO487" i="10"/>
  <c r="AP487" i="10"/>
  <c r="AQ487" i="10"/>
  <c r="AR487" i="10"/>
  <c r="AS487" i="10"/>
  <c r="AT487" i="10"/>
  <c r="AU487" i="10"/>
  <c r="AV487" i="10"/>
  <c r="AW487" i="10"/>
  <c r="T488" i="10"/>
  <c r="W488" i="10"/>
  <c r="X488" i="10" s="1"/>
  <c r="Y488" i="10"/>
  <c r="Z488" i="10"/>
  <c r="AA488" i="10"/>
  <c r="AB488" i="10"/>
  <c r="AC488" i="10"/>
  <c r="AD488" i="10" s="1"/>
  <c r="AE488" i="10"/>
  <c r="AF488" i="10"/>
  <c r="AG488" i="10"/>
  <c r="AH488" i="10" s="1"/>
  <c r="AI488" i="10"/>
  <c r="AJ488" i="10" s="1"/>
  <c r="AK488" i="10"/>
  <c r="AL488" i="10" s="1"/>
  <c r="AM488" i="10"/>
  <c r="AN488" i="10"/>
  <c r="AO488" i="10"/>
  <c r="AP488" i="10"/>
  <c r="AQ488" i="10"/>
  <c r="AR488" i="10"/>
  <c r="AS488" i="10"/>
  <c r="AT488" i="10"/>
  <c r="AU488" i="10"/>
  <c r="AV488" i="10"/>
  <c r="AW488" i="10"/>
  <c r="T489" i="10"/>
  <c r="W489" i="10"/>
  <c r="X489" i="10" s="1"/>
  <c r="Y489" i="10"/>
  <c r="Z489" i="10"/>
  <c r="AA489" i="10"/>
  <c r="AB489" i="10"/>
  <c r="AC489" i="10"/>
  <c r="AD489" i="10" s="1"/>
  <c r="AE489" i="10"/>
  <c r="AF489" i="10"/>
  <c r="AG489" i="10"/>
  <c r="AH489" i="10" s="1"/>
  <c r="AI489" i="10"/>
  <c r="AJ489" i="10" s="1"/>
  <c r="AK489" i="10"/>
  <c r="AL489" i="10"/>
  <c r="AM489" i="10"/>
  <c r="AN489" i="10"/>
  <c r="AO489" i="10"/>
  <c r="AP489" i="10"/>
  <c r="AQ489" i="10"/>
  <c r="AR489" i="10"/>
  <c r="AS489" i="10"/>
  <c r="AT489" i="10"/>
  <c r="AU489" i="10"/>
  <c r="AV489" i="10"/>
  <c r="AW489" i="10"/>
  <c r="T490" i="10"/>
  <c r="W490" i="10"/>
  <c r="X490" i="10"/>
  <c r="Y490" i="10"/>
  <c r="Z490" i="10"/>
  <c r="AA490" i="10"/>
  <c r="AB490" i="10"/>
  <c r="AC490" i="10"/>
  <c r="AD490" i="10" s="1"/>
  <c r="AE490" i="10"/>
  <c r="AF490" i="10"/>
  <c r="AG490" i="10"/>
  <c r="AH490" i="10" s="1"/>
  <c r="AI490" i="10"/>
  <c r="AJ490" i="10" s="1"/>
  <c r="AK490" i="10"/>
  <c r="AL490" i="10" s="1"/>
  <c r="AM490" i="10"/>
  <c r="AN490" i="10" s="1"/>
  <c r="AO490" i="10"/>
  <c r="AP490" i="10"/>
  <c r="AQ490" i="10"/>
  <c r="AR490" i="10"/>
  <c r="AS490" i="10"/>
  <c r="AT490" i="10"/>
  <c r="AU490" i="10"/>
  <c r="AV490" i="10"/>
  <c r="AW490" i="10"/>
  <c r="T491" i="10"/>
  <c r="W491" i="10"/>
  <c r="X491" i="10"/>
  <c r="Y491" i="10"/>
  <c r="Z491" i="10"/>
  <c r="AA491" i="10"/>
  <c r="AB491" i="10"/>
  <c r="AC491" i="10"/>
  <c r="AD491" i="10" s="1"/>
  <c r="AE491" i="10"/>
  <c r="AF491" i="10"/>
  <c r="AG491" i="10"/>
  <c r="AH491" i="10"/>
  <c r="AI491" i="10"/>
  <c r="AJ491" i="10" s="1"/>
  <c r="AK491" i="10"/>
  <c r="AL491" i="10" s="1"/>
  <c r="AM491" i="10"/>
  <c r="AN491" i="10" s="1"/>
  <c r="AO491" i="10"/>
  <c r="AP491" i="10"/>
  <c r="AQ491" i="10"/>
  <c r="AR491" i="10"/>
  <c r="AS491" i="10"/>
  <c r="AT491" i="10"/>
  <c r="AU491" i="10"/>
  <c r="AV491" i="10"/>
  <c r="AW491"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X3" i="7"/>
  <c r="X4" i="7"/>
  <c r="X5" i="7"/>
  <c r="X6" i="7"/>
  <c r="X7" i="7"/>
  <c r="X8" i="7"/>
  <c r="X9" i="7"/>
  <c r="X10" i="7"/>
  <c r="X11" i="7"/>
  <c r="X12" i="7"/>
  <c r="X13" i="7"/>
  <c r="X14" i="7"/>
  <c r="X15" i="7"/>
  <c r="X16" i="7"/>
  <c r="X17" i="7"/>
  <c r="X18" i="7"/>
  <c r="X19" i="7"/>
  <c r="X20" i="7"/>
  <c r="X21" i="7"/>
  <c r="X22" i="7"/>
  <c r="X23" i="7"/>
  <c r="X24" i="7"/>
  <c r="X25" i="7"/>
  <c r="X26" i="7"/>
  <c r="X27" i="7"/>
  <c r="X28" i="7"/>
  <c r="X29" i="7"/>
  <c r="X30" i="7"/>
  <c r="X31" i="7"/>
  <c r="X32" i="7"/>
  <c r="X33" i="7"/>
  <c r="X34" i="7"/>
  <c r="X35" i="7"/>
  <c r="X36" i="7"/>
  <c r="X37" i="7"/>
  <c r="X38" i="7"/>
  <c r="X39" i="7"/>
  <c r="X40" i="7"/>
  <c r="X41" i="7"/>
  <c r="X42" i="7"/>
  <c r="X43" i="7"/>
  <c r="X44" i="7"/>
  <c r="X45" i="7"/>
  <c r="X46" i="7"/>
  <c r="X47" i="7"/>
  <c r="X48" i="7"/>
  <c r="X49" i="7"/>
  <c r="X50" i="7"/>
  <c r="X51" i="7"/>
  <c r="X52" i="7"/>
  <c r="X53" i="7"/>
  <c r="X55" i="7"/>
  <c r="X56" i="7"/>
  <c r="X57" i="7"/>
  <c r="X58" i="7"/>
  <c r="X59" i="7"/>
  <c r="X60" i="7"/>
  <c r="X61" i="7"/>
  <c r="X62" i="7"/>
  <c r="X63" i="7"/>
  <c r="X64" i="7"/>
  <c r="X65" i="7"/>
  <c r="X66" i="7"/>
  <c r="X67" i="7"/>
  <c r="X68" i="7"/>
  <c r="X69" i="7"/>
  <c r="X70" i="7"/>
  <c r="X71" i="7"/>
  <c r="X72" i="7"/>
  <c r="X73" i="7"/>
  <c r="X74" i="7"/>
  <c r="X75" i="7"/>
  <c r="X76" i="7"/>
  <c r="X77" i="7"/>
  <c r="X78" i="7"/>
  <c r="X79" i="7"/>
  <c r="X80" i="7"/>
  <c r="X81" i="7"/>
  <c r="X82" i="7"/>
  <c r="X83" i="7"/>
  <c r="X84" i="7"/>
  <c r="X85" i="7"/>
  <c r="X86" i="7"/>
  <c r="X87" i="7"/>
  <c r="X88" i="7"/>
  <c r="X89" i="7"/>
  <c r="X90" i="7"/>
  <c r="X91" i="7"/>
  <c r="X92" i="7"/>
  <c r="X93" i="7"/>
  <c r="X94" i="7"/>
  <c r="X95" i="7"/>
  <c r="X96" i="7"/>
  <c r="X97" i="7"/>
  <c r="X98" i="7"/>
  <c r="X99" i="7"/>
  <c r="X100" i="7"/>
  <c r="X101" i="7"/>
  <c r="X102" i="7"/>
  <c r="X103" i="7"/>
  <c r="X104" i="7"/>
  <c r="X105" i="7"/>
  <c r="X106" i="7"/>
  <c r="X107" i="7"/>
  <c r="X108" i="7"/>
  <c r="X109" i="7"/>
  <c r="X110" i="7"/>
  <c r="X111" i="7"/>
  <c r="X112" i="7"/>
  <c r="X113" i="7"/>
  <c r="X114" i="7"/>
  <c r="X115" i="7"/>
  <c r="X116" i="7"/>
  <c r="X117" i="7"/>
  <c r="X118" i="7"/>
  <c r="X119" i="7"/>
  <c r="X120" i="7"/>
  <c r="X121" i="7"/>
  <c r="X122" i="7"/>
  <c r="X123" i="7"/>
  <c r="X124" i="7"/>
  <c r="X125" i="7"/>
  <c r="X126" i="7"/>
  <c r="X127" i="7"/>
  <c r="X128" i="7"/>
  <c r="X129" i="7"/>
  <c r="X130" i="7"/>
  <c r="X131" i="7"/>
  <c r="X132" i="7"/>
  <c r="X133" i="7"/>
  <c r="X134" i="7"/>
  <c r="X135" i="7"/>
  <c r="X136" i="7"/>
  <c r="X137" i="7"/>
  <c r="X138" i="7"/>
  <c r="X139" i="7"/>
  <c r="X140" i="7"/>
  <c r="X141" i="7"/>
  <c r="X142" i="7"/>
  <c r="X143" i="7"/>
  <c r="X144" i="7"/>
  <c r="X145" i="7"/>
  <c r="X146" i="7"/>
  <c r="X147" i="7"/>
  <c r="X148" i="7"/>
  <c r="X149" i="7"/>
  <c r="X150" i="7"/>
  <c r="X151" i="7"/>
  <c r="X152" i="7"/>
  <c r="X153" i="7"/>
  <c r="X154" i="7"/>
  <c r="X155" i="7"/>
  <c r="X156" i="7"/>
  <c r="X157" i="7"/>
  <c r="X158" i="7"/>
  <c r="X159" i="7"/>
  <c r="X160" i="7"/>
  <c r="X161" i="7"/>
  <c r="X162" i="7"/>
  <c r="X163" i="7"/>
  <c r="X164" i="7"/>
  <c r="X165" i="7"/>
  <c r="X166" i="7"/>
  <c r="X167" i="7"/>
  <c r="X168" i="7"/>
  <c r="X169" i="7"/>
  <c r="X170" i="7"/>
  <c r="X171" i="7"/>
  <c r="X172" i="7"/>
  <c r="X173" i="7"/>
  <c r="X174" i="7"/>
  <c r="X175" i="7"/>
  <c r="X176" i="7"/>
  <c r="X177" i="7"/>
  <c r="X178" i="7"/>
  <c r="X179" i="7"/>
  <c r="X180" i="7"/>
  <c r="X181" i="7"/>
  <c r="X182" i="7"/>
  <c r="X183" i="7"/>
  <c r="X184" i="7"/>
  <c r="X185" i="7"/>
  <c r="X186" i="7"/>
  <c r="X187" i="7"/>
  <c r="X188" i="7"/>
  <c r="X189" i="7"/>
  <c r="X190" i="7"/>
  <c r="X191" i="7"/>
  <c r="X192" i="7"/>
  <c r="X193" i="7"/>
  <c r="X194" i="7"/>
  <c r="X195" i="7"/>
  <c r="X196" i="7"/>
  <c r="X197" i="7"/>
  <c r="X198" i="7"/>
  <c r="X199" i="7"/>
  <c r="X200" i="7"/>
  <c r="X201" i="7"/>
  <c r="X202" i="7"/>
  <c r="X203" i="7"/>
  <c r="X204" i="7"/>
  <c r="X205" i="7"/>
  <c r="X206" i="7"/>
  <c r="X207" i="7"/>
  <c r="X208" i="7"/>
  <c r="X209" i="7"/>
  <c r="X210" i="7"/>
  <c r="X211" i="7"/>
  <c r="X212" i="7"/>
  <c r="X213" i="7"/>
  <c r="X214" i="7"/>
  <c r="X215" i="7"/>
  <c r="X216" i="7"/>
  <c r="X217" i="7"/>
  <c r="X218" i="7"/>
  <c r="X219" i="7"/>
  <c r="X220" i="7"/>
  <c r="X221" i="7"/>
  <c r="X222" i="7"/>
  <c r="X223" i="7"/>
  <c r="X224" i="7"/>
  <c r="X225" i="7"/>
  <c r="X226" i="7"/>
  <c r="X227" i="7"/>
  <c r="X228" i="7"/>
  <c r="X229" i="7"/>
  <c r="X230" i="7"/>
  <c r="X231" i="7"/>
  <c r="X232" i="7"/>
  <c r="X233" i="7"/>
  <c r="X234" i="7"/>
  <c r="X235" i="7"/>
  <c r="X236" i="7"/>
  <c r="X237" i="7"/>
  <c r="X238" i="7"/>
  <c r="X239" i="7"/>
  <c r="X240" i="7"/>
  <c r="X241" i="7"/>
  <c r="X242" i="7"/>
  <c r="X243" i="7"/>
  <c r="X244" i="7"/>
  <c r="X245" i="7"/>
  <c r="X246" i="7"/>
  <c r="X247" i="7"/>
  <c r="X248" i="7"/>
  <c r="X249" i="7"/>
  <c r="X250" i="7"/>
  <c r="X251" i="7"/>
  <c r="X252" i="7"/>
  <c r="X253" i="7"/>
  <c r="X254" i="7"/>
  <c r="X255" i="7"/>
  <c r="X256" i="7"/>
  <c r="X257" i="7"/>
  <c r="X258" i="7"/>
  <c r="X259" i="7"/>
  <c r="X260" i="7"/>
  <c r="X261" i="7"/>
  <c r="X262" i="7"/>
  <c r="X263" i="7"/>
  <c r="X264" i="7"/>
  <c r="X265" i="7"/>
  <c r="X266" i="7"/>
  <c r="X267" i="7"/>
  <c r="X268" i="7"/>
  <c r="X269" i="7"/>
  <c r="X270" i="7"/>
  <c r="X271" i="7"/>
  <c r="X272" i="7"/>
  <c r="X273" i="7"/>
  <c r="X274" i="7"/>
  <c r="X275" i="7"/>
  <c r="X276" i="7"/>
  <c r="X277" i="7"/>
  <c r="X278" i="7"/>
  <c r="X279" i="7"/>
  <c r="X280" i="7"/>
  <c r="X281" i="7"/>
  <c r="X282" i="7"/>
  <c r="X283" i="7"/>
  <c r="X284" i="7"/>
  <c r="X285" i="7"/>
  <c r="X286" i="7"/>
  <c r="X287" i="7"/>
  <c r="X288" i="7"/>
  <c r="X289" i="7"/>
  <c r="X290" i="7"/>
  <c r="X291" i="7"/>
  <c r="X292" i="7"/>
  <c r="X293" i="7"/>
  <c r="X294" i="7"/>
  <c r="X295" i="7"/>
  <c r="X296" i="7"/>
  <c r="X297" i="7"/>
  <c r="X298" i="7"/>
  <c r="X299" i="7"/>
  <c r="X300" i="7"/>
  <c r="X301" i="7"/>
  <c r="X302" i="7"/>
  <c r="X303" i="7"/>
  <c r="X304" i="7"/>
  <c r="X305" i="7"/>
  <c r="X306" i="7"/>
  <c r="X307" i="7"/>
  <c r="X308" i="7"/>
  <c r="X309" i="7"/>
  <c r="X310" i="7"/>
  <c r="X311" i="7"/>
  <c r="X312" i="7"/>
  <c r="X313" i="7"/>
  <c r="X314" i="7"/>
  <c r="X315" i="7"/>
  <c r="X316" i="7"/>
  <c r="X317" i="7"/>
  <c r="X318" i="7"/>
  <c r="X319" i="7"/>
  <c r="X320" i="7"/>
  <c r="X321" i="7"/>
  <c r="X322" i="7"/>
  <c r="X323" i="7"/>
  <c r="X324" i="7"/>
  <c r="X325" i="7"/>
  <c r="X326" i="7"/>
  <c r="X327" i="7"/>
  <c r="X328" i="7"/>
  <c r="X329" i="7"/>
  <c r="X330" i="7"/>
  <c r="X331" i="7"/>
  <c r="X332" i="7"/>
  <c r="X333" i="7"/>
  <c r="X334" i="7"/>
  <c r="X335" i="7"/>
  <c r="X336" i="7"/>
  <c r="X337" i="7"/>
  <c r="X338" i="7"/>
  <c r="X339" i="7"/>
  <c r="X340" i="7"/>
  <c r="X341" i="7"/>
  <c r="X342" i="7"/>
  <c r="X343" i="7"/>
  <c r="X344" i="7"/>
  <c r="X345" i="7"/>
  <c r="X346" i="7"/>
  <c r="X347" i="7"/>
  <c r="X348" i="7"/>
  <c r="X349" i="7"/>
  <c r="X350" i="7"/>
  <c r="X351" i="7"/>
  <c r="X352" i="7"/>
  <c r="X353" i="7"/>
  <c r="X354" i="7"/>
  <c r="X355" i="7"/>
  <c r="X356" i="7"/>
  <c r="X357" i="7"/>
  <c r="X358" i="7"/>
  <c r="X359" i="7"/>
  <c r="X360" i="7"/>
  <c r="X361" i="7"/>
  <c r="X362" i="7"/>
  <c r="X363" i="7"/>
  <c r="X364" i="7"/>
  <c r="X365" i="7"/>
  <c r="X366" i="7"/>
  <c r="X367" i="7"/>
  <c r="X368" i="7"/>
  <c r="X369" i="7"/>
  <c r="X370" i="7"/>
  <c r="X371" i="7"/>
  <c r="X372" i="7"/>
  <c r="X373" i="7"/>
  <c r="X374" i="7"/>
  <c r="X375" i="7"/>
  <c r="X376" i="7"/>
  <c r="X377" i="7"/>
  <c r="X378" i="7"/>
  <c r="X379" i="7"/>
  <c r="X380" i="7"/>
  <c r="X381" i="7"/>
  <c r="X382" i="7"/>
  <c r="X383" i="7"/>
  <c r="X384" i="7"/>
  <c r="X385" i="7"/>
  <c r="X386" i="7"/>
  <c r="X387" i="7"/>
  <c r="X388" i="7"/>
  <c r="X389" i="7"/>
  <c r="X390" i="7"/>
  <c r="X391" i="7"/>
  <c r="X392" i="7"/>
  <c r="X393" i="7"/>
  <c r="X394" i="7"/>
  <c r="X395" i="7"/>
  <c r="X396" i="7"/>
  <c r="X397" i="7"/>
  <c r="X398" i="7"/>
  <c r="X399" i="7"/>
  <c r="X400" i="7"/>
  <c r="X401" i="7"/>
  <c r="X402" i="7"/>
  <c r="X403" i="7"/>
  <c r="X404" i="7"/>
  <c r="X405" i="7"/>
  <c r="X406" i="7"/>
  <c r="X407" i="7"/>
  <c r="X408" i="7"/>
  <c r="X409" i="7"/>
  <c r="X410" i="7"/>
  <c r="X411" i="7"/>
  <c r="X412" i="7"/>
  <c r="X413" i="7"/>
  <c r="X414" i="7"/>
  <c r="X415" i="7"/>
  <c r="X416" i="7"/>
  <c r="X417" i="7"/>
  <c r="X418" i="7"/>
  <c r="X419" i="7"/>
  <c r="X420" i="7"/>
  <c r="X421" i="7"/>
  <c r="X422" i="7"/>
  <c r="X423" i="7"/>
  <c r="X424" i="7"/>
  <c r="X425" i="7"/>
  <c r="X426" i="7"/>
  <c r="X427" i="7"/>
  <c r="X428" i="7"/>
  <c r="X2" i="7"/>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492" i="10"/>
  <c r="U492"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X54" i="7" s="1"/>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3" i="7"/>
  <c r="BA124"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1" i="7"/>
  <c r="BA222"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V422" i="10" l="1"/>
  <c r="V153" i="10"/>
  <c r="V423" i="10"/>
  <c r="U423" i="10"/>
  <c r="U23" i="10"/>
  <c r="U405" i="10"/>
  <c r="U338" i="10"/>
  <c r="U257" i="10"/>
  <c r="U134" i="10"/>
  <c r="U284" i="10"/>
  <c r="U353" i="10"/>
  <c r="U420" i="10"/>
  <c r="V417" i="10"/>
  <c r="U415" i="10"/>
  <c r="U413" i="10"/>
  <c r="U241" i="10"/>
  <c r="U175" i="10"/>
  <c r="U101" i="10"/>
  <c r="U74" i="10"/>
  <c r="U61" i="10"/>
  <c r="V19" i="10"/>
  <c r="U103" i="10"/>
  <c r="U461" i="10"/>
  <c r="V450" i="10"/>
  <c r="V322" i="10"/>
  <c r="U310" i="10"/>
  <c r="U307" i="10"/>
  <c r="U299" i="10"/>
  <c r="U152" i="10"/>
  <c r="V134" i="10"/>
  <c r="U69" i="10"/>
  <c r="U14" i="10"/>
  <c r="U418" i="10"/>
  <c r="U486" i="10"/>
  <c r="U437" i="10"/>
  <c r="U341" i="10"/>
  <c r="U421" i="10"/>
  <c r="U390" i="10"/>
  <c r="U85" i="10"/>
  <c r="U323" i="10"/>
  <c r="U303" i="10"/>
  <c r="V292" i="10"/>
  <c r="U89" i="10"/>
  <c r="U319" i="10"/>
  <c r="U386" i="10"/>
  <c r="U255" i="10"/>
  <c r="U245" i="10"/>
  <c r="U156" i="10"/>
  <c r="U125" i="10"/>
  <c r="U189" i="10"/>
  <c r="U30" i="10"/>
  <c r="U419" i="10"/>
  <c r="U489" i="10"/>
  <c r="U459" i="10"/>
  <c r="U425" i="10"/>
  <c r="U318" i="10"/>
  <c r="U278" i="10"/>
  <c r="U139" i="10"/>
  <c r="V381" i="10"/>
  <c r="U334" i="10"/>
  <c r="U238" i="10"/>
  <c r="U224" i="10"/>
  <c r="U411" i="10"/>
  <c r="V411" i="10"/>
  <c r="U416" i="10"/>
  <c r="V416" i="10"/>
  <c r="U414" i="10"/>
  <c r="V414" i="10"/>
  <c r="V412" i="10"/>
  <c r="U412" i="10"/>
  <c r="V419" i="10"/>
  <c r="V424" i="10"/>
  <c r="V418" i="10"/>
  <c r="V413" i="10"/>
  <c r="V420" i="10"/>
  <c r="V415" i="10"/>
  <c r="V410" i="10"/>
  <c r="V397" i="10"/>
  <c r="V372" i="10"/>
  <c r="U367" i="10"/>
  <c r="U442" i="10"/>
  <c r="U427" i="10"/>
  <c r="U479" i="10"/>
  <c r="U474" i="10"/>
  <c r="U399" i="10"/>
  <c r="V396" i="10"/>
  <c r="V378" i="10"/>
  <c r="V455" i="10"/>
  <c r="V409" i="10"/>
  <c r="U342" i="10"/>
  <c r="U243" i="10"/>
  <c r="U464" i="10"/>
  <c r="V388" i="10"/>
  <c r="U220" i="10"/>
  <c r="V179" i="10"/>
  <c r="V481" i="10"/>
  <c r="V448" i="10"/>
  <c r="U433" i="10"/>
  <c r="V400" i="10"/>
  <c r="U389" i="10"/>
  <c r="V436" i="10"/>
  <c r="U317" i="10"/>
  <c r="V317" i="10"/>
  <c r="V155" i="10"/>
  <c r="U491" i="10"/>
  <c r="U485" i="10"/>
  <c r="U449" i="10"/>
  <c r="U441" i="10"/>
  <c r="V342" i="10"/>
  <c r="U314" i="10"/>
  <c r="V249" i="10"/>
  <c r="U470" i="10"/>
  <c r="U273" i="10"/>
  <c r="U487" i="10"/>
  <c r="U364" i="10"/>
  <c r="V429" i="10"/>
  <c r="U406" i="10"/>
  <c r="U402" i="10"/>
  <c r="U362" i="10"/>
  <c r="V362" i="10"/>
  <c r="U302" i="10"/>
  <c r="V215" i="10"/>
  <c r="V165" i="10"/>
  <c r="V104" i="10"/>
  <c r="U295" i="10"/>
  <c r="V275" i="10"/>
  <c r="V426" i="10"/>
  <c r="U326" i="10"/>
  <c r="U291" i="10"/>
  <c r="U209" i="10"/>
  <c r="V139" i="10"/>
  <c r="U111" i="10"/>
  <c r="U63" i="10"/>
  <c r="U25" i="10"/>
  <c r="U453" i="10"/>
  <c r="U448" i="10"/>
  <c r="V446" i="10"/>
  <c r="U384" i="10"/>
  <c r="V353" i="10"/>
  <c r="U346" i="10"/>
  <c r="U298" i="10"/>
  <c r="U267" i="10"/>
  <c r="V159" i="10"/>
  <c r="V30" i="10"/>
  <c r="V386" i="10"/>
  <c r="V380" i="10"/>
  <c r="U280" i="10"/>
  <c r="V247" i="10"/>
  <c r="U237" i="10"/>
  <c r="U218" i="10"/>
  <c r="V201" i="10"/>
  <c r="U159" i="10"/>
  <c r="U71" i="10"/>
  <c r="U263" i="10"/>
  <c r="V152" i="10"/>
  <c r="V332" i="10"/>
  <c r="U140" i="10"/>
  <c r="V131" i="10"/>
  <c r="V97" i="10"/>
  <c r="U97" i="10"/>
  <c r="V384" i="10"/>
  <c r="V485" i="10"/>
  <c r="U444" i="10"/>
  <c r="U435" i="10"/>
  <c r="V431" i="10"/>
  <c r="V309" i="10"/>
  <c r="U272" i="10"/>
  <c r="V263" i="10"/>
  <c r="V246" i="10"/>
  <c r="U246" i="10"/>
  <c r="U233" i="10"/>
  <c r="V168" i="10"/>
  <c r="U165" i="10"/>
  <c r="V115" i="10"/>
  <c r="U292" i="10"/>
  <c r="V229" i="10"/>
  <c r="U184" i="10"/>
  <c r="U64" i="10"/>
  <c r="V325" i="10"/>
  <c r="U113" i="10"/>
  <c r="V73" i="10"/>
  <c r="V300" i="10"/>
  <c r="V290" i="10"/>
  <c r="U266" i="10"/>
  <c r="V101" i="10"/>
  <c r="U62" i="10"/>
  <c r="U483" i="10"/>
  <c r="U356" i="10"/>
  <c r="V350" i="10"/>
  <c r="V490" i="10"/>
  <c r="U477" i="10"/>
  <c r="U475" i="10"/>
  <c r="V467" i="10"/>
  <c r="U463" i="10"/>
  <c r="U452" i="10"/>
  <c r="V355" i="10"/>
  <c r="U306" i="10"/>
  <c r="U294" i="10"/>
  <c r="V232" i="10"/>
  <c r="U225" i="10"/>
  <c r="V192" i="10"/>
  <c r="U104" i="10"/>
  <c r="V37" i="10"/>
  <c r="U471" i="10"/>
  <c r="U467" i="10"/>
  <c r="V461" i="10"/>
  <c r="V439" i="10"/>
  <c r="V357" i="10"/>
  <c r="V336" i="10"/>
  <c r="V307" i="10"/>
  <c r="U275" i="10"/>
  <c r="U223" i="10"/>
  <c r="V210" i="10"/>
  <c r="U100" i="10"/>
  <c r="U94" i="10"/>
  <c r="U78" i="10"/>
  <c r="V46" i="10"/>
  <c r="U472" i="10"/>
  <c r="U469" i="10"/>
  <c r="U350" i="10"/>
  <c r="U229" i="10"/>
  <c r="V200" i="10"/>
  <c r="U198" i="10"/>
  <c r="V141" i="10"/>
  <c r="V109" i="10"/>
  <c r="U51" i="10"/>
  <c r="U34" i="10"/>
  <c r="U120" i="10"/>
  <c r="V34" i="10"/>
  <c r="V23" i="10"/>
  <c r="U123" i="10"/>
  <c r="U109" i="10"/>
  <c r="U28" i="10"/>
  <c r="U185" i="10"/>
  <c r="U168" i="10"/>
  <c r="U95" i="10"/>
  <c r="U67" i="10"/>
  <c r="V65" i="10"/>
  <c r="U45" i="10"/>
  <c r="U368" i="10"/>
  <c r="U322" i="10"/>
  <c r="U293" i="10"/>
  <c r="V144" i="10"/>
  <c r="V127" i="10"/>
  <c r="V107" i="10"/>
  <c r="V78" i="10"/>
  <c r="V8" i="10"/>
  <c r="U39" i="10"/>
  <c r="U8" i="10"/>
  <c r="U16" i="10"/>
  <c r="V11" i="10"/>
  <c r="V89" i="10"/>
  <c r="U29" i="10"/>
  <c r="V370" i="10"/>
  <c r="V312" i="10"/>
  <c r="U197" i="10"/>
  <c r="V181" i="10"/>
  <c r="V111" i="10"/>
  <c r="U73" i="10"/>
  <c r="V284" i="10"/>
  <c r="U236" i="10"/>
  <c r="U206" i="10"/>
  <c r="U127" i="10"/>
  <c r="V69" i="10"/>
  <c r="U58" i="10"/>
  <c r="V43" i="10"/>
  <c r="V468" i="10"/>
  <c r="U468" i="10"/>
  <c r="V479" i="10"/>
  <c r="V460" i="10"/>
  <c r="U460" i="10"/>
  <c r="U458" i="10"/>
  <c r="V458" i="10"/>
  <c r="V480" i="10"/>
  <c r="U480" i="10"/>
  <c r="V476" i="10"/>
  <c r="U476" i="10"/>
  <c r="U456" i="10"/>
  <c r="V456" i="10"/>
  <c r="V391" i="10"/>
  <c r="U391" i="10"/>
  <c r="V444" i="10"/>
  <c r="V308" i="10"/>
  <c r="U308" i="10"/>
  <c r="U454" i="10"/>
  <c r="V454" i="10"/>
  <c r="V459" i="10"/>
  <c r="V393" i="10"/>
  <c r="V457" i="10"/>
  <c r="U457" i="10"/>
  <c r="U403" i="10"/>
  <c r="V403" i="10"/>
  <c r="U434" i="10"/>
  <c r="V434" i="10"/>
  <c r="V473" i="10"/>
  <c r="U473" i="10"/>
  <c r="V331" i="10"/>
  <c r="V472" i="10"/>
  <c r="V489" i="10"/>
  <c r="U488" i="10"/>
  <c r="V488" i="10"/>
  <c r="V445" i="10"/>
  <c r="U445" i="10"/>
  <c r="V435" i="10"/>
  <c r="V379" i="10"/>
  <c r="U379" i="10"/>
  <c r="V482" i="10"/>
  <c r="U482" i="10"/>
  <c r="V428" i="10"/>
  <c r="U428" i="10"/>
  <c r="U430" i="10"/>
  <c r="V430" i="10"/>
  <c r="V270" i="10"/>
  <c r="U270" i="10"/>
  <c r="V437" i="10"/>
  <c r="V462" i="10"/>
  <c r="U490" i="10"/>
  <c r="U447" i="10"/>
  <c r="V375" i="10"/>
  <c r="U375" i="10"/>
  <c r="V306" i="10"/>
  <c r="U253" i="10"/>
  <c r="V253" i="10"/>
  <c r="V213" i="10"/>
  <c r="U211" i="10"/>
  <c r="V211" i="10"/>
  <c r="V491" i="10"/>
  <c r="V483" i="10"/>
  <c r="V463" i="10"/>
  <c r="V452" i="10"/>
  <c r="V402" i="10"/>
  <c r="U400" i="10"/>
  <c r="U397" i="10"/>
  <c r="V389" i="10"/>
  <c r="U373" i="10"/>
  <c r="V373" i="10"/>
  <c r="U332" i="10"/>
  <c r="U320" i="10"/>
  <c r="V320" i="10"/>
  <c r="U309" i="10"/>
  <c r="U300" i="10"/>
  <c r="V287" i="10"/>
  <c r="U287" i="10"/>
  <c r="V218" i="10"/>
  <c r="V365" i="10"/>
  <c r="U365" i="10"/>
  <c r="V359" i="10"/>
  <c r="U359" i="10"/>
  <c r="V354" i="10"/>
  <c r="U354" i="10"/>
  <c r="U348" i="10"/>
  <c r="V348" i="10"/>
  <c r="U256" i="10"/>
  <c r="V256" i="10"/>
  <c r="V486" i="10"/>
  <c r="V356" i="10"/>
  <c r="U371" i="10"/>
  <c r="V371" i="10"/>
  <c r="U340" i="10"/>
  <c r="V340" i="10"/>
  <c r="V239" i="10"/>
  <c r="V234" i="10"/>
  <c r="U234" i="10"/>
  <c r="U395" i="10"/>
  <c r="V368" i="10"/>
  <c r="U315" i="10"/>
  <c r="V315" i="10"/>
  <c r="V487" i="10"/>
  <c r="V477" i="10"/>
  <c r="U431" i="10"/>
  <c r="V406" i="10"/>
  <c r="V395" i="10"/>
  <c r="U357" i="10"/>
  <c r="V343" i="10"/>
  <c r="U343" i="10"/>
  <c r="V335" i="10"/>
  <c r="U335" i="10"/>
  <c r="V318" i="10"/>
  <c r="V303" i="10"/>
  <c r="V278" i="10"/>
  <c r="V484" i="10"/>
  <c r="V453" i="10"/>
  <c r="V449" i="10"/>
  <c r="V441" i="10"/>
  <c r="V438" i="10"/>
  <c r="U429" i="10"/>
  <c r="V390" i="10"/>
  <c r="U387" i="10"/>
  <c r="V387" i="10"/>
  <c r="U376" i="10"/>
  <c r="V376" i="10"/>
  <c r="U285" i="10"/>
  <c r="V285" i="10"/>
  <c r="V264" i="10"/>
  <c r="U264" i="10"/>
  <c r="U239" i="10"/>
  <c r="V464" i="10"/>
  <c r="V471" i="10"/>
  <c r="U409" i="10"/>
  <c r="U363" i="10"/>
  <c r="V363" i="10"/>
  <c r="V338" i="10"/>
  <c r="U333" i="10"/>
  <c r="V333" i="10"/>
  <c r="V324" i="10"/>
  <c r="U321" i="10"/>
  <c r="V321" i="10"/>
  <c r="V310" i="10"/>
  <c r="V269" i="10"/>
  <c r="V252" i="10"/>
  <c r="U252" i="10"/>
  <c r="U366" i="10"/>
  <c r="V366" i="10"/>
  <c r="U360" i="10"/>
  <c r="V327" i="10"/>
  <c r="V314" i="10"/>
  <c r="U301" i="10"/>
  <c r="V301" i="10"/>
  <c r="V281" i="10"/>
  <c r="U281" i="10"/>
  <c r="V257" i="10"/>
  <c r="U242" i="10"/>
  <c r="V242" i="10"/>
  <c r="U221" i="10"/>
  <c r="V425" i="10"/>
  <c r="U481" i="10"/>
  <c r="V478" i="10"/>
  <c r="U393" i="10"/>
  <c r="U374" i="10"/>
  <c r="V374" i="10"/>
  <c r="V360" i="10"/>
  <c r="V349" i="10"/>
  <c r="V330" i="10"/>
  <c r="V293" i="10"/>
  <c r="U484" i="10"/>
  <c r="U398" i="10"/>
  <c r="V398" i="10"/>
  <c r="V465" i="10"/>
  <c r="V407" i="10"/>
  <c r="U407" i="10"/>
  <c r="U380" i="10"/>
  <c r="V361" i="10"/>
  <c r="U327" i="10"/>
  <c r="V316" i="10"/>
  <c r="V233" i="10"/>
  <c r="V228" i="10"/>
  <c r="U228" i="10"/>
  <c r="U146" i="10"/>
  <c r="V146" i="10"/>
  <c r="V405" i="10"/>
  <c r="V323" i="10"/>
  <c r="U450" i="10"/>
  <c r="U438" i="10"/>
  <c r="V475" i="10"/>
  <c r="V442" i="10"/>
  <c r="U478" i="10"/>
  <c r="U455" i="10"/>
  <c r="U439" i="10"/>
  <c r="V404" i="10"/>
  <c r="U396" i="10"/>
  <c r="U388" i="10"/>
  <c r="U372" i="10"/>
  <c r="U316" i="10"/>
  <c r="U304" i="10"/>
  <c r="V304" i="10"/>
  <c r="V302" i="10"/>
  <c r="U401" i="10"/>
  <c r="V401" i="10"/>
  <c r="U385" i="10"/>
  <c r="V385" i="10"/>
  <c r="U358" i="10"/>
  <c r="V358" i="10"/>
  <c r="U347" i="10"/>
  <c r="V347" i="10"/>
  <c r="U274" i="10"/>
  <c r="V274" i="10"/>
  <c r="V224" i="10"/>
  <c r="V440" i="10"/>
  <c r="U289" i="10"/>
  <c r="V289" i="10"/>
  <c r="V469" i="10"/>
  <c r="U443" i="10"/>
  <c r="V443" i="10"/>
  <c r="V383" i="10"/>
  <c r="U377" i="10"/>
  <c r="V377" i="10"/>
  <c r="V339" i="10"/>
  <c r="U339" i="10"/>
  <c r="U258" i="10"/>
  <c r="V258" i="10"/>
  <c r="U215" i="10"/>
  <c r="V470" i="10"/>
  <c r="V474" i="10"/>
  <c r="V433" i="10"/>
  <c r="V466" i="10"/>
  <c r="V451" i="10"/>
  <c r="V432" i="10"/>
  <c r="U432" i="10"/>
  <c r="U466" i="10"/>
  <c r="U462" i="10"/>
  <c r="U451" i="10"/>
  <c r="V399" i="10"/>
  <c r="V394" i="10"/>
  <c r="U383" i="10"/>
  <c r="U381" i="10"/>
  <c r="V364" i="10"/>
  <c r="V298" i="10"/>
  <c r="V294" i="10"/>
  <c r="V427" i="10"/>
  <c r="U312" i="10"/>
  <c r="U297" i="10"/>
  <c r="V297" i="10"/>
  <c r="U290" i="10"/>
  <c r="U213" i="10"/>
  <c r="V166" i="10"/>
  <c r="U166" i="10"/>
  <c r="V237" i="10"/>
  <c r="V216" i="10"/>
  <c r="V178" i="10"/>
  <c r="U128" i="10"/>
  <c r="V128" i="10"/>
  <c r="V276" i="10"/>
  <c r="U276" i="10"/>
  <c r="V261" i="10"/>
  <c r="U261" i="10"/>
  <c r="V221" i="10"/>
  <c r="V279" i="10"/>
  <c r="U240" i="10"/>
  <c r="V240" i="10"/>
  <c r="U216" i="10"/>
  <c r="U328" i="10"/>
  <c r="V295" i="10"/>
  <c r="U282" i="10"/>
  <c r="V282" i="10"/>
  <c r="U279" i="10"/>
  <c r="V267" i="10"/>
  <c r="U249" i="10"/>
  <c r="U199" i="10"/>
  <c r="V199" i="10"/>
  <c r="U177" i="10"/>
  <c r="V177" i="10"/>
  <c r="U82" i="10"/>
  <c r="V82" i="10"/>
  <c r="U80" i="10"/>
  <c r="V80" i="10"/>
  <c r="U369" i="10"/>
  <c r="V369" i="10"/>
  <c r="U336" i="10"/>
  <c r="V328" i="10"/>
  <c r="U325" i="10"/>
  <c r="U313" i="10"/>
  <c r="V313" i="10"/>
  <c r="V243" i="10"/>
  <c r="U219" i="10"/>
  <c r="U192" i="10"/>
  <c r="U182" i="10"/>
  <c r="V182" i="10"/>
  <c r="V291" i="10"/>
  <c r="U288" i="10"/>
  <c r="V288" i="10"/>
  <c r="U227" i="10"/>
  <c r="V227" i="10"/>
  <c r="U370" i="10"/>
  <c r="V238" i="10"/>
  <c r="V222" i="10"/>
  <c r="U222" i="10"/>
  <c r="V219" i="10"/>
  <c r="V204" i="10"/>
  <c r="U204" i="10"/>
  <c r="V190" i="10"/>
  <c r="U190" i="10"/>
  <c r="U187" i="10"/>
  <c r="V187" i="10"/>
  <c r="V175" i="10"/>
  <c r="U162" i="10"/>
  <c r="V162" i="10"/>
  <c r="V299" i="10"/>
  <c r="U277" i="10"/>
  <c r="V277" i="10"/>
  <c r="V273" i="10"/>
  <c r="U247" i="10"/>
  <c r="V209" i="10"/>
  <c r="V195" i="10"/>
  <c r="U195" i="10"/>
  <c r="V163" i="10"/>
  <c r="U129" i="10"/>
  <c r="V129" i="10"/>
  <c r="V367" i="10"/>
  <c r="U355" i="10"/>
  <c r="U329" i="10"/>
  <c r="V329" i="10"/>
  <c r="V280" i="10"/>
  <c r="U268" i="10"/>
  <c r="V268" i="10"/>
  <c r="U230" i="10"/>
  <c r="U337" i="10"/>
  <c r="V326" i="10"/>
  <c r="V296" i="10"/>
  <c r="V286" i="10"/>
  <c r="U260" i="10"/>
  <c r="V260" i="10"/>
  <c r="V251" i="10"/>
  <c r="U250" i="10"/>
  <c r="V250" i="10"/>
  <c r="V223" i="10"/>
  <c r="V207" i="10"/>
  <c r="U207" i="10"/>
  <c r="U149" i="10"/>
  <c r="V149" i="10"/>
  <c r="U99" i="10"/>
  <c r="V99" i="10"/>
  <c r="V90" i="10"/>
  <c r="U90" i="10"/>
  <c r="U408" i="10"/>
  <c r="U392" i="10"/>
  <c r="U382" i="10"/>
  <c r="V382" i="10"/>
  <c r="U352" i="10"/>
  <c r="V319" i="10"/>
  <c r="U286" i="10"/>
  <c r="U283" i="10"/>
  <c r="U271" i="10"/>
  <c r="V230" i="10"/>
  <c r="U176" i="10"/>
  <c r="U160" i="10"/>
  <c r="V160" i="10"/>
  <c r="V408" i="10"/>
  <c r="V392" i="10"/>
  <c r="V352" i="10"/>
  <c r="U344" i="10"/>
  <c r="V344" i="10"/>
  <c r="V341" i="10"/>
  <c r="V337" i="10"/>
  <c r="V334" i="10"/>
  <c r="U251" i="10"/>
  <c r="V225" i="10"/>
  <c r="U217" i="10"/>
  <c r="U173" i="10"/>
  <c r="V173" i="10"/>
  <c r="U118" i="10"/>
  <c r="V118" i="10"/>
  <c r="U138" i="10"/>
  <c r="V138" i="10"/>
  <c r="V125" i="10"/>
  <c r="V189" i="10"/>
  <c r="U133" i="10"/>
  <c r="V133" i="10"/>
  <c r="V87" i="10"/>
  <c r="V171" i="10"/>
  <c r="V147" i="10"/>
  <c r="U136" i="10"/>
  <c r="V136" i="10"/>
  <c r="U107" i="10"/>
  <c r="V254" i="10"/>
  <c r="U254" i="10"/>
  <c r="U231" i="10"/>
  <c r="V231" i="10"/>
  <c r="V208" i="10"/>
  <c r="U208" i="10"/>
  <c r="V203" i="10"/>
  <c r="V193" i="10"/>
  <c r="V172" i="10"/>
  <c r="U172" i="10"/>
  <c r="V143" i="10"/>
  <c r="U122" i="10"/>
  <c r="V122" i="10"/>
  <c r="U112" i="10"/>
  <c r="V112" i="10"/>
  <c r="U265" i="10"/>
  <c r="V265" i="10"/>
  <c r="V259" i="10"/>
  <c r="V244" i="10"/>
  <c r="U244" i="10"/>
  <c r="U226" i="10"/>
  <c r="U201" i="10"/>
  <c r="V117" i="10"/>
  <c r="U117" i="10"/>
  <c r="V79" i="10"/>
  <c r="V351" i="10"/>
  <c r="U345" i="10"/>
  <c r="V311" i="10"/>
  <c r="U305" i="10"/>
  <c r="V305" i="10"/>
  <c r="V262" i="10"/>
  <c r="V248" i="10"/>
  <c r="U214" i="10"/>
  <c r="V206" i="10"/>
  <c r="U203" i="10"/>
  <c r="U193" i="10"/>
  <c r="U98" i="10"/>
  <c r="V98" i="10"/>
  <c r="V85" i="10"/>
  <c r="U79" i="10"/>
  <c r="U75" i="10"/>
  <c r="V75" i="10"/>
  <c r="V58" i="10"/>
  <c r="U40" i="10"/>
  <c r="V40" i="10"/>
  <c r="U296" i="10"/>
  <c r="V283" i="10"/>
  <c r="V272" i="10"/>
  <c r="U259" i="10"/>
  <c r="V241" i="10"/>
  <c r="V226" i="10"/>
  <c r="V214" i="10"/>
  <c r="V198" i="10"/>
  <c r="V196" i="10"/>
  <c r="U196" i="10"/>
  <c r="U145" i="10"/>
  <c r="V145" i="10"/>
  <c r="U86" i="10"/>
  <c r="V86" i="10"/>
  <c r="U361" i="10"/>
  <c r="U351" i="10"/>
  <c r="V345" i="10"/>
  <c r="U311" i="10"/>
  <c r="U262" i="10"/>
  <c r="V255" i="10"/>
  <c r="U248" i="10"/>
  <c r="U235" i="10"/>
  <c r="V235" i="10"/>
  <c r="U232" i="10"/>
  <c r="V220" i="10"/>
  <c r="V156" i="10"/>
  <c r="V150" i="10"/>
  <c r="U150" i="10"/>
  <c r="V135" i="10"/>
  <c r="U135" i="10"/>
  <c r="U47" i="10"/>
  <c r="V47" i="10"/>
  <c r="U186" i="10"/>
  <c r="V186" i="10"/>
  <c r="V184" i="10"/>
  <c r="V180" i="10"/>
  <c r="U180" i="10"/>
  <c r="U114" i="10"/>
  <c r="V114" i="10"/>
  <c r="U91" i="10"/>
  <c r="V91" i="10"/>
  <c r="V77" i="10"/>
  <c r="U57" i="10"/>
  <c r="V57" i="10"/>
  <c r="U174" i="10"/>
  <c r="V174" i="10"/>
  <c r="U143" i="10"/>
  <c r="U35" i="10"/>
  <c r="V35" i="10"/>
  <c r="U9" i="10"/>
  <c r="V9" i="10"/>
  <c r="U115" i="10"/>
  <c r="V169" i="10"/>
  <c r="U153" i="10"/>
  <c r="U13" i="10"/>
  <c r="V13" i="10"/>
  <c r="V39" i="10"/>
  <c r="U5" i="10"/>
  <c r="V5" i="10"/>
  <c r="V185" i="10"/>
  <c r="V176" i="10"/>
  <c r="V170" i="10"/>
  <c r="U110" i="10"/>
  <c r="V110" i="10"/>
  <c r="U105" i="10"/>
  <c r="V105" i="10"/>
  <c r="V202" i="10"/>
  <c r="U183" i="10"/>
  <c r="U157" i="10"/>
  <c r="V124" i="10"/>
  <c r="V113" i="10"/>
  <c r="V108" i="10"/>
  <c r="U108" i="10"/>
  <c r="V70" i="10"/>
  <c r="V64" i="10"/>
  <c r="V61" i="10"/>
  <c r="U27" i="10"/>
  <c r="V27" i="10"/>
  <c r="V271" i="10"/>
  <c r="V245" i="10"/>
  <c r="V188" i="10"/>
  <c r="V167" i="10"/>
  <c r="V157" i="10"/>
  <c r="U130" i="10"/>
  <c r="V130" i="10"/>
  <c r="U124" i="10"/>
  <c r="V119" i="10"/>
  <c r="U119" i="10"/>
  <c r="U102" i="10"/>
  <c r="V102" i="10"/>
  <c r="V50" i="10"/>
  <c r="U50" i="10"/>
  <c r="V266" i="10"/>
  <c r="V236" i="10"/>
  <c r="V217" i="10"/>
  <c r="V205" i="10"/>
  <c r="U202" i="10"/>
  <c r="U200" i="10"/>
  <c r="U188" i="10"/>
  <c r="V183" i="10"/>
  <c r="V164" i="10"/>
  <c r="U164" i="10"/>
  <c r="U161" i="10"/>
  <c r="V161" i="10"/>
  <c r="V95" i="10"/>
  <c r="U83" i="10"/>
  <c r="V83" i="10"/>
  <c r="V74" i="10"/>
  <c r="V68" i="10"/>
  <c r="U68" i="10"/>
  <c r="U48" i="10"/>
  <c r="U205" i="10"/>
  <c r="U194" i="10"/>
  <c r="V194" i="10"/>
  <c r="U167" i="10"/>
  <c r="U142" i="10"/>
  <c r="V142" i="10"/>
  <c r="V67" i="10"/>
  <c r="V92" i="10"/>
  <c r="U92" i="10"/>
  <c r="U55" i="10"/>
  <c r="V44" i="10"/>
  <c r="U44" i="10"/>
  <c r="V16" i="10"/>
  <c r="U121" i="10"/>
  <c r="V121" i="10"/>
  <c r="V71" i="10"/>
  <c r="U42" i="10"/>
  <c r="V42" i="10"/>
  <c r="U37" i="10"/>
  <c r="U24" i="10"/>
  <c r="V24" i="10"/>
  <c r="U19" i="10"/>
  <c r="U22" i="10"/>
  <c r="V22" i="10"/>
  <c r="V14" i="10"/>
  <c r="V59" i="10"/>
  <c r="V20" i="10"/>
  <c r="U20" i="10"/>
  <c r="U17" i="10"/>
  <c r="V17" i="10"/>
  <c r="U154" i="10"/>
  <c r="U147" i="10"/>
  <c r="V140" i="10"/>
  <c r="U93" i="10"/>
  <c r="V93" i="10"/>
  <c r="U87" i="10"/>
  <c r="U59" i="10"/>
  <c r="V48" i="10"/>
  <c r="V197" i="10"/>
  <c r="U169" i="10"/>
  <c r="V154" i="10"/>
  <c r="U81" i="10"/>
  <c r="V81" i="10"/>
  <c r="V72" i="10"/>
  <c r="U72" i="10"/>
  <c r="V51" i="10"/>
  <c r="V38" i="10"/>
  <c r="U38" i="10"/>
  <c r="V33" i="10"/>
  <c r="U126" i="10"/>
  <c r="V126" i="10"/>
  <c r="U96" i="10"/>
  <c r="V96" i="10"/>
  <c r="U56" i="10"/>
  <c r="V54" i="10"/>
  <c r="V36" i="10"/>
  <c r="V212" i="10"/>
  <c r="V151" i="10"/>
  <c r="U137" i="10"/>
  <c r="V137" i="10"/>
  <c r="U106" i="10"/>
  <c r="U41" i="10"/>
  <c r="V41" i="10"/>
  <c r="U36" i="10"/>
  <c r="V31" i="10"/>
  <c r="V21" i="10"/>
  <c r="V15" i="10"/>
  <c r="U212" i="10"/>
  <c r="V123" i="10"/>
  <c r="V106" i="10"/>
  <c r="V76" i="10"/>
  <c r="U54" i="10"/>
  <c r="U178" i="10"/>
  <c r="U158" i="10"/>
  <c r="V158" i="10"/>
  <c r="U151" i="10"/>
  <c r="V120" i="10"/>
  <c r="V103" i="10"/>
  <c r="V84" i="10"/>
  <c r="U84" i="10"/>
  <c r="U65" i="10"/>
  <c r="V62" i="10"/>
  <c r="V52" i="10"/>
  <c r="U31" i="10"/>
  <c r="U26" i="10"/>
  <c r="V26" i="10"/>
  <c r="U21" i="10"/>
  <c r="U15" i="10"/>
  <c r="U191" i="10"/>
  <c r="V191" i="10"/>
  <c r="U163" i="10"/>
  <c r="U131" i="10"/>
  <c r="V94" i="10"/>
  <c r="U76" i="10"/>
  <c r="U52" i="10"/>
  <c r="U46" i="10"/>
  <c r="U33" i="10"/>
  <c r="U11" i="10"/>
  <c r="V4" i="10"/>
  <c r="U7" i="10"/>
  <c r="V7" i="10"/>
  <c r="V55" i="10"/>
  <c r="V28" i="10"/>
  <c r="V66" i="10"/>
  <c r="V49" i="10"/>
  <c r="U32" i="10"/>
  <c r="V100" i="10"/>
  <c r="V88" i="10"/>
  <c r="V45" i="10"/>
  <c r="V32" i="10"/>
  <c r="U6" i="10"/>
  <c r="V148" i="10"/>
  <c r="V132" i="10"/>
  <c r="V116" i="10"/>
  <c r="U66" i="10"/>
  <c r="V63" i="10"/>
  <c r="V53" i="10"/>
  <c r="U49" i="10"/>
  <c r="U10" i="10"/>
  <c r="V6" i="10"/>
  <c r="U170" i="10"/>
  <c r="U88" i="10"/>
  <c r="V60" i="10"/>
  <c r="U60" i="10"/>
  <c r="V56" i="10"/>
  <c r="U53" i="10"/>
  <c r="V29" i="10"/>
  <c r="V25" i="10"/>
  <c r="U148" i="10"/>
  <c r="U132" i="10"/>
  <c r="U116" i="10"/>
  <c r="U70" i="10"/>
  <c r="U43" i="10"/>
  <c r="V10" i="10"/>
  <c r="V12" i="10"/>
  <c r="U18" i="10"/>
  <c r="U3" i="10"/>
  <c r="V3" i="10"/>
  <c r="U12" i="10"/>
  <c r="V18" i="10"/>
  <c r="Z121" i="7"/>
  <c r="AA121" i="7"/>
  <c r="AB121" i="7"/>
  <c r="AC121" i="7"/>
  <c r="AD121" i="7"/>
  <c r="AE121" i="7"/>
  <c r="AF121" i="7"/>
  <c r="AG121" i="7"/>
  <c r="AH121" i="7" s="1"/>
  <c r="AI121" i="7"/>
  <c r="AJ121" i="7"/>
  <c r="AM121" i="7" s="1"/>
  <c r="AN121" i="7" s="1"/>
  <c r="AK121" i="7"/>
  <c r="AL121" i="7"/>
  <c r="AO121" i="7"/>
  <c r="AP121" i="7"/>
  <c r="AQ121" i="7"/>
  <c r="AR121" i="7"/>
  <c r="AS121" i="7"/>
  <c r="AT121" i="7"/>
  <c r="AU121" i="7"/>
  <c r="AV121" i="7"/>
  <c r="AW121" i="7"/>
  <c r="AX121" i="7" s="1"/>
  <c r="AY121" i="7"/>
  <c r="AZ121" i="7"/>
  <c r="BB121" i="7"/>
  <c r="BC121" i="7"/>
  <c r="BD121" i="7"/>
  <c r="BE121" i="7"/>
  <c r="BF121" i="7"/>
  <c r="BG121" i="7"/>
  <c r="BH121" i="7"/>
  <c r="BI121" i="7"/>
  <c r="BJ121" i="7"/>
  <c r="Z122" i="7"/>
  <c r="AA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B3" i="7"/>
  <c r="BC3" i="7"/>
  <c r="BD3" i="7"/>
  <c r="BE3" i="7"/>
  <c r="BF3" i="7"/>
  <c r="BG3" i="7"/>
  <c r="BH3" i="7"/>
  <c r="BI3" i="7"/>
  <c r="BJ3" i="7"/>
  <c r="Z4" i="7"/>
  <c r="AA4" i="7"/>
  <c r="AB4" i="7"/>
  <c r="AC4" i="7"/>
  <c r="AD4" i="7"/>
  <c r="AE4" i="7"/>
  <c r="AF4" i="7"/>
  <c r="AG4" i="7"/>
  <c r="AH4" i="7" s="1"/>
  <c r="AI4" i="7"/>
  <c r="AJ4" i="7"/>
  <c r="AK4" i="7"/>
  <c r="AL4" i="7"/>
  <c r="AM4" i="7" s="1"/>
  <c r="AN4" i="7" s="1"/>
  <c r="AO4" i="7"/>
  <c r="AP4" i="7"/>
  <c r="AQ4" i="7"/>
  <c r="AR4" i="7"/>
  <c r="AS4" i="7"/>
  <c r="AT4" i="7" s="1"/>
  <c r="AU4" i="7"/>
  <c r="AV4" i="7" s="1"/>
  <c r="AW4" i="7"/>
  <c r="AX4" i="7" s="1"/>
  <c r="AY4" i="7"/>
  <c r="AZ4" i="7"/>
  <c r="BB4" i="7"/>
  <c r="BC4" i="7"/>
  <c r="BD4" i="7"/>
  <c r="BE4" i="7"/>
  <c r="BF4" i="7"/>
  <c r="BG4" i="7"/>
  <c r="BH4" i="7"/>
  <c r="BI4" i="7"/>
  <c r="BJ4" i="7"/>
  <c r="Z5" i="7"/>
  <c r="AA5" i="7" s="1"/>
  <c r="AB5" i="7"/>
  <c r="AC5" i="7"/>
  <c r="AD5" i="7"/>
  <c r="AE5" i="7"/>
  <c r="AF5" i="7"/>
  <c r="AG5" i="7"/>
  <c r="AH5" i="7"/>
  <c r="AI5" i="7"/>
  <c r="AJ5" i="7"/>
  <c r="AK5" i="7"/>
  <c r="AL5" i="7"/>
  <c r="AO5" i="7"/>
  <c r="AP5" i="7"/>
  <c r="AQ5" i="7"/>
  <c r="AR5" i="7"/>
  <c r="AS5" i="7"/>
  <c r="AT5" i="7" s="1"/>
  <c r="AU5" i="7"/>
  <c r="AV5" i="7"/>
  <c r="AW5" i="7"/>
  <c r="AX5" i="7"/>
  <c r="AY5" i="7"/>
  <c r="AZ5" i="7"/>
  <c r="BB5" i="7"/>
  <c r="BC5" i="7"/>
  <c r="BD5" i="7"/>
  <c r="BE5" i="7"/>
  <c r="BF5" i="7"/>
  <c r="BG5" i="7"/>
  <c r="BH5" i="7"/>
  <c r="BI5" i="7"/>
  <c r="BJ5" i="7"/>
  <c r="Z6" i="7"/>
  <c r="AA6" i="7"/>
  <c r="AB6" i="7"/>
  <c r="AC6" i="7"/>
  <c r="AD6" i="7"/>
  <c r="AE6" i="7"/>
  <c r="AF6" i="7"/>
  <c r="AG6" i="7"/>
  <c r="AH6" i="7" s="1"/>
  <c r="AI6" i="7"/>
  <c r="AJ6" i="7"/>
  <c r="AK6" i="7"/>
  <c r="AM6" i="7" s="1"/>
  <c r="AN6" i="7" s="1"/>
  <c r="AL6" i="7"/>
  <c r="AO6" i="7"/>
  <c r="AP6" i="7"/>
  <c r="AQ6" i="7"/>
  <c r="AR6" i="7"/>
  <c r="AS6" i="7"/>
  <c r="AT6" i="7" s="1"/>
  <c r="AU6" i="7"/>
  <c r="AV6" i="7" s="1"/>
  <c r="AW6" i="7"/>
  <c r="AX6" i="7"/>
  <c r="AY6" i="7"/>
  <c r="AZ6" i="7" s="1"/>
  <c r="BB6" i="7"/>
  <c r="BC6" i="7"/>
  <c r="BD6" i="7"/>
  <c r="BE6" i="7"/>
  <c r="BF6" i="7"/>
  <c r="BG6" i="7"/>
  <c r="BH6" i="7"/>
  <c r="BI6" i="7"/>
  <c r="BJ6" i="7"/>
  <c r="Z7" i="7"/>
  <c r="AA7" i="7" s="1"/>
  <c r="AB7" i="7"/>
  <c r="AC7" i="7"/>
  <c r="AD7" i="7"/>
  <c r="AE7" i="7"/>
  <c r="AF7" i="7"/>
  <c r="AG7" i="7"/>
  <c r="AH7" i="7"/>
  <c r="AI7" i="7"/>
  <c r="AJ7" i="7"/>
  <c r="AK7" i="7"/>
  <c r="AL7" i="7"/>
  <c r="AO7" i="7"/>
  <c r="AP7" i="7"/>
  <c r="AQ7" i="7"/>
  <c r="AR7" i="7"/>
  <c r="AS7" i="7"/>
  <c r="AT7" i="7"/>
  <c r="AU7" i="7"/>
  <c r="AV7" i="7"/>
  <c r="AW7" i="7"/>
  <c r="AX7" i="7"/>
  <c r="AY7" i="7"/>
  <c r="AZ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s="1"/>
  <c r="AW8" i="7"/>
  <c r="AX8" i="7" s="1"/>
  <c r="AY8" i="7"/>
  <c r="AZ8" i="7" s="1"/>
  <c r="BB8" i="7"/>
  <c r="BC8" i="7"/>
  <c r="BD8" i="7"/>
  <c r="BE8" i="7"/>
  <c r="BF8" i="7"/>
  <c r="BG8" i="7"/>
  <c r="BH8" i="7"/>
  <c r="BI8" i="7"/>
  <c r="BJ8" i="7"/>
  <c r="Z9" i="7"/>
  <c r="AA9" i="7" s="1"/>
  <c r="AB9" i="7"/>
  <c r="AC9" i="7"/>
  <c r="AD9" i="7"/>
  <c r="AE9" i="7"/>
  <c r="AF9" i="7"/>
  <c r="AG9" i="7"/>
  <c r="AH9" i="7" s="1"/>
  <c r="AI9" i="7"/>
  <c r="AJ9" i="7"/>
  <c r="AM9" i="7" s="1"/>
  <c r="AN9" i="7" s="1"/>
  <c r="AK9" i="7"/>
  <c r="AL9" i="7"/>
  <c r="AO9" i="7"/>
  <c r="AP9" i="7"/>
  <c r="AQ9" i="7"/>
  <c r="AR9" i="7"/>
  <c r="AS9" i="7"/>
  <c r="AT9" i="7" s="1"/>
  <c r="AU9" i="7"/>
  <c r="AV9" i="7" s="1"/>
  <c r="AW9" i="7"/>
  <c r="AX9" i="7" s="1"/>
  <c r="AY9" i="7"/>
  <c r="AZ9" i="7" s="1"/>
  <c r="BB9" i="7"/>
  <c r="BC9" i="7"/>
  <c r="BD9" i="7"/>
  <c r="BE9" i="7"/>
  <c r="BF9" i="7"/>
  <c r="BG9" i="7"/>
  <c r="BH9" i="7"/>
  <c r="BI9" i="7"/>
  <c r="BJ9" i="7"/>
  <c r="Z10" i="7"/>
  <c r="AA10" i="7"/>
  <c r="AB10" i="7"/>
  <c r="AC10" i="7"/>
  <c r="AD10" i="7"/>
  <c r="AE10" i="7"/>
  <c r="AF10" i="7"/>
  <c r="AG10" i="7"/>
  <c r="AH10" i="7" s="1"/>
  <c r="AI10" i="7"/>
  <c r="AJ10" i="7"/>
  <c r="AK10" i="7"/>
  <c r="AL10" i="7"/>
  <c r="AO10" i="7"/>
  <c r="AP10" i="7"/>
  <c r="AQ10" i="7"/>
  <c r="AR10" i="7"/>
  <c r="AS10" i="7"/>
  <c r="AT10" i="7" s="1"/>
  <c r="AU10" i="7"/>
  <c r="AV10" i="7" s="1"/>
  <c r="AW10" i="7"/>
  <c r="AX10" i="7"/>
  <c r="AY10" i="7"/>
  <c r="AZ10" i="7" s="1"/>
  <c r="BB10" i="7"/>
  <c r="BC10" i="7"/>
  <c r="BD10" i="7"/>
  <c r="BE10" i="7"/>
  <c r="BF10" i="7"/>
  <c r="BG10" i="7"/>
  <c r="BH10" i="7"/>
  <c r="BI10" i="7"/>
  <c r="BJ10" i="7"/>
  <c r="Z11" i="7"/>
  <c r="AA11" i="7"/>
  <c r="AB11" i="7"/>
  <c r="AC11" i="7"/>
  <c r="AD11" i="7"/>
  <c r="AE11" i="7"/>
  <c r="AF11" i="7"/>
  <c r="AG11" i="7"/>
  <c r="AH11" i="7" s="1"/>
  <c r="AI11" i="7"/>
  <c r="AJ11" i="7"/>
  <c r="AK11" i="7"/>
  <c r="AL11" i="7"/>
  <c r="AO11" i="7"/>
  <c r="AP11" i="7"/>
  <c r="AQ11" i="7"/>
  <c r="AR11" i="7"/>
  <c r="AS11" i="7"/>
  <c r="AT11" i="7"/>
  <c r="AU11" i="7"/>
  <c r="AV11" i="7" s="1"/>
  <c r="AW11" i="7"/>
  <c r="AX11" i="7" s="1"/>
  <c r="AY11" i="7"/>
  <c r="AZ11" i="7" s="1"/>
  <c r="BB11" i="7"/>
  <c r="BC11" i="7"/>
  <c r="BD11" i="7"/>
  <c r="BE11" i="7"/>
  <c r="BF11" i="7"/>
  <c r="BG11" i="7"/>
  <c r="BH11" i="7"/>
  <c r="BI11" i="7"/>
  <c r="BJ11" i="7"/>
  <c r="Z12" i="7"/>
  <c r="AA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AB14" i="7"/>
  <c r="AC14" i="7"/>
  <c r="AD14" i="7"/>
  <c r="AE14" i="7"/>
  <c r="AF14" i="7"/>
  <c r="AG14" i="7"/>
  <c r="AH14" i="7" s="1"/>
  <c r="AI14" i="7"/>
  <c r="AJ14" i="7"/>
  <c r="AM14" i="7" s="1"/>
  <c r="AN14" i="7" s="1"/>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AB15" i="7"/>
  <c r="AC15" i="7"/>
  <c r="AD15" i="7"/>
  <c r="AE15" i="7"/>
  <c r="AF15" i="7"/>
  <c r="AG15" i="7"/>
  <c r="AH15" i="7" s="1"/>
  <c r="AI15" i="7"/>
  <c r="AJ15" i="7"/>
  <c r="AM15" i="7" s="1"/>
  <c r="AN15" i="7" s="1"/>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AB16" i="7"/>
  <c r="AC16" i="7"/>
  <c r="AD16" i="7"/>
  <c r="AE16" i="7"/>
  <c r="AF16" i="7"/>
  <c r="AG16" i="7"/>
  <c r="AH16" i="7" s="1"/>
  <c r="AI16" i="7"/>
  <c r="AJ16" i="7"/>
  <c r="AK16" i="7"/>
  <c r="AM16" i="7" s="1"/>
  <c r="AN16" i="7" s="1"/>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B17" i="7"/>
  <c r="BC17" i="7"/>
  <c r="BD17" i="7"/>
  <c r="BE17" i="7"/>
  <c r="BF17" i="7"/>
  <c r="BG17" i="7"/>
  <c r="BH17" i="7"/>
  <c r="BI17" i="7"/>
  <c r="BJ17" i="7"/>
  <c r="Z18" i="7"/>
  <c r="AA18" i="7"/>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s="1"/>
  <c r="BB19" i="7"/>
  <c r="BC19" i="7"/>
  <c r="BD19" i="7"/>
  <c r="BE19" i="7"/>
  <c r="BF19" i="7"/>
  <c r="BG19" i="7"/>
  <c r="BH19" i="7"/>
  <c r="BI19" i="7"/>
  <c r="BJ19" i="7"/>
  <c r="Z20" i="7"/>
  <c r="AA20" i="7"/>
  <c r="AB20" i="7"/>
  <c r="AC20" i="7"/>
  <c r="AD20" i="7"/>
  <c r="AE20" i="7"/>
  <c r="AF20" i="7"/>
  <c r="AG20" i="7"/>
  <c r="AH20" i="7" s="1"/>
  <c r="AI20" i="7"/>
  <c r="AJ20" i="7"/>
  <c r="AK20" i="7"/>
  <c r="AM20" i="7" s="1"/>
  <c r="AN20" i="7" s="1"/>
  <c r="AL20" i="7"/>
  <c r="AO20" i="7"/>
  <c r="AP20" i="7"/>
  <c r="AQ20" i="7"/>
  <c r="AR20" i="7"/>
  <c r="AS20" i="7"/>
  <c r="AT20" i="7"/>
  <c r="AU20" i="7"/>
  <c r="AV20" i="7" s="1"/>
  <c r="AW20" i="7"/>
  <c r="AX20" i="7"/>
  <c r="AY20" i="7"/>
  <c r="AZ20" i="7" s="1"/>
  <c r="BB20" i="7"/>
  <c r="BC20" i="7"/>
  <c r="BD20" i="7"/>
  <c r="BE20" i="7"/>
  <c r="BF20" i="7"/>
  <c r="BG20" i="7"/>
  <c r="BH20" i="7"/>
  <c r="BI20" i="7"/>
  <c r="BJ20" i="7"/>
  <c r="Z21" i="7"/>
  <c r="AA21" i="7" s="1"/>
  <c r="AB21" i="7"/>
  <c r="AC21" i="7"/>
  <c r="AD21" i="7"/>
  <c r="AE21" i="7"/>
  <c r="AF21" i="7"/>
  <c r="AG21" i="7"/>
  <c r="AH21" i="7"/>
  <c r="AI21" i="7"/>
  <c r="AJ21" i="7"/>
  <c r="AK21" i="7"/>
  <c r="AL21" i="7"/>
  <c r="AM21" i="7"/>
  <c r="AN21" i="7" s="1"/>
  <c r="AO21" i="7"/>
  <c r="AP21" i="7"/>
  <c r="AQ21" i="7"/>
  <c r="AR21" i="7"/>
  <c r="AS21" i="7"/>
  <c r="AT21" i="7" s="1"/>
  <c r="AU21" i="7"/>
  <c r="AV21" i="7" s="1"/>
  <c r="AW21" i="7"/>
  <c r="AX21" i="7"/>
  <c r="AY21" i="7"/>
  <c r="AZ21" i="7"/>
  <c r="BB21" i="7"/>
  <c r="BC21" i="7"/>
  <c r="BD21" i="7"/>
  <c r="BE21" i="7"/>
  <c r="BF21" i="7"/>
  <c r="BG21" i="7"/>
  <c r="BH21" i="7"/>
  <c r="BI21" i="7"/>
  <c r="BJ21" i="7"/>
  <c r="Z22" i="7"/>
  <c r="AA22" i="7" s="1"/>
  <c r="AB22" i="7"/>
  <c r="AC22" i="7"/>
  <c r="AD22" i="7"/>
  <c r="AE22" i="7"/>
  <c r="AF22" i="7"/>
  <c r="AG22" i="7"/>
  <c r="AH22" i="7" s="1"/>
  <c r="AI22" i="7"/>
  <c r="AJ22" i="7"/>
  <c r="AM22" i="7" s="1"/>
  <c r="AN22" i="7" s="1"/>
  <c r="AK22" i="7"/>
  <c r="AL22" i="7"/>
  <c r="AO22" i="7"/>
  <c r="AP22" i="7"/>
  <c r="AQ22" i="7"/>
  <c r="AR22" i="7"/>
  <c r="AS22" i="7"/>
  <c r="AT22" i="7" s="1"/>
  <c r="AU22" i="7"/>
  <c r="AV22" i="7" s="1"/>
  <c r="AW22" i="7"/>
  <c r="AX22" i="7"/>
  <c r="AY22" i="7"/>
  <c r="AZ22" i="7"/>
  <c r="BB22" i="7"/>
  <c r="BC22" i="7"/>
  <c r="BD22" i="7"/>
  <c r="BE22" i="7"/>
  <c r="BF22" i="7"/>
  <c r="BG22" i="7"/>
  <c r="BH22" i="7"/>
  <c r="BI22" i="7"/>
  <c r="BJ22" i="7"/>
  <c r="Z23" i="7"/>
  <c r="AA23" i="7" s="1"/>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s="1"/>
  <c r="BB23" i="7"/>
  <c r="BC23" i="7"/>
  <c r="BD23" i="7"/>
  <c r="BE23" i="7"/>
  <c r="BF23" i="7"/>
  <c r="BG23" i="7"/>
  <c r="BH23" i="7"/>
  <c r="BI23" i="7"/>
  <c r="BJ23" i="7"/>
  <c r="Z24" i="7"/>
  <c r="AA24" i="7"/>
  <c r="AB24" i="7"/>
  <c r="AC24" i="7"/>
  <c r="AD24" i="7"/>
  <c r="AE24" i="7"/>
  <c r="AF24" i="7"/>
  <c r="AG24" i="7"/>
  <c r="AH24" i="7"/>
  <c r="AI24" i="7"/>
  <c r="AJ24" i="7"/>
  <c r="AK24" i="7"/>
  <c r="AL24" i="7"/>
  <c r="AO24" i="7"/>
  <c r="AP24" i="7"/>
  <c r="AQ24" i="7"/>
  <c r="AR24" i="7"/>
  <c r="AS24" i="7"/>
  <c r="AT24" i="7" s="1"/>
  <c r="AU24" i="7"/>
  <c r="AV24" i="7" s="1"/>
  <c r="AW24" i="7"/>
  <c r="AX24" i="7"/>
  <c r="AY24" i="7"/>
  <c r="AZ24" i="7"/>
  <c r="BB24" i="7"/>
  <c r="BC24" i="7"/>
  <c r="BD24" i="7"/>
  <c r="BE24" i="7"/>
  <c r="BF24" i="7"/>
  <c r="BG24" i="7"/>
  <c r="BH24" i="7"/>
  <c r="BI24" i="7"/>
  <c r="BJ24" i="7"/>
  <c r="Z25" i="7"/>
  <c r="AA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AB26" i="7"/>
  <c r="AC26" i="7"/>
  <c r="AD26" i="7"/>
  <c r="AE26" i="7"/>
  <c r="AF26" i="7"/>
  <c r="AG26" i="7"/>
  <c r="AH26" i="7" s="1"/>
  <c r="AI26" i="7"/>
  <c r="AJ26" i="7"/>
  <c r="AK26" i="7"/>
  <c r="AL26" i="7"/>
  <c r="AO26" i="7"/>
  <c r="AP26" i="7"/>
  <c r="AQ26" i="7"/>
  <c r="AR26" i="7"/>
  <c r="AS26" i="7"/>
  <c r="AT26" i="7"/>
  <c r="AU26" i="7"/>
  <c r="AV26" i="7"/>
  <c r="AW26" i="7"/>
  <c r="AX26" i="7"/>
  <c r="AY26" i="7"/>
  <c r="AZ26" i="7" s="1"/>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B28" i="7"/>
  <c r="BC28" i="7"/>
  <c r="BD28" i="7"/>
  <c r="BE28" i="7"/>
  <c r="BF28" i="7"/>
  <c r="BG28" i="7"/>
  <c r="BH28" i="7"/>
  <c r="BI28" i="7"/>
  <c r="BJ28" i="7"/>
  <c r="Z29" i="7"/>
  <c r="AA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B29" i="7"/>
  <c r="BC29" i="7"/>
  <c r="BD29" i="7"/>
  <c r="BE29" i="7"/>
  <c r="BF29" i="7"/>
  <c r="BG29" i="7"/>
  <c r="BH29" i="7"/>
  <c r="BI29" i="7"/>
  <c r="BJ29" i="7"/>
  <c r="Z30" i="7"/>
  <c r="AA30" i="7" s="1"/>
  <c r="AB30" i="7"/>
  <c r="AC30" i="7"/>
  <c r="AD30" i="7"/>
  <c r="AE30" i="7"/>
  <c r="AF30" i="7"/>
  <c r="AG30" i="7"/>
  <c r="AH30" i="7" s="1"/>
  <c r="AI30" i="7"/>
  <c r="AJ30" i="7"/>
  <c r="AK30" i="7"/>
  <c r="AL30" i="7"/>
  <c r="AO30" i="7"/>
  <c r="AP30" i="7"/>
  <c r="AQ30" i="7"/>
  <c r="AR30" i="7"/>
  <c r="AS30" i="7"/>
  <c r="AT30" i="7" s="1"/>
  <c r="AU30" i="7"/>
  <c r="AV30" i="7" s="1"/>
  <c r="AW30" i="7"/>
  <c r="AX30" i="7"/>
  <c r="AY30" i="7"/>
  <c r="AZ30" i="7" s="1"/>
  <c r="BB30" i="7"/>
  <c r="BC30" i="7"/>
  <c r="BD30" i="7"/>
  <c r="BE30" i="7"/>
  <c r="BF30" i="7"/>
  <c r="BG30" i="7"/>
  <c r="BH30" i="7"/>
  <c r="BI30" i="7"/>
  <c r="BJ30" i="7"/>
  <c r="Z31" i="7"/>
  <c r="AA31" i="7"/>
  <c r="AB31" i="7"/>
  <c r="AC31" i="7"/>
  <c r="AD31" i="7"/>
  <c r="AE31" i="7"/>
  <c r="AF31" i="7"/>
  <c r="AG31" i="7"/>
  <c r="AH31" i="7" s="1"/>
  <c r="AI31" i="7"/>
  <c r="AJ31" i="7"/>
  <c r="AM31" i="7" s="1"/>
  <c r="AN31" i="7" s="1"/>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c r="AB36" i="7"/>
  <c r="AC36" i="7"/>
  <c r="AD36" i="7"/>
  <c r="AE36" i="7"/>
  <c r="AF36" i="7"/>
  <c r="AG36" i="7"/>
  <c r="AH36" i="7" s="1"/>
  <c r="AI36" i="7"/>
  <c r="AJ36" i="7"/>
  <c r="AM36" i="7" s="1"/>
  <c r="AN36" i="7" s="1"/>
  <c r="AK36" i="7"/>
  <c r="AL36" i="7"/>
  <c r="AO36" i="7"/>
  <c r="AP36" i="7"/>
  <c r="AQ36" i="7"/>
  <c r="AR36" i="7"/>
  <c r="AS36" i="7"/>
  <c r="AT36" i="7" s="1"/>
  <c r="AU36" i="7"/>
  <c r="AV36" i="7"/>
  <c r="AW36" i="7"/>
  <c r="AX36" i="7" s="1"/>
  <c r="AY36" i="7"/>
  <c r="AZ36" i="7"/>
  <c r="BB36" i="7"/>
  <c r="BC36" i="7"/>
  <c r="BD36" i="7"/>
  <c r="BE36" i="7"/>
  <c r="BF36" i="7"/>
  <c r="BG36" i="7"/>
  <c r="BH36" i="7"/>
  <c r="BI36" i="7"/>
  <c r="BJ36" i="7"/>
  <c r="Z37" i="7"/>
  <c r="AA37" i="7"/>
  <c r="AB37" i="7"/>
  <c r="AC37" i="7"/>
  <c r="AD37" i="7"/>
  <c r="AE37" i="7"/>
  <c r="AF37" i="7"/>
  <c r="AG37" i="7"/>
  <c r="AH37" i="7"/>
  <c r="AI37" i="7"/>
  <c r="AJ37" i="7"/>
  <c r="AK37" i="7"/>
  <c r="AL37" i="7"/>
  <c r="AO37" i="7"/>
  <c r="AP37" i="7"/>
  <c r="AQ37" i="7"/>
  <c r="AR37" i="7"/>
  <c r="AS37" i="7"/>
  <c r="AT37" i="7" s="1"/>
  <c r="AU37" i="7"/>
  <c r="AV37" i="7"/>
  <c r="AW37" i="7"/>
  <c r="AX37" i="7"/>
  <c r="AY37" i="7"/>
  <c r="AZ37" i="7"/>
  <c r="BB37" i="7"/>
  <c r="BC37" i="7"/>
  <c r="BD37" i="7"/>
  <c r="BE37" i="7"/>
  <c r="BF37" i="7"/>
  <c r="BG37" i="7"/>
  <c r="BH37" i="7"/>
  <c r="BI37" i="7"/>
  <c r="BJ37" i="7"/>
  <c r="Z38" i="7"/>
  <c r="AA38" i="7"/>
  <c r="AB38" i="7"/>
  <c r="AC38" i="7"/>
  <c r="AD38" i="7"/>
  <c r="AE38" i="7"/>
  <c r="AF38" i="7"/>
  <c r="AG38" i="7"/>
  <c r="AH38" i="7" s="1"/>
  <c r="AI38" i="7"/>
  <c r="AJ38" i="7"/>
  <c r="AM38" i="7" s="1"/>
  <c r="AN38" i="7" s="1"/>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c r="AB39" i="7"/>
  <c r="AC39" i="7"/>
  <c r="AD39" i="7"/>
  <c r="AE39" i="7"/>
  <c r="AF39" i="7"/>
  <c r="AG39" i="7"/>
  <c r="AH39" i="7" s="1"/>
  <c r="AI39" i="7"/>
  <c r="AJ39" i="7"/>
  <c r="AK39" i="7"/>
  <c r="AL39" i="7"/>
  <c r="AO39" i="7"/>
  <c r="AP39" i="7"/>
  <c r="AQ39" i="7"/>
  <c r="AR39" i="7"/>
  <c r="AS39" i="7"/>
  <c r="AT39" i="7" s="1"/>
  <c r="AU39" i="7"/>
  <c r="AV39" i="7"/>
  <c r="AW39" i="7"/>
  <c r="AX39" i="7" s="1"/>
  <c r="AY39" i="7"/>
  <c r="AZ39" i="7" s="1"/>
  <c r="BB39" i="7"/>
  <c r="BC39" i="7"/>
  <c r="BD39" i="7"/>
  <c r="BE39" i="7"/>
  <c r="BF39" i="7"/>
  <c r="BG39" i="7"/>
  <c r="BH39" i="7"/>
  <c r="BI39" i="7"/>
  <c r="BJ39" i="7"/>
  <c r="Z40" i="7"/>
  <c r="AA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AB41" i="7"/>
  <c r="AC41" i="7"/>
  <c r="AD41" i="7"/>
  <c r="AE41" i="7"/>
  <c r="AF41" i="7"/>
  <c r="AG41" i="7"/>
  <c r="AH41" i="7" s="1"/>
  <c r="AI41" i="7"/>
  <c r="AJ41" i="7"/>
  <c r="AK41" i="7"/>
  <c r="AL41" i="7"/>
  <c r="AO41" i="7"/>
  <c r="AP41" i="7"/>
  <c r="AQ41" i="7"/>
  <c r="AR41" i="7"/>
  <c r="AS41" i="7"/>
  <c r="AT41" i="7" s="1"/>
  <c r="AU41" i="7"/>
  <c r="AV41" i="7" s="1"/>
  <c r="AW41" i="7"/>
  <c r="AX41" i="7" s="1"/>
  <c r="AY41" i="7"/>
  <c r="AZ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s="1"/>
  <c r="AW42" i="7"/>
  <c r="AX42" i="7" s="1"/>
  <c r="AY42" i="7"/>
  <c r="AZ42" i="7" s="1"/>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AB45" i="7"/>
  <c r="AC45" i="7"/>
  <c r="AD45" i="7"/>
  <c r="AE45" i="7"/>
  <c r="AF45" i="7"/>
  <c r="AG45" i="7"/>
  <c r="AH45" i="7" s="1"/>
  <c r="AI45" i="7"/>
  <c r="AJ45" i="7"/>
  <c r="AK45" i="7"/>
  <c r="AL45" i="7"/>
  <c r="AO45" i="7"/>
  <c r="AP45" i="7"/>
  <c r="AQ45" i="7"/>
  <c r="AR45" i="7"/>
  <c r="AS45" i="7"/>
  <c r="AT45" i="7"/>
  <c r="AU45" i="7"/>
  <c r="AV45" i="7" s="1"/>
  <c r="AW45" i="7"/>
  <c r="AX45" i="7" s="1"/>
  <c r="AY45" i="7"/>
  <c r="AZ45" i="7" s="1"/>
  <c r="BB45" i="7"/>
  <c r="BC45" i="7"/>
  <c r="BD45" i="7"/>
  <c r="BE45" i="7"/>
  <c r="BF45" i="7"/>
  <c r="BG45" i="7"/>
  <c r="BH45" i="7"/>
  <c r="BI45" i="7"/>
  <c r="BJ45" i="7"/>
  <c r="Z46" i="7"/>
  <c r="AA46" i="7" s="1"/>
  <c r="AB46" i="7"/>
  <c r="AC46" i="7"/>
  <c r="AD46" i="7"/>
  <c r="AE46" i="7"/>
  <c r="AF46" i="7"/>
  <c r="AG46" i="7"/>
  <c r="AH46" i="7"/>
  <c r="AI46" i="7"/>
  <c r="AJ46" i="7"/>
  <c r="AM46" i="7" s="1"/>
  <c r="AN46" i="7" s="1"/>
  <c r="AK46" i="7"/>
  <c r="AL46" i="7"/>
  <c r="AO46" i="7"/>
  <c r="AP46" i="7"/>
  <c r="AQ46" i="7"/>
  <c r="AR46" i="7"/>
  <c r="AS46" i="7"/>
  <c r="AT46" i="7"/>
  <c r="AU46" i="7"/>
  <c r="AV46" i="7" s="1"/>
  <c r="AW46" i="7"/>
  <c r="AX46" i="7" s="1"/>
  <c r="AY46" i="7"/>
  <c r="AZ46" i="7" s="1"/>
  <c r="BB46" i="7"/>
  <c r="BC46" i="7"/>
  <c r="BD46" i="7"/>
  <c r="BE46" i="7"/>
  <c r="BF46" i="7"/>
  <c r="BG46" i="7"/>
  <c r="BH46" i="7"/>
  <c r="BI46" i="7"/>
  <c r="BJ46" i="7"/>
  <c r="Z47" i="7"/>
  <c r="AA47" i="7" s="1"/>
  <c r="AB47" i="7"/>
  <c r="AC47" i="7"/>
  <c r="AD47" i="7"/>
  <c r="AE47" i="7"/>
  <c r="AF47" i="7"/>
  <c r="AG47" i="7"/>
  <c r="AH47" i="7" s="1"/>
  <c r="AI47" i="7"/>
  <c r="AJ47" i="7"/>
  <c r="AK47" i="7"/>
  <c r="AL47" i="7"/>
  <c r="AM47" i="7"/>
  <c r="AN47" i="7" s="1"/>
  <c r="AO47" i="7"/>
  <c r="AP47" i="7"/>
  <c r="AQ47" i="7"/>
  <c r="AR47" i="7"/>
  <c r="AS47" i="7"/>
  <c r="AT47" i="7"/>
  <c r="AU47" i="7"/>
  <c r="AV47" i="7" s="1"/>
  <c r="AW47" i="7"/>
  <c r="AX47" i="7" s="1"/>
  <c r="AY47" i="7"/>
  <c r="AZ47" i="7" s="1"/>
  <c r="BB47" i="7"/>
  <c r="BC47" i="7"/>
  <c r="BD47" i="7"/>
  <c r="BE47" i="7"/>
  <c r="BF47" i="7"/>
  <c r="BG47" i="7"/>
  <c r="BH47" i="7"/>
  <c r="BI47" i="7"/>
  <c r="BJ47" i="7"/>
  <c r="Z48" i="7"/>
  <c r="AA48" i="7" s="1"/>
  <c r="AB48" i="7"/>
  <c r="AC48" i="7"/>
  <c r="AD48" i="7"/>
  <c r="AE48" i="7"/>
  <c r="AF48" i="7"/>
  <c r="AG48" i="7"/>
  <c r="AH48" i="7" s="1"/>
  <c r="AI48" i="7"/>
  <c r="AJ48" i="7"/>
  <c r="AK48" i="7"/>
  <c r="AL48" i="7"/>
  <c r="AO48" i="7"/>
  <c r="AP48" i="7"/>
  <c r="AQ48" i="7"/>
  <c r="AR48" i="7"/>
  <c r="AS48" i="7"/>
  <c r="AT48" i="7"/>
  <c r="AU48" i="7"/>
  <c r="AV48" i="7" s="1"/>
  <c r="AW48" i="7"/>
  <c r="AX48" i="7" s="1"/>
  <c r="AY48" i="7"/>
  <c r="AZ48" i="7" s="1"/>
  <c r="BB48" i="7"/>
  <c r="BC48" i="7"/>
  <c r="BD48" i="7"/>
  <c r="BE48" i="7"/>
  <c r="BF48" i="7"/>
  <c r="BG48" i="7"/>
  <c r="BH48" i="7"/>
  <c r="BI48" i="7"/>
  <c r="BJ48" i="7"/>
  <c r="Z49" i="7"/>
  <c r="AA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AB50" i="7"/>
  <c r="AC50" i="7"/>
  <c r="AD50" i="7"/>
  <c r="AE50" i="7"/>
  <c r="AF50" i="7"/>
  <c r="AG50" i="7"/>
  <c r="AH50" i="7" s="1"/>
  <c r="AI50" i="7"/>
  <c r="AJ50" i="7"/>
  <c r="AM50" i="7" s="1"/>
  <c r="AN50" i="7" s="1"/>
  <c r="AK50" i="7"/>
  <c r="AL50" i="7"/>
  <c r="AO50" i="7"/>
  <c r="AP50" i="7"/>
  <c r="AQ50" i="7"/>
  <c r="AR50" i="7"/>
  <c r="AS50" i="7"/>
  <c r="AT50" i="7"/>
  <c r="AU50" i="7"/>
  <c r="AV50" i="7" s="1"/>
  <c r="AW50" i="7"/>
  <c r="AX50" i="7" s="1"/>
  <c r="AY50" i="7"/>
  <c r="AZ50" i="7" s="1"/>
  <c r="BB50" i="7"/>
  <c r="BC50" i="7"/>
  <c r="BD50" i="7"/>
  <c r="BE50" i="7"/>
  <c r="BF50" i="7"/>
  <c r="BG50" i="7"/>
  <c r="BH50" i="7"/>
  <c r="BI50" i="7"/>
  <c r="BJ50" i="7"/>
  <c r="Z51" i="7"/>
  <c r="AA51" i="7" s="1"/>
  <c r="AB51" i="7"/>
  <c r="AC51" i="7"/>
  <c r="AD51" i="7"/>
  <c r="AE51" i="7"/>
  <c r="AF51" i="7"/>
  <c r="AG51" i="7"/>
  <c r="AH51" i="7"/>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c r="AB52" i="7"/>
  <c r="AC52" i="7"/>
  <c r="AD52" i="7"/>
  <c r="AE52" i="7"/>
  <c r="AF52" i="7"/>
  <c r="AG52" i="7"/>
  <c r="AH52" i="7" s="1"/>
  <c r="AI52" i="7"/>
  <c r="AJ52" i="7"/>
  <c r="AK52" i="7"/>
  <c r="AL52" i="7"/>
  <c r="AO52" i="7"/>
  <c r="AP52" i="7"/>
  <c r="AQ52" i="7"/>
  <c r="AR52" i="7"/>
  <c r="AS52" i="7"/>
  <c r="AT52" i="7" s="1"/>
  <c r="AU52" i="7"/>
  <c r="AV52" i="7" s="1"/>
  <c r="AW52" i="7"/>
  <c r="AX52" i="7"/>
  <c r="AY52" i="7"/>
  <c r="AZ52" i="7" s="1"/>
  <c r="BB52" i="7"/>
  <c r="BC52" i="7"/>
  <c r="BD52" i="7"/>
  <c r="BE52" i="7"/>
  <c r="BF52" i="7"/>
  <c r="BG52" i="7"/>
  <c r="BH52" i="7"/>
  <c r="BI52" i="7"/>
  <c r="BJ52" i="7"/>
  <c r="Z53" i="7"/>
  <c r="AA53" i="7" s="1"/>
  <c r="AB53" i="7"/>
  <c r="AC53" i="7"/>
  <c r="AD53" i="7"/>
  <c r="AE53" i="7"/>
  <c r="AF53" i="7"/>
  <c r="AG53" i="7"/>
  <c r="AH53" i="7"/>
  <c r="AI53" i="7"/>
  <c r="AJ53" i="7"/>
  <c r="AK53" i="7"/>
  <c r="AL53" i="7"/>
  <c r="AO53" i="7"/>
  <c r="AP53" i="7"/>
  <c r="AQ53" i="7"/>
  <c r="AR53" i="7"/>
  <c r="AS53" i="7"/>
  <c r="AT53" i="7"/>
  <c r="AU53" i="7"/>
  <c r="AV53" i="7" s="1"/>
  <c r="AW53" i="7"/>
  <c r="AX53" i="7"/>
  <c r="AY53" i="7"/>
  <c r="AZ53" i="7"/>
  <c r="BB53" i="7"/>
  <c r="BC53" i="7"/>
  <c r="BD53" i="7"/>
  <c r="BE53" i="7"/>
  <c r="BF53" i="7"/>
  <c r="BG53" i="7"/>
  <c r="BH53" i="7"/>
  <c r="BI53" i="7"/>
  <c r="BJ53" i="7"/>
  <c r="Z54" i="7"/>
  <c r="AA54" i="7" s="1"/>
  <c r="AB54" i="7"/>
  <c r="AC54" i="7"/>
  <c r="AD54" i="7"/>
  <c r="AE54" i="7"/>
  <c r="AF54" i="7"/>
  <c r="AG54" i="7"/>
  <c r="AH54" i="7"/>
  <c r="AI54" i="7"/>
  <c r="AJ54" i="7"/>
  <c r="AK54" i="7"/>
  <c r="AM54" i="7" s="1"/>
  <c r="AN54" i="7" s="1"/>
  <c r="AL54" i="7"/>
  <c r="AO54" i="7"/>
  <c r="AP54" i="7"/>
  <c r="AQ54" i="7"/>
  <c r="AR54" i="7"/>
  <c r="AS54" i="7"/>
  <c r="AT54" i="7" s="1"/>
  <c r="AU54" i="7"/>
  <c r="AV54" i="7"/>
  <c r="AW54" i="7"/>
  <c r="AX54" i="7" s="1"/>
  <c r="AY54" i="7"/>
  <c r="AZ54" i="7" s="1"/>
  <c r="BB54" i="7"/>
  <c r="BC54" i="7"/>
  <c r="BD54" i="7"/>
  <c r="BE54" i="7"/>
  <c r="BF54" i="7"/>
  <c r="BG54" i="7"/>
  <c r="BH54" i="7"/>
  <c r="BI54" i="7"/>
  <c r="BJ54" i="7"/>
  <c r="Z55" i="7"/>
  <c r="AA55" i="7" s="1"/>
  <c r="AB55" i="7"/>
  <c r="AC55" i="7"/>
  <c r="AD55" i="7"/>
  <c r="AE55" i="7"/>
  <c r="AF55" i="7"/>
  <c r="AG55" i="7"/>
  <c r="AH55" i="7" s="1"/>
  <c r="AI55" i="7"/>
  <c r="AJ55" i="7"/>
  <c r="AM55" i="7" s="1"/>
  <c r="AN55" i="7" s="1"/>
  <c r="AK55" i="7"/>
  <c r="AL55" i="7"/>
  <c r="AO55" i="7"/>
  <c r="AP55" i="7"/>
  <c r="AQ55" i="7"/>
  <c r="AR55" i="7"/>
  <c r="AS55" i="7"/>
  <c r="AT55" i="7" s="1"/>
  <c r="AU55" i="7"/>
  <c r="AV55" i="7"/>
  <c r="AW55" i="7"/>
  <c r="AX55" i="7"/>
  <c r="AY55" i="7"/>
  <c r="AZ55" i="7" s="1"/>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B57" i="7"/>
  <c r="BC57" i="7"/>
  <c r="BD57" i="7"/>
  <c r="BE57" i="7"/>
  <c r="BF57" i="7"/>
  <c r="BG57" i="7"/>
  <c r="BH57" i="7"/>
  <c r="BI57" i="7"/>
  <c r="BJ57" i="7"/>
  <c r="Z58" i="7"/>
  <c r="AA58" i="7" s="1"/>
  <c r="AB58" i="7"/>
  <c r="AC58" i="7"/>
  <c r="AD58" i="7"/>
  <c r="AE58" i="7"/>
  <c r="AF58" i="7"/>
  <c r="AG58" i="7"/>
  <c r="AH58" i="7" s="1"/>
  <c r="AI58" i="7"/>
  <c r="AJ58" i="7"/>
  <c r="AK58" i="7"/>
  <c r="AL58" i="7"/>
  <c r="AO58" i="7"/>
  <c r="AP58" i="7"/>
  <c r="AQ58" i="7"/>
  <c r="AR58" i="7"/>
  <c r="AS58" i="7"/>
  <c r="AT58" i="7"/>
  <c r="AU58" i="7"/>
  <c r="AV58" i="7" s="1"/>
  <c r="AW58" i="7"/>
  <c r="AX58" i="7"/>
  <c r="AY58" i="7"/>
  <c r="AZ58" i="7"/>
  <c r="BB58" i="7"/>
  <c r="BC58" i="7"/>
  <c r="BD58" i="7"/>
  <c r="BE58" i="7"/>
  <c r="BF58" i="7"/>
  <c r="BG58" i="7"/>
  <c r="BH58" i="7"/>
  <c r="BI58" i="7"/>
  <c r="BJ58" i="7"/>
  <c r="Z59" i="7"/>
  <c r="AA59" i="7"/>
  <c r="AB59" i="7"/>
  <c r="AC59" i="7"/>
  <c r="AD59" i="7"/>
  <c r="AE59" i="7"/>
  <c r="AF59" i="7"/>
  <c r="AG59" i="7"/>
  <c r="AH59" i="7" s="1"/>
  <c r="AI59" i="7"/>
  <c r="AJ59" i="7"/>
  <c r="AM59" i="7" s="1"/>
  <c r="AN59" i="7" s="1"/>
  <c r="AK59" i="7"/>
  <c r="AL59" i="7"/>
  <c r="AO59" i="7"/>
  <c r="AP59" i="7"/>
  <c r="AQ59" i="7"/>
  <c r="AR59" i="7"/>
  <c r="AS59" i="7"/>
  <c r="AT59" i="7"/>
  <c r="AU59" i="7"/>
  <c r="AV59" i="7" s="1"/>
  <c r="AW59" i="7"/>
  <c r="AX59" i="7" s="1"/>
  <c r="AY59" i="7"/>
  <c r="AZ59" i="7" s="1"/>
  <c r="BB59" i="7"/>
  <c r="BC59" i="7"/>
  <c r="BD59" i="7"/>
  <c r="BE59" i="7"/>
  <c r="BF59" i="7"/>
  <c r="BG59" i="7"/>
  <c r="BH59" i="7"/>
  <c r="BI59" i="7"/>
  <c r="BJ59" i="7"/>
  <c r="Z60" i="7"/>
  <c r="AA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AB61" i="7"/>
  <c r="AC61" i="7"/>
  <c r="AD61" i="7"/>
  <c r="AE61" i="7"/>
  <c r="AF61" i="7"/>
  <c r="AG61" i="7"/>
  <c r="AH61" i="7" s="1"/>
  <c r="AI61" i="7"/>
  <c r="AJ61" i="7"/>
  <c r="AK61" i="7"/>
  <c r="AL61" i="7"/>
  <c r="AO61" i="7"/>
  <c r="AP61" i="7"/>
  <c r="AQ61" i="7"/>
  <c r="AR61" i="7"/>
  <c r="AS61" i="7"/>
  <c r="AT61" i="7"/>
  <c r="AU61" i="7"/>
  <c r="AV61" i="7" s="1"/>
  <c r="AW61" i="7"/>
  <c r="AX61" i="7" s="1"/>
  <c r="AY61" i="7"/>
  <c r="AZ61" i="7" s="1"/>
  <c r="BB61" i="7"/>
  <c r="BC61" i="7"/>
  <c r="BD61" i="7"/>
  <c r="BE61" i="7"/>
  <c r="BF61" i="7"/>
  <c r="BG61" i="7"/>
  <c r="BH61" i="7"/>
  <c r="BI61" i="7"/>
  <c r="BJ61" i="7"/>
  <c r="Z62" i="7"/>
  <c r="AA62" i="7" s="1"/>
  <c r="AB62" i="7"/>
  <c r="AC62" i="7"/>
  <c r="AD62" i="7"/>
  <c r="AE62" i="7"/>
  <c r="AF62" i="7"/>
  <c r="AG62" i="7"/>
  <c r="AH62" i="7" s="1"/>
  <c r="AI62" i="7"/>
  <c r="AJ62" i="7"/>
  <c r="AK62" i="7"/>
  <c r="AM62" i="7" s="1"/>
  <c r="AN62" i="7" s="1"/>
  <c r="AL62" i="7"/>
  <c r="AO62" i="7"/>
  <c r="AP62" i="7"/>
  <c r="AQ62" i="7"/>
  <c r="AR62" i="7"/>
  <c r="AS62" i="7"/>
  <c r="AT62" i="7" s="1"/>
  <c r="AU62" i="7"/>
  <c r="AV62" i="7" s="1"/>
  <c r="AW62" i="7"/>
  <c r="AX62" i="7" s="1"/>
  <c r="AY62" i="7"/>
  <c r="AZ62" i="7" s="1"/>
  <c r="BB62" i="7"/>
  <c r="BC62" i="7"/>
  <c r="BD62" i="7"/>
  <c r="BE62" i="7"/>
  <c r="BF62" i="7"/>
  <c r="BG62" i="7"/>
  <c r="BH62" i="7"/>
  <c r="BI62" i="7"/>
  <c r="BJ62" i="7"/>
  <c r="Z63" i="7"/>
  <c r="AA63" i="7"/>
  <c r="AB63" i="7"/>
  <c r="AC63" i="7"/>
  <c r="AD63" i="7"/>
  <c r="AE63" i="7"/>
  <c r="AF63" i="7"/>
  <c r="AG63" i="7"/>
  <c r="AH63" i="7" s="1"/>
  <c r="AI63" i="7"/>
  <c r="AJ63" i="7"/>
  <c r="AM63" i="7" s="1"/>
  <c r="AN63" i="7" s="1"/>
  <c r="AK63" i="7"/>
  <c r="AL63" i="7"/>
  <c r="AO63" i="7"/>
  <c r="AP63" i="7"/>
  <c r="AQ63" i="7"/>
  <c r="AR63" i="7"/>
  <c r="AS63" i="7"/>
  <c r="AT63" i="7"/>
  <c r="AU63" i="7"/>
  <c r="AV63" i="7"/>
  <c r="AW63" i="7"/>
  <c r="AX63" i="7" s="1"/>
  <c r="AY63" i="7"/>
  <c r="AZ63" i="7" s="1"/>
  <c r="BB63" i="7"/>
  <c r="BC63" i="7"/>
  <c r="BD63" i="7"/>
  <c r="BE63" i="7"/>
  <c r="BF63" i="7"/>
  <c r="BG63" i="7"/>
  <c r="BH63" i="7"/>
  <c r="BI63" i="7"/>
  <c r="BJ63" i="7"/>
  <c r="Z64" i="7"/>
  <c r="AA64" i="7" s="1"/>
  <c r="AB64" i="7"/>
  <c r="AC64" i="7"/>
  <c r="AD64" i="7"/>
  <c r="AE64" i="7"/>
  <c r="AF64" i="7"/>
  <c r="AG64" i="7"/>
  <c r="AH64" i="7" s="1"/>
  <c r="AI64" i="7"/>
  <c r="AJ64" i="7"/>
  <c r="AM64" i="7" s="1"/>
  <c r="AN64" i="7" s="1"/>
  <c r="AK64" i="7"/>
  <c r="AL64" i="7"/>
  <c r="AO64" i="7"/>
  <c r="AP64" i="7"/>
  <c r="AQ64" i="7"/>
  <c r="AR64" i="7"/>
  <c r="AS64" i="7"/>
  <c r="AT64" i="7"/>
  <c r="AU64" i="7"/>
  <c r="AV64" i="7" s="1"/>
  <c r="AW64" i="7"/>
  <c r="AX64" i="7" s="1"/>
  <c r="AY64" i="7"/>
  <c r="AZ64" i="7" s="1"/>
  <c r="BB64" i="7"/>
  <c r="BC64" i="7"/>
  <c r="BD64" i="7"/>
  <c r="BE64" i="7"/>
  <c r="BF64" i="7"/>
  <c r="BG64" i="7"/>
  <c r="BH64" i="7"/>
  <c r="BI64" i="7"/>
  <c r="BJ64" i="7"/>
  <c r="Z65" i="7"/>
  <c r="AA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B67" i="7"/>
  <c r="BC67" i="7"/>
  <c r="BD67" i="7"/>
  <c r="BE67" i="7"/>
  <c r="BF67" i="7"/>
  <c r="BG67" i="7"/>
  <c r="BH67" i="7"/>
  <c r="BI67" i="7"/>
  <c r="BJ67" i="7"/>
  <c r="Z68" i="7"/>
  <c r="AA68" i="7" s="1"/>
  <c r="AB68" i="7"/>
  <c r="AC68" i="7"/>
  <c r="AD68" i="7"/>
  <c r="AE68" i="7"/>
  <c r="AF68" i="7"/>
  <c r="AG68" i="7"/>
  <c r="AH68" i="7"/>
  <c r="AI68" i="7"/>
  <c r="AJ68" i="7"/>
  <c r="AK68" i="7"/>
  <c r="AL68" i="7"/>
  <c r="AO68" i="7"/>
  <c r="AP68" i="7"/>
  <c r="AQ68" i="7"/>
  <c r="AR68" i="7"/>
  <c r="AS68" i="7"/>
  <c r="AT68" i="7" s="1"/>
  <c r="AU68" i="7"/>
  <c r="AV68" i="7" s="1"/>
  <c r="AW68" i="7"/>
  <c r="AX68" i="7" s="1"/>
  <c r="AY68" i="7"/>
  <c r="AZ68" i="7"/>
  <c r="BB68" i="7"/>
  <c r="BC68" i="7"/>
  <c r="BD68" i="7"/>
  <c r="BE68" i="7"/>
  <c r="BF68" i="7"/>
  <c r="BG68" i="7"/>
  <c r="BH68" i="7"/>
  <c r="BI68" i="7"/>
  <c r="BJ68" i="7"/>
  <c r="Z69" i="7"/>
  <c r="AA69" i="7" s="1"/>
  <c r="AB69" i="7"/>
  <c r="AC69" i="7"/>
  <c r="AD69" i="7"/>
  <c r="AE69" i="7"/>
  <c r="AF69" i="7"/>
  <c r="AG69" i="7"/>
  <c r="AH69" i="7"/>
  <c r="AI69" i="7"/>
  <c r="AJ69" i="7"/>
  <c r="AK69" i="7"/>
  <c r="AM69" i="7" s="1"/>
  <c r="AN69" i="7" s="1"/>
  <c r="AL69" i="7"/>
  <c r="AO69" i="7"/>
  <c r="AP69" i="7"/>
  <c r="AQ69" i="7"/>
  <c r="AR69" i="7"/>
  <c r="AS69" i="7"/>
  <c r="AT69" i="7" s="1"/>
  <c r="AU69" i="7"/>
  <c r="AV69" i="7" s="1"/>
  <c r="AW69" i="7"/>
  <c r="AX69" i="7"/>
  <c r="AY69" i="7"/>
  <c r="AZ69" i="7" s="1"/>
  <c r="BB69" i="7"/>
  <c r="BC69" i="7"/>
  <c r="BD69" i="7"/>
  <c r="BE69" i="7"/>
  <c r="BF69" i="7"/>
  <c r="BG69" i="7"/>
  <c r="BH69" i="7"/>
  <c r="BI69" i="7"/>
  <c r="BJ69" i="7"/>
  <c r="Z70" i="7"/>
  <c r="AA70" i="7" s="1"/>
  <c r="AB70" i="7"/>
  <c r="AC70" i="7"/>
  <c r="AD70" i="7"/>
  <c r="AE70" i="7"/>
  <c r="AF70" i="7"/>
  <c r="AG70" i="7"/>
  <c r="AH70" i="7" s="1"/>
  <c r="AI70" i="7"/>
  <c r="AJ70" i="7"/>
  <c r="AM70" i="7" s="1"/>
  <c r="AN70" i="7" s="1"/>
  <c r="AK70" i="7"/>
  <c r="AL70" i="7"/>
  <c r="AO70" i="7"/>
  <c r="AP70" i="7"/>
  <c r="AQ70" i="7"/>
  <c r="AR70" i="7"/>
  <c r="AS70" i="7"/>
  <c r="AT70" i="7"/>
  <c r="AU70" i="7"/>
  <c r="AV70" i="7" s="1"/>
  <c r="AW70" i="7"/>
  <c r="AX70" i="7"/>
  <c r="AY70" i="7"/>
  <c r="AZ70" i="7"/>
  <c r="BB70" i="7"/>
  <c r="BC70" i="7"/>
  <c r="BD70" i="7"/>
  <c r="BE70" i="7"/>
  <c r="BF70" i="7"/>
  <c r="BG70" i="7"/>
  <c r="BH70" i="7"/>
  <c r="BI70" i="7"/>
  <c r="BJ70" i="7"/>
  <c r="Z71" i="7"/>
  <c r="AA71" i="7" s="1"/>
  <c r="AB71" i="7"/>
  <c r="AC71" i="7"/>
  <c r="AD71" i="7"/>
  <c r="AE71" i="7"/>
  <c r="AF71" i="7"/>
  <c r="AG71" i="7"/>
  <c r="AH71" i="7" s="1"/>
  <c r="AI71" i="7"/>
  <c r="AJ71" i="7"/>
  <c r="AM71" i="7" s="1"/>
  <c r="AN71" i="7" s="1"/>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AB72" i="7"/>
  <c r="AC72" i="7"/>
  <c r="AD72" i="7"/>
  <c r="AE72" i="7"/>
  <c r="AF72" i="7"/>
  <c r="AG72" i="7"/>
  <c r="AH72" i="7" s="1"/>
  <c r="AI72" i="7"/>
  <c r="AJ72" i="7"/>
  <c r="AM72" i="7" s="1"/>
  <c r="AN72" i="7" s="1"/>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AB75" i="7"/>
  <c r="AC75" i="7"/>
  <c r="AD75" i="7"/>
  <c r="AE75" i="7"/>
  <c r="AF75" i="7"/>
  <c r="AG75" i="7"/>
  <c r="AH75" i="7" s="1"/>
  <c r="AI75" i="7"/>
  <c r="AJ75" i="7"/>
  <c r="AM75" i="7" s="1"/>
  <c r="AN75" i="7" s="1"/>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AB76" i="7"/>
  <c r="AC76" i="7"/>
  <c r="AD76" i="7"/>
  <c r="AE76" i="7"/>
  <c r="AF76" i="7"/>
  <c r="AG76" i="7"/>
  <c r="AH76" i="7" s="1"/>
  <c r="AI76" i="7"/>
  <c r="AJ76" i="7"/>
  <c r="AM76" i="7" s="1"/>
  <c r="AN76" i="7" s="1"/>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AB78" i="7"/>
  <c r="AC78" i="7"/>
  <c r="AD78" i="7"/>
  <c r="AE78" i="7"/>
  <c r="AF78" i="7"/>
  <c r="AG78" i="7"/>
  <c r="AH78" i="7" s="1"/>
  <c r="AI78" i="7"/>
  <c r="AJ78" i="7"/>
  <c r="AM78" i="7" s="1"/>
  <c r="AN78" i="7" s="1"/>
  <c r="AK78" i="7"/>
  <c r="AL78" i="7"/>
  <c r="AO78" i="7"/>
  <c r="AP78" i="7"/>
  <c r="AQ78" i="7"/>
  <c r="AR78" i="7"/>
  <c r="AS78" i="7"/>
  <c r="AT78" i="7"/>
  <c r="AU78" i="7"/>
  <c r="AV78" i="7" s="1"/>
  <c r="AW78" i="7"/>
  <c r="AX78" i="7" s="1"/>
  <c r="AY78" i="7"/>
  <c r="AZ78" i="7" s="1"/>
  <c r="BB78" i="7"/>
  <c r="BC78" i="7"/>
  <c r="BD78" i="7"/>
  <c r="BE78" i="7"/>
  <c r="BF78" i="7"/>
  <c r="BG78" i="7"/>
  <c r="BH78" i="7"/>
  <c r="BI78" i="7"/>
  <c r="BJ78" i="7"/>
  <c r="Z79" i="7"/>
  <c r="AA79" i="7"/>
  <c r="AB79" i="7"/>
  <c r="AC79" i="7"/>
  <c r="AD79" i="7"/>
  <c r="AE79" i="7"/>
  <c r="AF79" i="7"/>
  <c r="AG79" i="7"/>
  <c r="AH79" i="7" s="1"/>
  <c r="AI79" i="7"/>
  <c r="AJ79" i="7"/>
  <c r="AM79" i="7" s="1"/>
  <c r="AN79" i="7" s="1"/>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s="1"/>
  <c r="AW80" i="7"/>
  <c r="AX80" i="7" s="1"/>
  <c r="AY80" i="7"/>
  <c r="AZ80" i="7"/>
  <c r="BB80" i="7"/>
  <c r="BC80" i="7"/>
  <c r="BD80" i="7"/>
  <c r="BE80" i="7"/>
  <c r="BF80" i="7"/>
  <c r="BG80" i="7"/>
  <c r="BH80" i="7"/>
  <c r="BI80" i="7"/>
  <c r="BJ80" i="7"/>
  <c r="Z81" i="7"/>
  <c r="AA81" i="7" s="1"/>
  <c r="AB81" i="7"/>
  <c r="AC81" i="7"/>
  <c r="AD81" i="7"/>
  <c r="AE81" i="7"/>
  <c r="AF81" i="7"/>
  <c r="AG81" i="7"/>
  <c r="AH81" i="7" s="1"/>
  <c r="AI81" i="7"/>
  <c r="AJ81" i="7"/>
  <c r="AK81" i="7"/>
  <c r="AL81" i="7"/>
  <c r="AO81" i="7"/>
  <c r="AP81" i="7"/>
  <c r="AQ81" i="7"/>
  <c r="AR81" i="7"/>
  <c r="AS81" i="7"/>
  <c r="AT81" i="7" s="1"/>
  <c r="AU81" i="7"/>
  <c r="AV81" i="7" s="1"/>
  <c r="AW81" i="7"/>
  <c r="AX81" i="7" s="1"/>
  <c r="AY81" i="7"/>
  <c r="AZ81" i="7"/>
  <c r="BB81" i="7"/>
  <c r="BC81" i="7"/>
  <c r="BD81" i="7"/>
  <c r="BE81" i="7"/>
  <c r="BF81" i="7"/>
  <c r="BG81" i="7"/>
  <c r="BH81" i="7"/>
  <c r="BI81" i="7"/>
  <c r="BJ81" i="7"/>
  <c r="Z82" i="7"/>
  <c r="AA82" i="7" s="1"/>
  <c r="AB82" i="7"/>
  <c r="AC82" i="7"/>
  <c r="AD82" i="7"/>
  <c r="AE82" i="7"/>
  <c r="AF82" i="7"/>
  <c r="AG82" i="7"/>
  <c r="AH82" i="7" s="1"/>
  <c r="AI82" i="7"/>
  <c r="AJ82" i="7"/>
  <c r="AK82" i="7"/>
  <c r="AL82" i="7"/>
  <c r="AO82" i="7"/>
  <c r="AP82" i="7"/>
  <c r="AQ82" i="7"/>
  <c r="AR82" i="7"/>
  <c r="AS82" i="7"/>
  <c r="AT82" i="7" s="1"/>
  <c r="AU82" i="7"/>
  <c r="AV82" i="7" s="1"/>
  <c r="AW82" i="7"/>
  <c r="AX82" i="7"/>
  <c r="AY82" i="7"/>
  <c r="AZ82" i="7" s="1"/>
  <c r="BB82" i="7"/>
  <c r="BC82" i="7"/>
  <c r="BD82" i="7"/>
  <c r="BE82" i="7"/>
  <c r="BF82" i="7"/>
  <c r="BG82" i="7"/>
  <c r="BH82" i="7"/>
  <c r="BI82" i="7"/>
  <c r="BJ82" i="7"/>
  <c r="Z83" i="7"/>
  <c r="AA83" i="7" s="1"/>
  <c r="AB83" i="7"/>
  <c r="AC83" i="7"/>
  <c r="AD83" i="7"/>
  <c r="AE83" i="7"/>
  <c r="AF83" i="7"/>
  <c r="AG83" i="7"/>
  <c r="AH83" i="7"/>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AB84" i="7"/>
  <c r="AC84" i="7"/>
  <c r="AD84" i="7"/>
  <c r="AE84" i="7"/>
  <c r="AF84" i="7"/>
  <c r="AG84" i="7"/>
  <c r="AH84" i="7"/>
  <c r="AI84" i="7"/>
  <c r="AJ84" i="7"/>
  <c r="AK84" i="7"/>
  <c r="AL84" i="7"/>
  <c r="AO84" i="7"/>
  <c r="AP84" i="7"/>
  <c r="AQ84" i="7"/>
  <c r="AR84" i="7"/>
  <c r="AS84" i="7"/>
  <c r="AT84" i="7" s="1"/>
  <c r="AU84" i="7"/>
  <c r="AV84" i="7" s="1"/>
  <c r="AW84" i="7"/>
  <c r="AX84" i="7"/>
  <c r="AY84" i="7"/>
  <c r="AZ84" i="7"/>
  <c r="BB84" i="7"/>
  <c r="BC84" i="7"/>
  <c r="BD84" i="7"/>
  <c r="BE84" i="7"/>
  <c r="BF84" i="7"/>
  <c r="BG84" i="7"/>
  <c r="BH84" i="7"/>
  <c r="BI84" i="7"/>
  <c r="BJ84" i="7"/>
  <c r="Z85" i="7"/>
  <c r="AA85" i="7"/>
  <c r="AB85" i="7"/>
  <c r="AC85" i="7"/>
  <c r="AD85" i="7"/>
  <c r="AE85" i="7"/>
  <c r="AF85" i="7"/>
  <c r="AG85" i="7"/>
  <c r="AH85" i="7" s="1"/>
  <c r="AI85" i="7"/>
  <c r="AJ85" i="7"/>
  <c r="AK85" i="7"/>
  <c r="AL85" i="7"/>
  <c r="AO85" i="7"/>
  <c r="AP85" i="7"/>
  <c r="AQ85" i="7"/>
  <c r="AR85" i="7"/>
  <c r="AS85" i="7"/>
  <c r="AT85" i="7"/>
  <c r="AU85" i="7"/>
  <c r="AV85" i="7"/>
  <c r="AW85" i="7"/>
  <c r="AX85" i="7" s="1"/>
  <c r="AY85" i="7"/>
  <c r="AZ85" i="7" s="1"/>
  <c r="BB85" i="7"/>
  <c r="BC85" i="7"/>
  <c r="BD85" i="7"/>
  <c r="BE85" i="7"/>
  <c r="BF85" i="7"/>
  <c r="BG85" i="7"/>
  <c r="BH85" i="7"/>
  <c r="BI85" i="7"/>
  <c r="BJ85" i="7"/>
  <c r="Z86" i="7"/>
  <c r="AA86" i="7"/>
  <c r="AB86" i="7"/>
  <c r="AC86" i="7"/>
  <c r="AD86" i="7"/>
  <c r="AE86" i="7"/>
  <c r="AF86" i="7"/>
  <c r="AG86" i="7"/>
  <c r="AH86" i="7" s="1"/>
  <c r="AI86" i="7"/>
  <c r="AJ86" i="7"/>
  <c r="AM86" i="7" s="1"/>
  <c r="AN86" i="7" s="1"/>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AB89" i="7"/>
  <c r="AC89" i="7"/>
  <c r="AD89" i="7"/>
  <c r="AE89" i="7"/>
  <c r="AF89" i="7"/>
  <c r="AG89" i="7"/>
  <c r="AH89" i="7"/>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B91" i="7"/>
  <c r="BC91" i="7"/>
  <c r="BD91" i="7"/>
  <c r="BE91" i="7"/>
  <c r="BF91" i="7"/>
  <c r="BG91" i="7"/>
  <c r="BH91" i="7"/>
  <c r="BI91" i="7"/>
  <c r="BJ91" i="7"/>
  <c r="Z92" i="7"/>
  <c r="AA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AB94" i="7"/>
  <c r="AC94" i="7"/>
  <c r="AD94" i="7"/>
  <c r="AE94" i="7"/>
  <c r="AF94" i="7"/>
  <c r="AG94" i="7"/>
  <c r="AH94" i="7" s="1"/>
  <c r="AI94" i="7"/>
  <c r="AJ94" i="7"/>
  <c r="AM94" i="7" s="1"/>
  <c r="AK94" i="7"/>
  <c r="AL94" i="7"/>
  <c r="AN94" i="7"/>
  <c r="AO94" i="7"/>
  <c r="AP94" i="7"/>
  <c r="AQ94" i="7"/>
  <c r="AR94" i="7"/>
  <c r="AS94" i="7"/>
  <c r="AT94" i="7" s="1"/>
  <c r="AU94" i="7"/>
  <c r="AV94" i="7" s="1"/>
  <c r="AW94" i="7"/>
  <c r="AX94" i="7" s="1"/>
  <c r="AY94" i="7"/>
  <c r="AZ94" i="7" s="1"/>
  <c r="BB94" i="7"/>
  <c r="BC94" i="7"/>
  <c r="BD94" i="7"/>
  <c r="BE94" i="7"/>
  <c r="BF94" i="7"/>
  <c r="BG94" i="7"/>
  <c r="BH94" i="7"/>
  <c r="BI94" i="7"/>
  <c r="BJ94" i="7"/>
  <c r="Z95" i="7"/>
  <c r="AA95" i="7"/>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B96" i="7"/>
  <c r="BC96" i="7"/>
  <c r="BD96" i="7"/>
  <c r="BE96" i="7"/>
  <c r="BF96" i="7"/>
  <c r="BG96" i="7"/>
  <c r="BH96" i="7"/>
  <c r="BI96" i="7"/>
  <c r="BJ96" i="7"/>
  <c r="Z97" i="7"/>
  <c r="AA97" i="7" s="1"/>
  <c r="AB97" i="7"/>
  <c r="AC97" i="7"/>
  <c r="AD97" i="7"/>
  <c r="AE97" i="7"/>
  <c r="AF97" i="7"/>
  <c r="AG97" i="7"/>
  <c r="AH97" i="7"/>
  <c r="AI97" i="7"/>
  <c r="AJ97" i="7"/>
  <c r="AK97" i="7"/>
  <c r="AL97" i="7"/>
  <c r="AO97" i="7"/>
  <c r="AP97" i="7"/>
  <c r="AQ97" i="7"/>
  <c r="AR97" i="7"/>
  <c r="AS97" i="7"/>
  <c r="AT97" i="7" s="1"/>
  <c r="AU97" i="7"/>
  <c r="AV97" i="7" s="1"/>
  <c r="AW97" i="7"/>
  <c r="AX97" i="7" s="1"/>
  <c r="AY97" i="7"/>
  <c r="AZ97" i="7"/>
  <c r="BB97" i="7"/>
  <c r="BC97" i="7"/>
  <c r="BD97" i="7"/>
  <c r="BE97" i="7"/>
  <c r="BF97" i="7"/>
  <c r="BG97" i="7"/>
  <c r="BH97" i="7"/>
  <c r="BI97" i="7"/>
  <c r="BJ97" i="7"/>
  <c r="Z98" i="7"/>
  <c r="AA98" i="7"/>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B100" i="7"/>
  <c r="BC100" i="7"/>
  <c r="BD100" i="7"/>
  <c r="BE100" i="7"/>
  <c r="BF100" i="7"/>
  <c r="BG100" i="7"/>
  <c r="BH100" i="7"/>
  <c r="BI100" i="7"/>
  <c r="BJ100" i="7"/>
  <c r="Z101" i="7"/>
  <c r="AA101" i="7"/>
  <c r="AB101" i="7"/>
  <c r="AC101" i="7"/>
  <c r="AD101" i="7"/>
  <c r="AE101" i="7"/>
  <c r="AF101" i="7"/>
  <c r="AG101" i="7"/>
  <c r="AH101" i="7" s="1"/>
  <c r="AI101" i="7"/>
  <c r="AJ101" i="7"/>
  <c r="AM101" i="7" s="1"/>
  <c r="AN101" i="7" s="1"/>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AB102" i="7"/>
  <c r="AC102" i="7"/>
  <c r="AD102" i="7"/>
  <c r="AE102" i="7"/>
  <c r="AF102" i="7"/>
  <c r="AG102" i="7"/>
  <c r="AH102" i="7"/>
  <c r="AI102" i="7"/>
  <c r="AJ102" i="7"/>
  <c r="AM102" i="7" s="1"/>
  <c r="AN102" i="7" s="1"/>
  <c r="AK102" i="7"/>
  <c r="AL102" i="7"/>
  <c r="AO102" i="7"/>
  <c r="AP102" i="7"/>
  <c r="AQ102" i="7"/>
  <c r="AR102" i="7"/>
  <c r="AS102" i="7"/>
  <c r="AT102" i="7" s="1"/>
  <c r="AU102" i="7"/>
  <c r="AV102" i="7" s="1"/>
  <c r="AW102" i="7"/>
  <c r="AX102" i="7"/>
  <c r="AY102" i="7"/>
  <c r="AZ102" i="7" s="1"/>
  <c r="BB102" i="7"/>
  <c r="BC102" i="7"/>
  <c r="BD102" i="7"/>
  <c r="BE102" i="7"/>
  <c r="BF102" i="7"/>
  <c r="BG102" i="7"/>
  <c r="BH102" i="7"/>
  <c r="BI102" i="7"/>
  <c r="BJ102" i="7"/>
  <c r="Z103" i="7"/>
  <c r="AA103" i="7"/>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AB104" i="7"/>
  <c r="AC104" i="7"/>
  <c r="AD104" i="7"/>
  <c r="AE104" i="7"/>
  <c r="AF104" i="7"/>
  <c r="AG104" i="7"/>
  <c r="AH104" i="7" s="1"/>
  <c r="AI104" i="7"/>
  <c r="AJ104" i="7"/>
  <c r="AK104" i="7"/>
  <c r="AL104" i="7"/>
  <c r="AO104" i="7"/>
  <c r="AP104" i="7"/>
  <c r="AQ104" i="7"/>
  <c r="AR104" i="7"/>
  <c r="AS104" i="7"/>
  <c r="AT104" i="7"/>
  <c r="AU104" i="7"/>
  <c r="AV104" i="7" s="1"/>
  <c r="AW104" i="7"/>
  <c r="AX104" i="7" s="1"/>
  <c r="AY104" i="7"/>
  <c r="AZ104" i="7" s="1"/>
  <c r="BB104" i="7"/>
  <c r="BC104" i="7"/>
  <c r="BD104" i="7"/>
  <c r="BE104" i="7"/>
  <c r="BF104" i="7"/>
  <c r="BG104" i="7"/>
  <c r="BH104" i="7"/>
  <c r="BI104" i="7"/>
  <c r="BJ104" i="7"/>
  <c r="Z105" i="7"/>
  <c r="AA105" i="7"/>
  <c r="AB105" i="7"/>
  <c r="AC105" i="7"/>
  <c r="AD105" i="7"/>
  <c r="AE105" i="7"/>
  <c r="AF105" i="7"/>
  <c r="AG105" i="7"/>
  <c r="AH105" i="7"/>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AB106" i="7"/>
  <c r="AC106" i="7"/>
  <c r="AD106" i="7"/>
  <c r="AE106" i="7"/>
  <c r="AF106" i="7"/>
  <c r="AG106" i="7"/>
  <c r="AH106" i="7"/>
  <c r="AI106" i="7"/>
  <c r="AJ106" i="7"/>
  <c r="AM106" i="7" s="1"/>
  <c r="AN106" i="7" s="1"/>
  <c r="AK106" i="7"/>
  <c r="AL106" i="7"/>
  <c r="AO106" i="7"/>
  <c r="AP106" i="7"/>
  <c r="AQ106" i="7"/>
  <c r="AR106" i="7"/>
  <c r="AS106" i="7"/>
  <c r="AT106" i="7" s="1"/>
  <c r="AU106" i="7"/>
  <c r="AV106" i="7" s="1"/>
  <c r="AW106" i="7"/>
  <c r="AX106" i="7"/>
  <c r="AY106" i="7"/>
  <c r="AZ106" i="7" s="1"/>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B107" i="7"/>
  <c r="BC107" i="7"/>
  <c r="BD107" i="7"/>
  <c r="BE107" i="7"/>
  <c r="BF107" i="7"/>
  <c r="BG107" i="7"/>
  <c r="BH107" i="7"/>
  <c r="BI107" i="7"/>
  <c r="BJ107" i="7"/>
  <c r="Z108" i="7"/>
  <c r="AA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B108" i="7"/>
  <c r="BC108" i="7"/>
  <c r="BD108" i="7"/>
  <c r="BE108" i="7"/>
  <c r="BF108" i="7"/>
  <c r="BG108" i="7"/>
  <c r="BH108" i="7"/>
  <c r="BI108" i="7"/>
  <c r="BJ108" i="7"/>
  <c r="Z109" i="7"/>
  <c r="AA109" i="7" s="1"/>
  <c r="AB109" i="7"/>
  <c r="AC109" i="7"/>
  <c r="AD109" i="7"/>
  <c r="AE109" i="7"/>
  <c r="AF109" i="7"/>
  <c r="AG109" i="7"/>
  <c r="AH109" i="7" s="1"/>
  <c r="AI109" i="7"/>
  <c r="AJ109" i="7"/>
  <c r="AK109" i="7"/>
  <c r="AL109" i="7"/>
  <c r="AO109" i="7"/>
  <c r="AP109" i="7"/>
  <c r="AQ109" i="7"/>
  <c r="AR109" i="7"/>
  <c r="AS109" i="7"/>
  <c r="AT109" i="7"/>
  <c r="AU109" i="7"/>
  <c r="AV109" i="7" s="1"/>
  <c r="AW109" i="7"/>
  <c r="AX109" i="7" s="1"/>
  <c r="AY109" i="7"/>
  <c r="AZ109" i="7" s="1"/>
  <c r="BB109" i="7"/>
  <c r="BC109" i="7"/>
  <c r="BD109" i="7"/>
  <c r="BE109" i="7"/>
  <c r="BF109" i="7"/>
  <c r="BG109" i="7"/>
  <c r="BH109" i="7"/>
  <c r="BI109" i="7"/>
  <c r="BJ109" i="7"/>
  <c r="Z110" i="7"/>
  <c r="AA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AB112" i="7"/>
  <c r="AC112" i="7"/>
  <c r="AD112" i="7"/>
  <c r="AE112" i="7"/>
  <c r="AF112" i="7"/>
  <c r="AG112" i="7"/>
  <c r="AH112" i="7" s="1"/>
  <c r="AI112" i="7"/>
  <c r="AJ112" i="7"/>
  <c r="AM112" i="7" s="1"/>
  <c r="AN112" i="7" s="1"/>
  <c r="AK112" i="7"/>
  <c r="AL112" i="7"/>
  <c r="AO112" i="7"/>
  <c r="AP112" i="7"/>
  <c r="AQ112" i="7"/>
  <c r="AR112" i="7"/>
  <c r="AS112" i="7"/>
  <c r="AT112" i="7"/>
  <c r="AU112" i="7"/>
  <c r="AV112" i="7"/>
  <c r="AW112" i="7"/>
  <c r="AX112" i="7"/>
  <c r="AY112" i="7"/>
  <c r="AZ112" i="7" s="1"/>
  <c r="BB112" i="7"/>
  <c r="BC112" i="7"/>
  <c r="BD112" i="7"/>
  <c r="BE112" i="7"/>
  <c r="BF112" i="7"/>
  <c r="BG112" i="7"/>
  <c r="BH112" i="7"/>
  <c r="BI112" i="7"/>
  <c r="BJ112" i="7"/>
  <c r="Z113" i="7"/>
  <c r="AA113" i="7" s="1"/>
  <c r="AB113" i="7"/>
  <c r="AC113" i="7"/>
  <c r="AD113" i="7"/>
  <c r="AE113" i="7"/>
  <c r="AF113" i="7"/>
  <c r="AG113" i="7"/>
  <c r="AH113" i="7" s="1"/>
  <c r="AI113" i="7"/>
  <c r="AJ113" i="7"/>
  <c r="AK113" i="7"/>
  <c r="AL113" i="7"/>
  <c r="AO113" i="7"/>
  <c r="AP113" i="7"/>
  <c r="AQ113" i="7"/>
  <c r="AR113" i="7"/>
  <c r="AS113" i="7"/>
  <c r="AT113" i="7" s="1"/>
  <c r="AU113" i="7"/>
  <c r="AV113" i="7"/>
  <c r="AW113" i="7"/>
  <c r="AX113" i="7"/>
  <c r="AY113" i="7"/>
  <c r="AZ113" i="7" s="1"/>
  <c r="BB113" i="7"/>
  <c r="BC113" i="7"/>
  <c r="BD113" i="7"/>
  <c r="BE113" i="7"/>
  <c r="BF113" i="7"/>
  <c r="BG113" i="7"/>
  <c r="BH113" i="7"/>
  <c r="BI113" i="7"/>
  <c r="BJ113" i="7"/>
  <c r="Z114" i="7"/>
  <c r="AA114" i="7"/>
  <c r="AB114" i="7"/>
  <c r="AC114" i="7"/>
  <c r="AD114" i="7"/>
  <c r="AE114" i="7"/>
  <c r="AF114" i="7"/>
  <c r="AG114" i="7"/>
  <c r="AH114" i="7" s="1"/>
  <c r="AI114" i="7"/>
  <c r="AJ114" i="7"/>
  <c r="AK114" i="7"/>
  <c r="AL114" i="7"/>
  <c r="AO114" i="7"/>
  <c r="AP114" i="7"/>
  <c r="AQ114" i="7"/>
  <c r="AR114" i="7"/>
  <c r="AS114" i="7"/>
  <c r="AT114" i="7"/>
  <c r="AU114" i="7"/>
  <c r="AV114" i="7" s="1"/>
  <c r="AW114" i="7"/>
  <c r="AX114" i="7" s="1"/>
  <c r="AY114" i="7"/>
  <c r="AZ114" i="7"/>
  <c r="BB114" i="7"/>
  <c r="BC114" i="7"/>
  <c r="BD114" i="7"/>
  <c r="BE114" i="7"/>
  <c r="BF114" i="7"/>
  <c r="BG114" i="7"/>
  <c r="BH114" i="7"/>
  <c r="BI114" i="7"/>
  <c r="BJ114" i="7"/>
  <c r="Z115" i="7"/>
  <c r="AA115" i="7" s="1"/>
  <c r="AB115" i="7"/>
  <c r="AC115" i="7"/>
  <c r="AD115" i="7"/>
  <c r="AE115" i="7"/>
  <c r="AF115" i="7"/>
  <c r="AG115" i="7"/>
  <c r="AH115" i="7" s="1"/>
  <c r="AI115" i="7"/>
  <c r="AJ115" i="7"/>
  <c r="AK115" i="7"/>
  <c r="AL115" i="7"/>
  <c r="AO115" i="7"/>
  <c r="AP115" i="7"/>
  <c r="AQ115" i="7"/>
  <c r="AR115" i="7"/>
  <c r="AS115" i="7"/>
  <c r="AT115" i="7"/>
  <c r="AU115" i="7"/>
  <c r="AV115" i="7" s="1"/>
  <c r="AW115" i="7"/>
  <c r="AX115" i="7" s="1"/>
  <c r="AY115" i="7"/>
  <c r="AZ115" i="7" s="1"/>
  <c r="BB115" i="7"/>
  <c r="BC115" i="7"/>
  <c r="BD115" i="7"/>
  <c r="BE115" i="7"/>
  <c r="BF115" i="7"/>
  <c r="BG115" i="7"/>
  <c r="BH115" i="7"/>
  <c r="BI115" i="7"/>
  <c r="BJ115" i="7"/>
  <c r="Z116" i="7"/>
  <c r="AA116" i="7" s="1"/>
  <c r="AB116" i="7"/>
  <c r="AC116" i="7"/>
  <c r="AD116" i="7"/>
  <c r="AE116" i="7"/>
  <c r="AF116" i="7"/>
  <c r="AG116" i="7"/>
  <c r="AH116" i="7" s="1"/>
  <c r="AI116" i="7"/>
  <c r="AJ116" i="7"/>
  <c r="AK116" i="7"/>
  <c r="AL116" i="7"/>
  <c r="AO116" i="7"/>
  <c r="AP116" i="7"/>
  <c r="AQ116" i="7"/>
  <c r="AR116" i="7"/>
  <c r="AS116" i="7"/>
  <c r="AT116" i="7"/>
  <c r="AU116" i="7"/>
  <c r="AV116" i="7" s="1"/>
  <c r="AW116" i="7"/>
  <c r="AX116" i="7" s="1"/>
  <c r="AY116" i="7"/>
  <c r="AZ116" i="7" s="1"/>
  <c r="BB116" i="7"/>
  <c r="BC116" i="7"/>
  <c r="BD116" i="7"/>
  <c r="BE116" i="7"/>
  <c r="BF116" i="7"/>
  <c r="BG116" i="7"/>
  <c r="BH116" i="7"/>
  <c r="BI116" i="7"/>
  <c r="BJ116" i="7"/>
  <c r="Z117" i="7"/>
  <c r="AA117" i="7" s="1"/>
  <c r="AB117" i="7"/>
  <c r="AC117" i="7"/>
  <c r="AD117" i="7"/>
  <c r="AE117" i="7"/>
  <c r="AF117" i="7"/>
  <c r="AG117" i="7"/>
  <c r="AH117" i="7"/>
  <c r="AI117" i="7"/>
  <c r="AJ117" i="7"/>
  <c r="AK117" i="7"/>
  <c r="AM117" i="7" s="1"/>
  <c r="AN117" i="7" s="1"/>
  <c r="AL117" i="7"/>
  <c r="AO117" i="7"/>
  <c r="AP117" i="7"/>
  <c r="AQ117" i="7"/>
  <c r="AR117" i="7"/>
  <c r="AS117" i="7"/>
  <c r="AT117" i="7"/>
  <c r="AU117" i="7"/>
  <c r="AV117" i="7"/>
  <c r="AW117" i="7"/>
  <c r="AX117" i="7" s="1"/>
  <c r="AY117" i="7"/>
  <c r="AZ117" i="7" s="1"/>
  <c r="BB117" i="7"/>
  <c r="BC117" i="7"/>
  <c r="BD117" i="7"/>
  <c r="BE117" i="7"/>
  <c r="BF117" i="7"/>
  <c r="BG117" i="7"/>
  <c r="BH117" i="7"/>
  <c r="BI117" i="7"/>
  <c r="BJ117" i="7"/>
  <c r="Z118" i="7"/>
  <c r="AA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B120" i="7"/>
  <c r="BC120" i="7"/>
  <c r="BD120" i="7"/>
  <c r="BE120" i="7"/>
  <c r="BF120" i="7"/>
  <c r="BG120" i="7"/>
  <c r="BH120" i="7"/>
  <c r="BI120" i="7"/>
  <c r="BJ120" i="7"/>
  <c r="Z123" i="7"/>
  <c r="AA123" i="7"/>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B123" i="7"/>
  <c r="BC123" i="7"/>
  <c r="BD123" i="7"/>
  <c r="BE123" i="7"/>
  <c r="BF123" i="7"/>
  <c r="BG123" i="7"/>
  <c r="BH123" i="7"/>
  <c r="BI123" i="7"/>
  <c r="BJ123"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B125" i="7"/>
  <c r="BC125" i="7"/>
  <c r="BD125" i="7"/>
  <c r="BE125" i="7"/>
  <c r="BF125" i="7"/>
  <c r="BG125" i="7"/>
  <c r="BH125" i="7"/>
  <c r="BI125" i="7"/>
  <c r="BJ125" i="7"/>
  <c r="Z126" i="7"/>
  <c r="AA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B126" i="7"/>
  <c r="BC126" i="7"/>
  <c r="BD126" i="7"/>
  <c r="BE126" i="7"/>
  <c r="BF126" i="7"/>
  <c r="BG126" i="7"/>
  <c r="BH126" i="7"/>
  <c r="BI126" i="7"/>
  <c r="BJ126" i="7"/>
  <c r="Z127" i="7"/>
  <c r="AA127" i="7" s="1"/>
  <c r="AB127" i="7"/>
  <c r="AC127" i="7"/>
  <c r="AD127" i="7"/>
  <c r="AE127" i="7"/>
  <c r="AF127" i="7"/>
  <c r="AG127" i="7"/>
  <c r="AH127" i="7" s="1"/>
  <c r="AI127" i="7"/>
  <c r="AJ127" i="7"/>
  <c r="AM127" i="7" s="1"/>
  <c r="AN127" i="7" s="1"/>
  <c r="AK127" i="7"/>
  <c r="AL127" i="7"/>
  <c r="AO127" i="7"/>
  <c r="AP127" i="7"/>
  <c r="AQ127" i="7"/>
  <c r="AR127" i="7"/>
  <c r="AS127" i="7"/>
  <c r="AT127" i="7"/>
  <c r="AU127" i="7"/>
  <c r="AV127" i="7" s="1"/>
  <c r="AW127" i="7"/>
  <c r="AX127" i="7" s="1"/>
  <c r="AY127" i="7"/>
  <c r="AZ127" i="7" s="1"/>
  <c r="BB127" i="7"/>
  <c r="BC127" i="7"/>
  <c r="BD127" i="7"/>
  <c r="BE127" i="7"/>
  <c r="BF127" i="7"/>
  <c r="BG127" i="7"/>
  <c r="BH127" i="7"/>
  <c r="BI127" i="7"/>
  <c r="BJ127" i="7"/>
  <c r="Z128" i="7"/>
  <c r="AA128" i="7" s="1"/>
  <c r="AB128" i="7"/>
  <c r="AC128" i="7"/>
  <c r="AD128" i="7"/>
  <c r="AE128" i="7"/>
  <c r="AF128" i="7"/>
  <c r="AG128" i="7"/>
  <c r="AH128" i="7"/>
  <c r="AI128" i="7"/>
  <c r="AJ128" i="7"/>
  <c r="AK128" i="7"/>
  <c r="AM128" i="7" s="1"/>
  <c r="AN128" i="7" s="1"/>
  <c r="AL128" i="7"/>
  <c r="AO128" i="7"/>
  <c r="AP128" i="7"/>
  <c r="AQ128" i="7"/>
  <c r="AR128" i="7"/>
  <c r="AS128" i="7"/>
  <c r="AT128" i="7" s="1"/>
  <c r="AU128" i="7"/>
  <c r="AV128" i="7"/>
  <c r="AW128" i="7"/>
  <c r="AX128" i="7"/>
  <c r="AY128" i="7"/>
  <c r="AZ128" i="7" s="1"/>
  <c r="BB128" i="7"/>
  <c r="BC128" i="7"/>
  <c r="BD128" i="7"/>
  <c r="BE128" i="7"/>
  <c r="BF128" i="7"/>
  <c r="BG128" i="7"/>
  <c r="BH128" i="7"/>
  <c r="BI128" i="7"/>
  <c r="BJ128" i="7"/>
  <c r="Z129" i="7"/>
  <c r="AA129" i="7"/>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B129" i="7"/>
  <c r="BC129" i="7"/>
  <c r="BD129" i="7"/>
  <c r="BE129" i="7"/>
  <c r="BF129" i="7"/>
  <c r="BG129" i="7"/>
  <c r="BH129" i="7"/>
  <c r="BI129" i="7"/>
  <c r="BJ129" i="7"/>
  <c r="Z130" i="7"/>
  <c r="AA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c r="AB131" i="7"/>
  <c r="AC131" i="7"/>
  <c r="AD131" i="7"/>
  <c r="AE131" i="7"/>
  <c r="AF131" i="7"/>
  <c r="AG131" i="7"/>
  <c r="AH131" i="7"/>
  <c r="AI131" i="7"/>
  <c r="AJ131" i="7"/>
  <c r="AM131" i="7" s="1"/>
  <c r="AN131" i="7" s="1"/>
  <c r="AK131" i="7"/>
  <c r="AL131" i="7"/>
  <c r="AO131" i="7"/>
  <c r="AP131" i="7"/>
  <c r="AQ131" i="7"/>
  <c r="AR131" i="7"/>
  <c r="AS131" i="7"/>
  <c r="AT131" i="7"/>
  <c r="AU131" i="7"/>
  <c r="AV131" i="7" s="1"/>
  <c r="AW131" i="7"/>
  <c r="AX131" i="7" s="1"/>
  <c r="AY131" i="7"/>
  <c r="AZ131" i="7" s="1"/>
  <c r="BB131" i="7"/>
  <c r="BC131" i="7"/>
  <c r="BD131" i="7"/>
  <c r="BE131" i="7"/>
  <c r="BF131" i="7"/>
  <c r="BG131" i="7"/>
  <c r="BH131" i="7"/>
  <c r="BI131" i="7"/>
  <c r="BJ131" i="7"/>
  <c r="Z132" i="7"/>
  <c r="AA132" i="7" s="1"/>
  <c r="AB132" i="7"/>
  <c r="AC132" i="7"/>
  <c r="AD132" i="7"/>
  <c r="AE132" i="7"/>
  <c r="AF132" i="7"/>
  <c r="AG132" i="7"/>
  <c r="AH132" i="7"/>
  <c r="AI132" i="7"/>
  <c r="AJ132" i="7"/>
  <c r="AM132" i="7" s="1"/>
  <c r="AN132" i="7" s="1"/>
  <c r="AK132" i="7"/>
  <c r="AL132" i="7"/>
  <c r="AO132" i="7"/>
  <c r="AP132" i="7"/>
  <c r="AQ132" i="7"/>
  <c r="AR132" i="7"/>
  <c r="AS132" i="7"/>
  <c r="AT132" i="7"/>
  <c r="AU132" i="7"/>
  <c r="AV132" i="7" s="1"/>
  <c r="AW132" i="7"/>
  <c r="AX132" i="7" s="1"/>
  <c r="AY132" i="7"/>
  <c r="AZ132" i="7"/>
  <c r="BB132" i="7"/>
  <c r="BC132" i="7"/>
  <c r="BD132" i="7"/>
  <c r="BE132" i="7"/>
  <c r="BF132" i="7"/>
  <c r="BG132" i="7"/>
  <c r="BH132" i="7"/>
  <c r="BI132" i="7"/>
  <c r="BJ132" i="7"/>
  <c r="Z133" i="7"/>
  <c r="AA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B133" i="7"/>
  <c r="BC133" i="7"/>
  <c r="BD133" i="7"/>
  <c r="BE133" i="7"/>
  <c r="BF133" i="7"/>
  <c r="BG133" i="7"/>
  <c r="BH133" i="7"/>
  <c r="BI133" i="7"/>
  <c r="BJ133" i="7"/>
  <c r="Z134" i="7"/>
  <c r="AA134" i="7"/>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s="1"/>
  <c r="AW135" i="7"/>
  <c r="AX135" i="7" s="1"/>
  <c r="AY135" i="7"/>
  <c r="AZ135" i="7"/>
  <c r="BB135" i="7"/>
  <c r="BC135" i="7"/>
  <c r="BD135" i="7"/>
  <c r="BE135" i="7"/>
  <c r="BF135" i="7"/>
  <c r="BG135" i="7"/>
  <c r="BH135" i="7"/>
  <c r="BI135" i="7"/>
  <c r="BJ135" i="7"/>
  <c r="Z136" i="7"/>
  <c r="AA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B136" i="7"/>
  <c r="BC136" i="7"/>
  <c r="BD136" i="7"/>
  <c r="BE136" i="7"/>
  <c r="BF136" i="7"/>
  <c r="BG136" i="7"/>
  <c r="BH136" i="7"/>
  <c r="BI136" i="7"/>
  <c r="BJ136" i="7"/>
  <c r="Z137" i="7"/>
  <c r="AA137" i="7"/>
  <c r="AB137" i="7"/>
  <c r="AC137" i="7"/>
  <c r="AD137" i="7"/>
  <c r="AE137" i="7"/>
  <c r="AF137" i="7"/>
  <c r="AG137" i="7"/>
  <c r="AH137" i="7" s="1"/>
  <c r="AI137" i="7"/>
  <c r="AJ137" i="7"/>
  <c r="AM137" i="7" s="1"/>
  <c r="AN137" i="7" s="1"/>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B141" i="7"/>
  <c r="BC141" i="7"/>
  <c r="BD141" i="7"/>
  <c r="BE141" i="7"/>
  <c r="BF141" i="7"/>
  <c r="BG141" i="7"/>
  <c r="BH141" i="7"/>
  <c r="BI141" i="7"/>
  <c r="BJ141" i="7"/>
  <c r="Z142" i="7"/>
  <c r="AA142" i="7" s="1"/>
  <c r="AB142" i="7"/>
  <c r="AC142" i="7"/>
  <c r="AD142" i="7"/>
  <c r="AE142" i="7"/>
  <c r="AF142" i="7"/>
  <c r="AG142" i="7"/>
  <c r="AH142" i="7" s="1"/>
  <c r="AI142" i="7"/>
  <c r="AJ142" i="7"/>
  <c r="AM142" i="7" s="1"/>
  <c r="AN142" i="7" s="1"/>
  <c r="AK142" i="7"/>
  <c r="AL142" i="7"/>
  <c r="AO142" i="7"/>
  <c r="AP142" i="7"/>
  <c r="AQ142" i="7"/>
  <c r="AR142" i="7"/>
  <c r="AS142" i="7"/>
  <c r="AT142" i="7" s="1"/>
  <c r="AU142" i="7"/>
  <c r="AV142" i="7" s="1"/>
  <c r="AW142" i="7"/>
  <c r="AX142" i="7" s="1"/>
  <c r="AY142" i="7"/>
  <c r="AZ142" i="7" s="1"/>
  <c r="BB142" i="7"/>
  <c r="BC142" i="7"/>
  <c r="BD142" i="7"/>
  <c r="BE142" i="7"/>
  <c r="BF142" i="7"/>
  <c r="BG142" i="7"/>
  <c r="BH142" i="7"/>
  <c r="BI142" i="7"/>
  <c r="BJ142" i="7"/>
  <c r="Z143" i="7"/>
  <c r="AA143" i="7" s="1"/>
  <c r="AB143" i="7"/>
  <c r="AC143" i="7"/>
  <c r="AD143" i="7"/>
  <c r="AE143" i="7"/>
  <c r="AF143" i="7"/>
  <c r="AG143" i="7"/>
  <c r="AH143" i="7" s="1"/>
  <c r="AI143" i="7"/>
  <c r="AJ143" i="7"/>
  <c r="AK143" i="7"/>
  <c r="AM143" i="7" s="1"/>
  <c r="AN143" i="7" s="1"/>
  <c r="AL143" i="7"/>
  <c r="AO143" i="7"/>
  <c r="AP143" i="7"/>
  <c r="AQ143" i="7"/>
  <c r="AR143" i="7"/>
  <c r="AS143" i="7"/>
  <c r="AT143" i="7"/>
  <c r="AU143" i="7"/>
  <c r="AV143" i="7" s="1"/>
  <c r="AW143" i="7"/>
  <c r="AX143" i="7" s="1"/>
  <c r="AY143" i="7"/>
  <c r="AZ143" i="7" s="1"/>
  <c r="BB143" i="7"/>
  <c r="BC143" i="7"/>
  <c r="BD143" i="7"/>
  <c r="BE143" i="7"/>
  <c r="BF143" i="7"/>
  <c r="BG143" i="7"/>
  <c r="BH143" i="7"/>
  <c r="BI143" i="7"/>
  <c r="BJ143" i="7"/>
  <c r="Z144" i="7"/>
  <c r="AA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B144" i="7"/>
  <c r="BC144" i="7"/>
  <c r="BD144" i="7"/>
  <c r="BE144" i="7"/>
  <c r="BF144" i="7"/>
  <c r="BG144" i="7"/>
  <c r="BH144" i="7"/>
  <c r="BI144" i="7"/>
  <c r="BJ144" i="7"/>
  <c r="Z145" i="7"/>
  <c r="AA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B146" i="7"/>
  <c r="BC146" i="7"/>
  <c r="BD146" i="7"/>
  <c r="BE146" i="7"/>
  <c r="BF146" i="7"/>
  <c r="BG146" i="7"/>
  <c r="BH146" i="7"/>
  <c r="BI146" i="7"/>
  <c r="BJ146" i="7"/>
  <c r="Z147" i="7"/>
  <c r="AA147" i="7" s="1"/>
  <c r="AB147" i="7"/>
  <c r="AC147" i="7"/>
  <c r="AD147" i="7"/>
  <c r="AE147" i="7"/>
  <c r="AF147" i="7"/>
  <c r="AG147" i="7"/>
  <c r="AH147" i="7" s="1"/>
  <c r="AI147" i="7"/>
  <c r="AJ147" i="7"/>
  <c r="AM147" i="7" s="1"/>
  <c r="AN147" i="7" s="1"/>
  <c r="AK147" i="7"/>
  <c r="AL147" i="7"/>
  <c r="AO147" i="7"/>
  <c r="AP147" i="7"/>
  <c r="AQ147" i="7"/>
  <c r="AR147" i="7"/>
  <c r="AS147" i="7"/>
  <c r="AT147" i="7" s="1"/>
  <c r="AU147" i="7"/>
  <c r="AV147" i="7" s="1"/>
  <c r="AW147" i="7"/>
  <c r="AX147" i="7" s="1"/>
  <c r="AY147" i="7"/>
  <c r="AZ147" i="7"/>
  <c r="BB147" i="7"/>
  <c r="BC147" i="7"/>
  <c r="BD147" i="7"/>
  <c r="BE147" i="7"/>
  <c r="BF147" i="7"/>
  <c r="BG147" i="7"/>
  <c r="BH147" i="7"/>
  <c r="BI147" i="7"/>
  <c r="BJ147" i="7"/>
  <c r="Z148" i="7"/>
  <c r="AA148" i="7" s="1"/>
  <c r="AB148" i="7"/>
  <c r="AC148" i="7"/>
  <c r="AD148" i="7"/>
  <c r="AE148" i="7"/>
  <c r="AF148" i="7"/>
  <c r="AG148" i="7"/>
  <c r="AH148" i="7" s="1"/>
  <c r="AI148" i="7"/>
  <c r="AJ148" i="7"/>
  <c r="AK148" i="7"/>
  <c r="AL148" i="7"/>
  <c r="AM148" i="7"/>
  <c r="AN148" i="7" s="1"/>
  <c r="AO148" i="7"/>
  <c r="AP148" i="7"/>
  <c r="Y148" i="7" s="1"/>
  <c r="AQ148" i="7"/>
  <c r="AR148" i="7"/>
  <c r="AS148" i="7"/>
  <c r="AT148" i="7" s="1"/>
  <c r="AU148" i="7"/>
  <c r="AV148" i="7" s="1"/>
  <c r="AW148" i="7"/>
  <c r="AX148" i="7" s="1"/>
  <c r="AY148" i="7"/>
  <c r="AZ148" i="7" s="1"/>
  <c r="BB148" i="7"/>
  <c r="BC148" i="7"/>
  <c r="BD148" i="7"/>
  <c r="BE148" i="7"/>
  <c r="BF148" i="7"/>
  <c r="BG148" i="7"/>
  <c r="BH148" i="7"/>
  <c r="BI148" i="7"/>
  <c r="BJ148" i="7"/>
  <c r="Z149" i="7"/>
  <c r="AA149" i="7" s="1"/>
  <c r="AB149" i="7"/>
  <c r="AC149" i="7"/>
  <c r="AD149" i="7"/>
  <c r="AE149" i="7"/>
  <c r="AF149" i="7"/>
  <c r="AG149" i="7"/>
  <c r="AH149" i="7"/>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B150" i="7"/>
  <c r="BC150" i="7"/>
  <c r="BD150" i="7"/>
  <c r="BE150" i="7"/>
  <c r="BF150" i="7"/>
  <c r="BG150" i="7"/>
  <c r="BH150" i="7"/>
  <c r="BI150" i="7"/>
  <c r="BJ150" i="7"/>
  <c r="Z151" i="7"/>
  <c r="AA151" i="7" s="1"/>
  <c r="AB151" i="7"/>
  <c r="AC151" i="7"/>
  <c r="AD151" i="7"/>
  <c r="AE151" i="7"/>
  <c r="AF151" i="7"/>
  <c r="AG151" i="7"/>
  <c r="AH151" i="7" s="1"/>
  <c r="AI151" i="7"/>
  <c r="AJ151" i="7"/>
  <c r="AM151" i="7" s="1"/>
  <c r="AN151" i="7" s="1"/>
  <c r="AK151" i="7"/>
  <c r="AL151" i="7"/>
  <c r="AO151" i="7"/>
  <c r="AP151" i="7"/>
  <c r="AQ151" i="7"/>
  <c r="AR151" i="7"/>
  <c r="AS151" i="7"/>
  <c r="AT151" i="7"/>
  <c r="AU151" i="7"/>
  <c r="AV151" i="7" s="1"/>
  <c r="AW151" i="7"/>
  <c r="AX151" i="7"/>
  <c r="AY151" i="7"/>
  <c r="AZ151" i="7"/>
  <c r="BB151" i="7"/>
  <c r="BC151" i="7"/>
  <c r="BD151" i="7"/>
  <c r="BE151" i="7"/>
  <c r="BF151" i="7"/>
  <c r="BG151" i="7"/>
  <c r="BH151" i="7"/>
  <c r="BI151" i="7"/>
  <c r="BJ151" i="7"/>
  <c r="Z152" i="7"/>
  <c r="AA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B152" i="7"/>
  <c r="BC152" i="7"/>
  <c r="BD152" i="7"/>
  <c r="BE152" i="7"/>
  <c r="BF152" i="7"/>
  <c r="BG152" i="7"/>
  <c r="BH152" i="7"/>
  <c r="BI152" i="7"/>
  <c r="BJ152" i="7"/>
  <c r="Z153" i="7"/>
  <c r="AA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B153" i="7"/>
  <c r="BC153" i="7"/>
  <c r="BD153" i="7"/>
  <c r="BE153" i="7"/>
  <c r="BF153" i="7"/>
  <c r="BG153" i="7"/>
  <c r="BH153" i="7"/>
  <c r="BI153" i="7"/>
  <c r="BJ153" i="7"/>
  <c r="Z154" i="7"/>
  <c r="AA154" i="7"/>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B154" i="7"/>
  <c r="BC154" i="7"/>
  <c r="BD154" i="7"/>
  <c r="BE154" i="7"/>
  <c r="BF154" i="7"/>
  <c r="BG154" i="7"/>
  <c r="BH154" i="7"/>
  <c r="BI154" i="7"/>
  <c r="BJ154" i="7"/>
  <c r="Z155" i="7"/>
  <c r="AA155" i="7" s="1"/>
  <c r="AB155" i="7"/>
  <c r="AC155" i="7"/>
  <c r="AD155" i="7"/>
  <c r="AE155" i="7"/>
  <c r="AF155" i="7"/>
  <c r="AG155" i="7"/>
  <c r="AH155" i="7" s="1"/>
  <c r="AI155" i="7"/>
  <c r="AJ155" i="7"/>
  <c r="AM155" i="7" s="1"/>
  <c r="AN155" i="7" s="1"/>
  <c r="AK155" i="7"/>
  <c r="AL155" i="7"/>
  <c r="AO155" i="7"/>
  <c r="AP155" i="7"/>
  <c r="AQ155" i="7"/>
  <c r="AR155" i="7"/>
  <c r="AS155" i="7"/>
  <c r="AT155" i="7"/>
  <c r="AU155" i="7"/>
  <c r="AV155" i="7" s="1"/>
  <c r="AW155" i="7"/>
  <c r="AX155" i="7"/>
  <c r="AY155" i="7"/>
  <c r="AZ155" i="7"/>
  <c r="BB155" i="7"/>
  <c r="BC155" i="7"/>
  <c r="BD155" i="7"/>
  <c r="BE155" i="7"/>
  <c r="BF155" i="7"/>
  <c r="BG155" i="7"/>
  <c r="BH155" i="7"/>
  <c r="BI155" i="7"/>
  <c r="BJ155" i="7"/>
  <c r="Z156" i="7"/>
  <c r="AA156" i="7"/>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B157" i="7"/>
  <c r="BC157" i="7"/>
  <c r="BD157" i="7"/>
  <c r="BE157" i="7"/>
  <c r="BF157" i="7"/>
  <c r="BG157" i="7"/>
  <c r="BH157" i="7"/>
  <c r="BI157" i="7"/>
  <c r="BJ157" i="7"/>
  <c r="Z158" i="7"/>
  <c r="AA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AB159" i="7"/>
  <c r="AC159" i="7"/>
  <c r="AD159" i="7"/>
  <c r="AE159" i="7"/>
  <c r="AF159" i="7"/>
  <c r="AG159" i="7"/>
  <c r="AH159" i="7"/>
  <c r="AI159" i="7"/>
  <c r="AJ159" i="7"/>
  <c r="AK159" i="7"/>
  <c r="AM159" i="7" s="1"/>
  <c r="AN159" i="7" s="1"/>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B160" i="7"/>
  <c r="BC160" i="7"/>
  <c r="BD160" i="7"/>
  <c r="BE160" i="7"/>
  <c r="BF160" i="7"/>
  <c r="BG160" i="7"/>
  <c r="BH160" i="7"/>
  <c r="BI160" i="7"/>
  <c r="BJ160" i="7"/>
  <c r="Z161" i="7"/>
  <c r="AA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B161" i="7"/>
  <c r="BC161" i="7"/>
  <c r="BD161" i="7"/>
  <c r="BE161" i="7"/>
  <c r="BF161" i="7"/>
  <c r="BG161" i="7"/>
  <c r="BH161" i="7"/>
  <c r="BI161" i="7"/>
  <c r="BJ161" i="7"/>
  <c r="Z162" i="7"/>
  <c r="AA162" i="7"/>
  <c r="AB162" i="7"/>
  <c r="AC162" i="7"/>
  <c r="AD162" i="7"/>
  <c r="AE162" i="7"/>
  <c r="AF162" i="7"/>
  <c r="AG162" i="7"/>
  <c r="AH162" i="7" s="1"/>
  <c r="AI162" i="7"/>
  <c r="AJ162" i="7"/>
  <c r="AM162" i="7" s="1"/>
  <c r="AN162" i="7" s="1"/>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B163" i="7"/>
  <c r="BC163" i="7"/>
  <c r="BD163" i="7"/>
  <c r="BE163" i="7"/>
  <c r="BF163" i="7"/>
  <c r="BG163" i="7"/>
  <c r="BH163" i="7"/>
  <c r="BI163" i="7"/>
  <c r="BJ163" i="7"/>
  <c r="Z164" i="7"/>
  <c r="AA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B164" i="7"/>
  <c r="BC164" i="7"/>
  <c r="BD164" i="7"/>
  <c r="BE164" i="7"/>
  <c r="BF164" i="7"/>
  <c r="BG164" i="7"/>
  <c r="BH164" i="7"/>
  <c r="BI164" i="7"/>
  <c r="BJ164" i="7"/>
  <c r="Z165" i="7"/>
  <c r="AA165" i="7"/>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AB167" i="7"/>
  <c r="AC167" i="7"/>
  <c r="AD167" i="7"/>
  <c r="AE167" i="7"/>
  <c r="AF167" i="7"/>
  <c r="AG167" i="7"/>
  <c r="AH167" i="7" s="1"/>
  <c r="AI167" i="7"/>
  <c r="AJ167" i="7"/>
  <c r="AM167" i="7" s="1"/>
  <c r="AN167" i="7" s="1"/>
  <c r="AK167" i="7"/>
  <c r="AL167" i="7"/>
  <c r="AO167" i="7"/>
  <c r="AP167" i="7"/>
  <c r="AQ167" i="7"/>
  <c r="AR167" i="7"/>
  <c r="AS167" i="7"/>
  <c r="AT167" i="7" s="1"/>
  <c r="AU167" i="7"/>
  <c r="AV167" i="7"/>
  <c r="AW167" i="7"/>
  <c r="AX167" i="7" s="1"/>
  <c r="AY167" i="7"/>
  <c r="AZ167" i="7"/>
  <c r="BB167" i="7"/>
  <c r="BC167" i="7"/>
  <c r="BD167" i="7"/>
  <c r="BE167" i="7"/>
  <c r="BF167" i="7"/>
  <c r="BG167" i="7"/>
  <c r="BH167" i="7"/>
  <c r="BI167" i="7"/>
  <c r="BJ167" i="7"/>
  <c r="Z168" i="7"/>
  <c r="AA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B168" i="7"/>
  <c r="BC168" i="7"/>
  <c r="BD168" i="7"/>
  <c r="BE168" i="7"/>
  <c r="BF168" i="7"/>
  <c r="BG168" i="7"/>
  <c r="BH168" i="7"/>
  <c r="BI168" i="7"/>
  <c r="BJ168" i="7"/>
  <c r="Z169" i="7"/>
  <c r="AA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B169" i="7"/>
  <c r="BC169" i="7"/>
  <c r="BD169" i="7"/>
  <c r="BE169" i="7"/>
  <c r="BF169" i="7"/>
  <c r="BG169" i="7"/>
  <c r="BH169" i="7"/>
  <c r="BI169" i="7"/>
  <c r="BJ169" i="7"/>
  <c r="Z170" i="7"/>
  <c r="AA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B171" i="7"/>
  <c r="BC171" i="7"/>
  <c r="BD171" i="7"/>
  <c r="BE171" i="7"/>
  <c r="BF171" i="7"/>
  <c r="BG171" i="7"/>
  <c r="BH171" i="7"/>
  <c r="BI171" i="7"/>
  <c r="BJ171" i="7"/>
  <c r="Z172" i="7"/>
  <c r="AA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AB173" i="7"/>
  <c r="AC173" i="7"/>
  <c r="AD173" i="7"/>
  <c r="AE173" i="7"/>
  <c r="AF173" i="7"/>
  <c r="AG173" i="7"/>
  <c r="AH173" i="7" s="1"/>
  <c r="AI173" i="7"/>
  <c r="AJ173" i="7"/>
  <c r="AM173" i="7" s="1"/>
  <c r="AN173" i="7" s="1"/>
  <c r="AK173" i="7"/>
  <c r="AL173" i="7"/>
  <c r="AO173" i="7"/>
  <c r="AP173" i="7"/>
  <c r="AQ173" i="7"/>
  <c r="AR173" i="7"/>
  <c r="AS173" i="7"/>
  <c r="AT173" i="7" s="1"/>
  <c r="AU173" i="7"/>
  <c r="AV173" i="7" s="1"/>
  <c r="AW173" i="7"/>
  <c r="AX173" i="7" s="1"/>
  <c r="AY173" i="7"/>
  <c r="AZ173" i="7" s="1"/>
  <c r="BB173" i="7"/>
  <c r="BC173" i="7"/>
  <c r="BD173" i="7"/>
  <c r="BE173" i="7"/>
  <c r="BF173" i="7"/>
  <c r="BG173" i="7"/>
  <c r="BH173" i="7"/>
  <c r="BI173" i="7"/>
  <c r="BJ173" i="7"/>
  <c r="Z174" i="7"/>
  <c r="AA174" i="7" s="1"/>
  <c r="AB174" i="7"/>
  <c r="AC174" i="7"/>
  <c r="AD174" i="7"/>
  <c r="AE174" i="7"/>
  <c r="AF174" i="7"/>
  <c r="AG174" i="7"/>
  <c r="AH174" i="7" s="1"/>
  <c r="AI174" i="7"/>
  <c r="AJ174" i="7"/>
  <c r="AM174" i="7" s="1"/>
  <c r="AN174" i="7" s="1"/>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B177" i="7"/>
  <c r="BC177" i="7"/>
  <c r="BD177" i="7"/>
  <c r="BE177" i="7"/>
  <c r="BF177" i="7"/>
  <c r="BG177" i="7"/>
  <c r="BH177" i="7"/>
  <c r="BI177" i="7"/>
  <c r="BJ177" i="7"/>
  <c r="Z178" i="7"/>
  <c r="AA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AB179" i="7"/>
  <c r="AC179" i="7"/>
  <c r="AD179" i="7"/>
  <c r="AE179" i="7"/>
  <c r="AF179" i="7"/>
  <c r="AG179" i="7"/>
  <c r="AH179" i="7" s="1"/>
  <c r="AI179" i="7"/>
  <c r="AJ179" i="7"/>
  <c r="AK179" i="7"/>
  <c r="AM179" i="7" s="1"/>
  <c r="AN179" i="7" s="1"/>
  <c r="AL179" i="7"/>
  <c r="AO179" i="7"/>
  <c r="AP179" i="7"/>
  <c r="AQ179" i="7"/>
  <c r="AR179" i="7"/>
  <c r="AS179" i="7"/>
  <c r="AT179" i="7"/>
  <c r="AU179" i="7"/>
  <c r="AV179" i="7" s="1"/>
  <c r="AW179" i="7"/>
  <c r="AX179" i="7" s="1"/>
  <c r="AY179" i="7"/>
  <c r="AZ179" i="7" s="1"/>
  <c r="BB179" i="7"/>
  <c r="BC179" i="7"/>
  <c r="BD179" i="7"/>
  <c r="BE179" i="7"/>
  <c r="BF179" i="7"/>
  <c r="BG179" i="7"/>
  <c r="BH179" i="7"/>
  <c r="BI179" i="7"/>
  <c r="BJ179" i="7"/>
  <c r="Z180" i="7"/>
  <c r="AA180" i="7" s="1"/>
  <c r="AB180" i="7"/>
  <c r="AC180" i="7"/>
  <c r="AD180" i="7"/>
  <c r="AE180" i="7"/>
  <c r="AF180" i="7"/>
  <c r="AG180" i="7"/>
  <c r="AH180" i="7" s="1"/>
  <c r="AI180" i="7"/>
  <c r="AJ180" i="7"/>
  <c r="AK180" i="7"/>
  <c r="AL180" i="7"/>
  <c r="AO180" i="7"/>
  <c r="AP180" i="7"/>
  <c r="AQ180" i="7"/>
  <c r="AR180" i="7"/>
  <c r="AS180" i="7"/>
  <c r="AT180" i="7"/>
  <c r="AU180" i="7"/>
  <c r="AV180" i="7" s="1"/>
  <c r="AW180" i="7"/>
  <c r="AX180" i="7" s="1"/>
  <c r="AY180" i="7"/>
  <c r="AZ180" i="7" s="1"/>
  <c r="BB180" i="7"/>
  <c r="BC180" i="7"/>
  <c r="BD180" i="7"/>
  <c r="BE180" i="7"/>
  <c r="BF180" i="7"/>
  <c r="BG180" i="7"/>
  <c r="BH180" i="7"/>
  <c r="BI180" i="7"/>
  <c r="BJ180" i="7"/>
  <c r="Z181" i="7"/>
  <c r="AA181" i="7" s="1"/>
  <c r="AB181" i="7"/>
  <c r="AC181" i="7"/>
  <c r="AD181" i="7"/>
  <c r="AE181" i="7"/>
  <c r="AF181" i="7"/>
  <c r="AG181" i="7"/>
  <c r="AH181" i="7"/>
  <c r="AI181" i="7"/>
  <c r="AJ181" i="7"/>
  <c r="AK181" i="7"/>
  <c r="AL181" i="7"/>
  <c r="AM181" i="7" s="1"/>
  <c r="AN181" i="7" s="1"/>
  <c r="AO181" i="7"/>
  <c r="AP181" i="7"/>
  <c r="AQ181" i="7"/>
  <c r="AR181" i="7"/>
  <c r="AS181" i="7"/>
  <c r="AT181" i="7"/>
  <c r="AU181" i="7"/>
  <c r="AV181" i="7" s="1"/>
  <c r="AW181" i="7"/>
  <c r="AX181" i="7" s="1"/>
  <c r="AY181" i="7"/>
  <c r="AZ181" i="7"/>
  <c r="BB181" i="7"/>
  <c r="BC181" i="7"/>
  <c r="BD181" i="7"/>
  <c r="BE181" i="7"/>
  <c r="BF181" i="7"/>
  <c r="BG181" i="7"/>
  <c r="BH181" i="7"/>
  <c r="BI181" i="7"/>
  <c r="BJ181" i="7"/>
  <c r="Z182" i="7"/>
  <c r="AA182" i="7"/>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B182" i="7"/>
  <c r="BC182" i="7"/>
  <c r="BD182" i="7"/>
  <c r="BE182" i="7"/>
  <c r="BF182" i="7"/>
  <c r="BG182" i="7"/>
  <c r="BH182" i="7"/>
  <c r="BI182" i="7"/>
  <c r="BJ182" i="7"/>
  <c r="Z183" i="7"/>
  <c r="AA183" i="7"/>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B183" i="7"/>
  <c r="BC183" i="7"/>
  <c r="BD183" i="7"/>
  <c r="BE183" i="7"/>
  <c r="BF183" i="7"/>
  <c r="BG183" i="7"/>
  <c r="BH183" i="7"/>
  <c r="BI183" i="7"/>
  <c r="BJ183" i="7"/>
  <c r="Z184" i="7"/>
  <c r="AA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B184" i="7"/>
  <c r="BC184" i="7"/>
  <c r="BD184" i="7"/>
  <c r="BE184" i="7"/>
  <c r="BF184" i="7"/>
  <c r="BG184" i="7"/>
  <c r="BH184" i="7"/>
  <c r="BI184" i="7"/>
  <c r="BJ184" i="7"/>
  <c r="Z185" i="7"/>
  <c r="AA185" i="7"/>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B186" i="7"/>
  <c r="BC186" i="7"/>
  <c r="BD186" i="7"/>
  <c r="BE186" i="7"/>
  <c r="BF186" i="7"/>
  <c r="BG186" i="7"/>
  <c r="BH186" i="7"/>
  <c r="BI186" i="7"/>
  <c r="BJ186" i="7"/>
  <c r="Z187" i="7"/>
  <c r="AA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B187" i="7"/>
  <c r="BC187" i="7"/>
  <c r="BD187" i="7"/>
  <c r="BE187" i="7"/>
  <c r="BF187" i="7"/>
  <c r="BG187" i="7"/>
  <c r="BH187" i="7"/>
  <c r="BI187" i="7"/>
  <c r="BJ187" i="7"/>
  <c r="Z188" i="7"/>
  <c r="AA188" i="7" s="1"/>
  <c r="AB188" i="7"/>
  <c r="AC188" i="7"/>
  <c r="AD188" i="7"/>
  <c r="AE188" i="7"/>
  <c r="AF188" i="7"/>
  <c r="AG188" i="7"/>
  <c r="AH188" i="7" s="1"/>
  <c r="AI188" i="7"/>
  <c r="AJ188" i="7"/>
  <c r="AM188" i="7" s="1"/>
  <c r="AN188" i="7" s="1"/>
  <c r="AK188" i="7"/>
  <c r="AL188" i="7"/>
  <c r="AO188" i="7"/>
  <c r="AP188" i="7"/>
  <c r="AQ188" i="7"/>
  <c r="AR188" i="7"/>
  <c r="AS188" i="7"/>
  <c r="AT188" i="7" s="1"/>
  <c r="AU188" i="7"/>
  <c r="AV188" i="7" s="1"/>
  <c r="AW188" i="7"/>
  <c r="AX188" i="7"/>
  <c r="AY188" i="7"/>
  <c r="AZ188" i="7" s="1"/>
  <c r="BB188" i="7"/>
  <c r="BC188" i="7"/>
  <c r="BD188" i="7"/>
  <c r="BE188" i="7"/>
  <c r="BF188" i="7"/>
  <c r="BG188" i="7"/>
  <c r="BH188" i="7"/>
  <c r="BI188" i="7"/>
  <c r="BJ188" i="7"/>
  <c r="Z189" i="7"/>
  <c r="AA189" i="7"/>
  <c r="AB189" i="7"/>
  <c r="AC189" i="7"/>
  <c r="AD189" i="7"/>
  <c r="AE189" i="7"/>
  <c r="AF189" i="7"/>
  <c r="AG189" i="7"/>
  <c r="AH189" i="7" s="1"/>
  <c r="AI189" i="7"/>
  <c r="AJ189" i="7"/>
  <c r="AM189" i="7" s="1"/>
  <c r="AN189" i="7" s="1"/>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s="1"/>
  <c r="AB190" i="7"/>
  <c r="AC190" i="7"/>
  <c r="AD190" i="7"/>
  <c r="AE190" i="7"/>
  <c r="AF190" i="7"/>
  <c r="AG190" i="7"/>
  <c r="AH190" i="7"/>
  <c r="AI190" i="7"/>
  <c r="AJ190" i="7"/>
  <c r="AM190" i="7" s="1"/>
  <c r="AN190" i="7" s="1"/>
  <c r="AK190" i="7"/>
  <c r="AL190" i="7"/>
  <c r="AO190" i="7"/>
  <c r="AP190" i="7"/>
  <c r="AQ190" i="7"/>
  <c r="AR190" i="7"/>
  <c r="AS190" i="7"/>
  <c r="AT190" i="7" s="1"/>
  <c r="AU190" i="7"/>
  <c r="AV190" i="7" s="1"/>
  <c r="AW190" i="7"/>
  <c r="AX190" i="7"/>
  <c r="AY190" i="7"/>
  <c r="AZ190" i="7" s="1"/>
  <c r="BB190" i="7"/>
  <c r="BC190" i="7"/>
  <c r="BD190" i="7"/>
  <c r="BE190" i="7"/>
  <c r="BF190" i="7"/>
  <c r="BG190" i="7"/>
  <c r="BH190" i="7"/>
  <c r="BI190" i="7"/>
  <c r="BJ190" i="7"/>
  <c r="Z191" i="7"/>
  <c r="AA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B191" i="7"/>
  <c r="BC191" i="7"/>
  <c r="BD191" i="7"/>
  <c r="BE191" i="7"/>
  <c r="BF191" i="7"/>
  <c r="BG191" i="7"/>
  <c r="BH191" i="7"/>
  <c r="BI191" i="7"/>
  <c r="BJ191" i="7"/>
  <c r="Z192" i="7"/>
  <c r="AA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B192" i="7"/>
  <c r="BC192" i="7"/>
  <c r="BD192" i="7"/>
  <c r="BE192" i="7"/>
  <c r="BF192" i="7"/>
  <c r="BG192" i="7"/>
  <c r="BH192" i="7"/>
  <c r="BI192" i="7"/>
  <c r="BJ192" i="7"/>
  <c r="Z193" i="7"/>
  <c r="AA193" i="7" s="1"/>
  <c r="AB193" i="7"/>
  <c r="AC193" i="7"/>
  <c r="AD193" i="7"/>
  <c r="AE193" i="7"/>
  <c r="AF193" i="7"/>
  <c r="AG193" i="7"/>
  <c r="AH193" i="7"/>
  <c r="AI193" i="7"/>
  <c r="AJ193" i="7"/>
  <c r="AM193" i="7" s="1"/>
  <c r="AN193" i="7" s="1"/>
  <c r="Y193" i="7" s="1"/>
  <c r="AK193" i="7"/>
  <c r="AL193" i="7"/>
  <c r="AO193" i="7"/>
  <c r="AP193" i="7"/>
  <c r="AQ193" i="7"/>
  <c r="AR193" i="7"/>
  <c r="AS193" i="7"/>
  <c r="AT193" i="7"/>
  <c r="AU193" i="7"/>
  <c r="AV193" i="7"/>
  <c r="AW193" i="7"/>
  <c r="AX193" i="7" s="1"/>
  <c r="AY193" i="7"/>
  <c r="AZ193" i="7"/>
  <c r="BB193" i="7"/>
  <c r="BC193" i="7"/>
  <c r="BD193" i="7"/>
  <c r="BE193" i="7"/>
  <c r="BF193" i="7"/>
  <c r="BG193" i="7"/>
  <c r="BH193" i="7"/>
  <c r="BI193" i="7"/>
  <c r="BJ193" i="7"/>
  <c r="Z194" i="7"/>
  <c r="AA194" i="7"/>
  <c r="AB194" i="7"/>
  <c r="AC194" i="7"/>
  <c r="AD194" i="7"/>
  <c r="AE194" i="7"/>
  <c r="AF194" i="7"/>
  <c r="AG194" i="7"/>
  <c r="AH194" i="7" s="1"/>
  <c r="AI194" i="7"/>
  <c r="AJ194" i="7"/>
  <c r="AM194" i="7" s="1"/>
  <c r="AN194" i="7" s="1"/>
  <c r="AK194" i="7"/>
  <c r="AL194" i="7"/>
  <c r="AO194" i="7"/>
  <c r="AP194" i="7"/>
  <c r="AQ194" i="7"/>
  <c r="AR194" i="7"/>
  <c r="AS194" i="7"/>
  <c r="AT194" i="7" s="1"/>
  <c r="AU194" i="7"/>
  <c r="AV194" i="7" s="1"/>
  <c r="AW194" i="7"/>
  <c r="AX194" i="7" s="1"/>
  <c r="AY194" i="7"/>
  <c r="AZ194" i="7"/>
  <c r="BB194" i="7"/>
  <c r="BC194" i="7"/>
  <c r="BD194" i="7"/>
  <c r="BE194" i="7"/>
  <c r="BF194" i="7"/>
  <c r="BG194" i="7"/>
  <c r="BH194" i="7"/>
  <c r="BI194" i="7"/>
  <c r="BJ194" i="7"/>
  <c r="Z195" i="7"/>
  <c r="AA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B195" i="7"/>
  <c r="BC195" i="7"/>
  <c r="BD195" i="7"/>
  <c r="BE195" i="7"/>
  <c r="BF195" i="7"/>
  <c r="BG195" i="7"/>
  <c r="BH195" i="7"/>
  <c r="BI195" i="7"/>
  <c r="BJ195" i="7"/>
  <c r="Z196" i="7"/>
  <c r="AA196" i="7" s="1"/>
  <c r="AB196" i="7"/>
  <c r="AC196" i="7"/>
  <c r="AD196" i="7"/>
  <c r="AE196" i="7"/>
  <c r="AF196" i="7"/>
  <c r="AG196" i="7"/>
  <c r="AH196" i="7"/>
  <c r="AI196" i="7"/>
  <c r="AJ196" i="7"/>
  <c r="AK196" i="7"/>
  <c r="AL196" i="7"/>
  <c r="AO196" i="7"/>
  <c r="AP196" i="7"/>
  <c r="AQ196" i="7"/>
  <c r="AR196" i="7"/>
  <c r="AS196" i="7"/>
  <c r="AT196" i="7" s="1"/>
  <c r="AU196" i="7"/>
  <c r="AV196" i="7"/>
  <c r="AW196" i="7"/>
  <c r="AX196" i="7" s="1"/>
  <c r="AY196" i="7"/>
  <c r="AZ196" i="7" s="1"/>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B197" i="7"/>
  <c r="BC197" i="7"/>
  <c r="BD197" i="7"/>
  <c r="BE197" i="7"/>
  <c r="BF197" i="7"/>
  <c r="BG197" i="7"/>
  <c r="BH197" i="7"/>
  <c r="BI197" i="7"/>
  <c r="BJ197" i="7"/>
  <c r="Z198" i="7"/>
  <c r="AA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B198" i="7"/>
  <c r="BC198" i="7"/>
  <c r="BD198" i="7"/>
  <c r="BE198" i="7"/>
  <c r="BF198" i="7"/>
  <c r="BG198" i="7"/>
  <c r="BH198" i="7"/>
  <c r="BI198" i="7"/>
  <c r="BJ198" i="7"/>
  <c r="Z199" i="7"/>
  <c r="AA199" i="7"/>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B199" i="7"/>
  <c r="BC199" i="7"/>
  <c r="BD199" i="7"/>
  <c r="BE199" i="7"/>
  <c r="BF199" i="7"/>
  <c r="BG199" i="7"/>
  <c r="BH199" i="7"/>
  <c r="BI199" i="7"/>
  <c r="BJ199" i="7"/>
  <c r="Z200" i="7"/>
  <c r="AA200" i="7" s="1"/>
  <c r="AB200" i="7"/>
  <c r="AC200" i="7"/>
  <c r="AD200" i="7"/>
  <c r="AE200" i="7"/>
  <c r="AF200" i="7"/>
  <c r="AG200" i="7"/>
  <c r="AH200" i="7" s="1"/>
  <c r="AI200" i="7"/>
  <c r="AJ200" i="7"/>
  <c r="AM200" i="7" s="1"/>
  <c r="AN200" i="7" s="1"/>
  <c r="AK200" i="7"/>
  <c r="AL200" i="7"/>
  <c r="AO200" i="7"/>
  <c r="AP200" i="7"/>
  <c r="AQ200" i="7"/>
  <c r="AR200" i="7"/>
  <c r="AS200" i="7"/>
  <c r="AT200" i="7"/>
  <c r="AU200" i="7"/>
  <c r="AV200" i="7" s="1"/>
  <c r="AW200" i="7"/>
  <c r="AX200" i="7" s="1"/>
  <c r="AY200" i="7"/>
  <c r="AZ200" i="7"/>
  <c r="BB200" i="7"/>
  <c r="BC200" i="7"/>
  <c r="BD200" i="7"/>
  <c r="BE200" i="7"/>
  <c r="BF200" i="7"/>
  <c r="BG200" i="7"/>
  <c r="BH200" i="7"/>
  <c r="BI200" i="7"/>
  <c r="BJ200" i="7"/>
  <c r="Z201" i="7"/>
  <c r="AA201" i="7" s="1"/>
  <c r="AB201" i="7"/>
  <c r="AC201" i="7"/>
  <c r="AD201" i="7"/>
  <c r="AE201" i="7"/>
  <c r="AF201" i="7"/>
  <c r="AG201" i="7"/>
  <c r="AH201" i="7"/>
  <c r="AI201" i="7"/>
  <c r="AJ201" i="7"/>
  <c r="AM201" i="7" s="1"/>
  <c r="AN201" i="7" s="1"/>
  <c r="AK201" i="7"/>
  <c r="AL201" i="7"/>
  <c r="AO201" i="7"/>
  <c r="AP201" i="7"/>
  <c r="AQ201" i="7"/>
  <c r="AR201" i="7"/>
  <c r="AS201" i="7"/>
  <c r="AT201" i="7" s="1"/>
  <c r="AU201" i="7"/>
  <c r="AV201" i="7" s="1"/>
  <c r="AW201" i="7"/>
  <c r="AX201" i="7"/>
  <c r="AY201" i="7"/>
  <c r="AZ201" i="7"/>
  <c r="BB201" i="7"/>
  <c r="BC201" i="7"/>
  <c r="BD201" i="7"/>
  <c r="BE201" i="7"/>
  <c r="BF201" i="7"/>
  <c r="BG201" i="7"/>
  <c r="BH201" i="7"/>
  <c r="BI201" i="7"/>
  <c r="BJ201" i="7"/>
  <c r="Z202" i="7"/>
  <c r="AA202" i="7" s="1"/>
  <c r="AB202" i="7"/>
  <c r="AC202" i="7"/>
  <c r="AD202" i="7"/>
  <c r="AE202" i="7"/>
  <c r="AF202" i="7"/>
  <c r="AG202" i="7"/>
  <c r="AH202" i="7"/>
  <c r="AI202" i="7"/>
  <c r="AJ202" i="7"/>
  <c r="AM202" i="7" s="1"/>
  <c r="AN202" i="7" s="1"/>
  <c r="AK202" i="7"/>
  <c r="AL202" i="7"/>
  <c r="AO202" i="7"/>
  <c r="AP202" i="7"/>
  <c r="AQ202" i="7"/>
  <c r="AR202" i="7"/>
  <c r="AS202" i="7"/>
  <c r="AT202" i="7" s="1"/>
  <c r="AU202" i="7"/>
  <c r="AV202" i="7"/>
  <c r="AW202" i="7"/>
  <c r="AX202" i="7"/>
  <c r="AY202" i="7"/>
  <c r="AZ202" i="7" s="1"/>
  <c r="BB202" i="7"/>
  <c r="BC202" i="7"/>
  <c r="BD202" i="7"/>
  <c r="BE202" i="7"/>
  <c r="BF202" i="7"/>
  <c r="BG202" i="7"/>
  <c r="BH202" i="7"/>
  <c r="BI202" i="7"/>
  <c r="BJ202" i="7"/>
  <c r="Z203" i="7"/>
  <c r="AA203" i="7"/>
  <c r="AB203" i="7"/>
  <c r="AC203" i="7"/>
  <c r="AD203" i="7"/>
  <c r="AE203" i="7"/>
  <c r="AF203" i="7"/>
  <c r="AG203" i="7"/>
  <c r="AH203" i="7" s="1"/>
  <c r="AI203" i="7"/>
  <c r="AJ203" i="7"/>
  <c r="AK203" i="7"/>
  <c r="AM203" i="7" s="1"/>
  <c r="AN203" i="7" s="1"/>
  <c r="AL203" i="7"/>
  <c r="AO203" i="7"/>
  <c r="AP203" i="7"/>
  <c r="AQ203" i="7"/>
  <c r="AR203" i="7"/>
  <c r="AS203" i="7"/>
  <c r="AT203" i="7"/>
  <c r="AU203" i="7"/>
  <c r="AV203" i="7" s="1"/>
  <c r="AW203" i="7"/>
  <c r="AX203" i="7" s="1"/>
  <c r="AY203" i="7"/>
  <c r="AZ203" i="7" s="1"/>
  <c r="BB203" i="7"/>
  <c r="BC203" i="7"/>
  <c r="BD203" i="7"/>
  <c r="BE203" i="7"/>
  <c r="BF203" i="7"/>
  <c r="BG203" i="7"/>
  <c r="BH203" i="7"/>
  <c r="BI203" i="7"/>
  <c r="BJ203" i="7"/>
  <c r="Z204" i="7"/>
  <c r="AA204" i="7"/>
  <c r="AB204" i="7"/>
  <c r="AC204" i="7"/>
  <c r="AD204" i="7"/>
  <c r="AE204" i="7"/>
  <c r="AF204" i="7"/>
  <c r="AG204" i="7"/>
  <c r="AH204" i="7" s="1"/>
  <c r="AI204" i="7"/>
  <c r="AJ204" i="7"/>
  <c r="AM204" i="7" s="1"/>
  <c r="AN204" i="7" s="1"/>
  <c r="AK204" i="7"/>
  <c r="AL204" i="7"/>
  <c r="AO204" i="7"/>
  <c r="AP204" i="7"/>
  <c r="AQ204" i="7"/>
  <c r="AR204" i="7"/>
  <c r="AS204" i="7"/>
  <c r="AT204" i="7" s="1"/>
  <c r="AU204" i="7"/>
  <c r="AV204" i="7"/>
  <c r="AW204" i="7"/>
  <c r="AX204" i="7" s="1"/>
  <c r="AY204" i="7"/>
  <c r="AZ204" i="7" s="1"/>
  <c r="BB204" i="7"/>
  <c r="BC204" i="7"/>
  <c r="BD204" i="7"/>
  <c r="BE204" i="7"/>
  <c r="BF204" i="7"/>
  <c r="BG204" i="7"/>
  <c r="BH204" i="7"/>
  <c r="BI204" i="7"/>
  <c r="BJ204" i="7"/>
  <c r="Z205" i="7"/>
  <c r="AA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B205" i="7"/>
  <c r="BC205" i="7"/>
  <c r="BD205" i="7"/>
  <c r="BE205" i="7"/>
  <c r="BF205" i="7"/>
  <c r="BG205" i="7"/>
  <c r="BH205" i="7"/>
  <c r="BI205" i="7"/>
  <c r="BJ205" i="7"/>
  <c r="Z206" i="7"/>
  <c r="AA206" i="7" s="1"/>
  <c r="AB206" i="7"/>
  <c r="AC206" i="7"/>
  <c r="AD206" i="7"/>
  <c r="AE206" i="7"/>
  <c r="AF206" i="7"/>
  <c r="AG206" i="7"/>
  <c r="AH206" i="7" s="1"/>
  <c r="AI206" i="7"/>
  <c r="AJ206" i="7"/>
  <c r="AM206" i="7" s="1"/>
  <c r="AN206" i="7" s="1"/>
  <c r="AK206" i="7"/>
  <c r="AL206" i="7"/>
  <c r="AO206" i="7"/>
  <c r="AP206" i="7"/>
  <c r="AQ206" i="7"/>
  <c r="AR206" i="7"/>
  <c r="AS206" i="7"/>
  <c r="AT206" i="7"/>
  <c r="AU206" i="7"/>
  <c r="AV206" i="7"/>
  <c r="AW206" i="7"/>
  <c r="AX206" i="7" s="1"/>
  <c r="AY206" i="7"/>
  <c r="AZ206" i="7" s="1"/>
  <c r="BB206" i="7"/>
  <c r="BC206" i="7"/>
  <c r="BD206" i="7"/>
  <c r="BE206" i="7"/>
  <c r="BF206" i="7"/>
  <c r="BG206" i="7"/>
  <c r="BH206" i="7"/>
  <c r="BI206" i="7"/>
  <c r="BJ206" i="7"/>
  <c r="Z207" i="7"/>
  <c r="AA207" i="7" s="1"/>
  <c r="AB207" i="7"/>
  <c r="AC207" i="7"/>
  <c r="AD207" i="7"/>
  <c r="AE207" i="7"/>
  <c r="AF207" i="7"/>
  <c r="AG207" i="7"/>
  <c r="AH207" i="7" s="1"/>
  <c r="AI207" i="7"/>
  <c r="AJ207" i="7"/>
  <c r="AK207" i="7"/>
  <c r="AL207" i="7"/>
  <c r="AO207" i="7"/>
  <c r="AP207" i="7"/>
  <c r="AQ207" i="7"/>
  <c r="AR207" i="7"/>
  <c r="AS207" i="7"/>
  <c r="AT207" i="7"/>
  <c r="AU207" i="7"/>
  <c r="AV207" i="7" s="1"/>
  <c r="AW207" i="7"/>
  <c r="AX207" i="7"/>
  <c r="AY207" i="7"/>
  <c r="AZ207" i="7" s="1"/>
  <c r="BB207" i="7"/>
  <c r="BC207" i="7"/>
  <c r="BD207" i="7"/>
  <c r="BE207" i="7"/>
  <c r="BF207" i="7"/>
  <c r="BG207" i="7"/>
  <c r="BH207" i="7"/>
  <c r="BI207" i="7"/>
  <c r="BJ207" i="7"/>
  <c r="Z208" i="7"/>
  <c r="AA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c r="BB208" i="7"/>
  <c r="BC208" i="7"/>
  <c r="BD208" i="7"/>
  <c r="BE208" i="7"/>
  <c r="BF208" i="7"/>
  <c r="BG208" i="7"/>
  <c r="BH208" i="7"/>
  <c r="BI208" i="7"/>
  <c r="BJ208" i="7"/>
  <c r="Z209" i="7"/>
  <c r="AA209" i="7" s="1"/>
  <c r="AB209" i="7"/>
  <c r="AC209" i="7"/>
  <c r="AD209" i="7"/>
  <c r="AE209" i="7"/>
  <c r="AF209" i="7"/>
  <c r="AG209" i="7"/>
  <c r="AH209" i="7"/>
  <c r="AI209" i="7"/>
  <c r="AJ209" i="7"/>
  <c r="AK209" i="7"/>
  <c r="AL209" i="7"/>
  <c r="AO209" i="7"/>
  <c r="AP209" i="7"/>
  <c r="AQ209" i="7"/>
  <c r="AR209" i="7"/>
  <c r="AS209" i="7"/>
  <c r="AT209" i="7" s="1"/>
  <c r="AU209" i="7"/>
  <c r="AV209" i="7"/>
  <c r="AW209" i="7"/>
  <c r="AX209" i="7" s="1"/>
  <c r="AY209" i="7"/>
  <c r="AZ209" i="7" s="1"/>
  <c r="BB209" i="7"/>
  <c r="BC209" i="7"/>
  <c r="BD209" i="7"/>
  <c r="BE209" i="7"/>
  <c r="BF209" i="7"/>
  <c r="BG209" i="7"/>
  <c r="BH209" i="7"/>
  <c r="BI209" i="7"/>
  <c r="BJ209" i="7"/>
  <c r="Z210" i="7"/>
  <c r="AA210" i="7"/>
  <c r="AB210" i="7"/>
  <c r="AC210" i="7"/>
  <c r="AD210" i="7"/>
  <c r="AE210" i="7"/>
  <c r="AF210" i="7"/>
  <c r="AG210" i="7"/>
  <c r="AH210" i="7" s="1"/>
  <c r="AI210" i="7"/>
  <c r="AJ210" i="7"/>
  <c r="AK210" i="7"/>
  <c r="AM210" i="7" s="1"/>
  <c r="AN210" i="7" s="1"/>
  <c r="AL210" i="7"/>
  <c r="AO210" i="7"/>
  <c r="AP210" i="7"/>
  <c r="AQ210" i="7"/>
  <c r="AR210" i="7"/>
  <c r="AS210" i="7"/>
  <c r="AT210" i="7"/>
  <c r="AU210" i="7"/>
  <c r="AV210" i="7" s="1"/>
  <c r="AW210" i="7"/>
  <c r="AX210" i="7" s="1"/>
  <c r="AY210" i="7"/>
  <c r="AZ210" i="7" s="1"/>
  <c r="BB210" i="7"/>
  <c r="BC210" i="7"/>
  <c r="BD210" i="7"/>
  <c r="BE210" i="7"/>
  <c r="BF210" i="7"/>
  <c r="BG210" i="7"/>
  <c r="BH210" i="7"/>
  <c r="BI210" i="7"/>
  <c r="BJ210" i="7"/>
  <c r="Z211" i="7"/>
  <c r="AA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c r="BB211" i="7"/>
  <c r="BC211" i="7"/>
  <c r="BD211" i="7"/>
  <c r="BE211" i="7"/>
  <c r="BF211" i="7"/>
  <c r="BG211" i="7"/>
  <c r="BH211" i="7"/>
  <c r="BI211" i="7"/>
  <c r="BJ211" i="7"/>
  <c r="Z212" i="7"/>
  <c r="AA212" i="7" s="1"/>
  <c r="AB212" i="7"/>
  <c r="AC212" i="7"/>
  <c r="AD212" i="7"/>
  <c r="AE212" i="7"/>
  <c r="AF212" i="7"/>
  <c r="AG212" i="7"/>
  <c r="AH212" i="7"/>
  <c r="AI212" i="7"/>
  <c r="AJ212" i="7"/>
  <c r="AK212" i="7"/>
  <c r="AL212" i="7"/>
  <c r="AO212" i="7"/>
  <c r="AP212" i="7"/>
  <c r="AQ212" i="7"/>
  <c r="AR212" i="7"/>
  <c r="AS212" i="7"/>
  <c r="AT212" i="7" s="1"/>
  <c r="AU212" i="7"/>
  <c r="AV212" i="7" s="1"/>
  <c r="AW212" i="7"/>
  <c r="AX212" i="7"/>
  <c r="AY212" i="7"/>
  <c r="AZ212" i="7"/>
  <c r="BB212" i="7"/>
  <c r="BC212" i="7"/>
  <c r="BD212" i="7"/>
  <c r="BE212" i="7"/>
  <c r="BF212" i="7"/>
  <c r="BG212" i="7"/>
  <c r="BH212" i="7"/>
  <c r="BI212" i="7"/>
  <c r="BJ212" i="7"/>
  <c r="Z213" i="7"/>
  <c r="AA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B213" i="7"/>
  <c r="BC213" i="7"/>
  <c r="BD213" i="7"/>
  <c r="BE213" i="7"/>
  <c r="BF213" i="7"/>
  <c r="BG213" i="7"/>
  <c r="BH213" i="7"/>
  <c r="BI213" i="7"/>
  <c r="BJ213" i="7"/>
  <c r="Z214" i="7"/>
  <c r="AA214" i="7"/>
  <c r="AB214" i="7"/>
  <c r="AC214" i="7"/>
  <c r="AD214" i="7"/>
  <c r="AE214" i="7"/>
  <c r="AF214" i="7"/>
  <c r="AG214" i="7"/>
  <c r="AH214" i="7" s="1"/>
  <c r="AI214" i="7"/>
  <c r="AJ214" i="7"/>
  <c r="AM214" i="7" s="1"/>
  <c r="AN214" i="7" s="1"/>
  <c r="AK214" i="7"/>
  <c r="AL214" i="7"/>
  <c r="AO214" i="7"/>
  <c r="AP214" i="7"/>
  <c r="AQ214" i="7"/>
  <c r="AR214" i="7"/>
  <c r="AS214" i="7"/>
  <c r="AT214" i="7" s="1"/>
  <c r="AU214" i="7"/>
  <c r="AV214" i="7" s="1"/>
  <c r="AW214" i="7"/>
  <c r="AX214" i="7" s="1"/>
  <c r="AY214" i="7"/>
  <c r="AZ214" i="7" s="1"/>
  <c r="BB214" i="7"/>
  <c r="BC214" i="7"/>
  <c r="BD214" i="7"/>
  <c r="BE214" i="7"/>
  <c r="BF214" i="7"/>
  <c r="BG214" i="7"/>
  <c r="BH214" i="7"/>
  <c r="BI214" i="7"/>
  <c r="BJ214" i="7"/>
  <c r="Z215" i="7"/>
  <c r="AA215" i="7" s="1"/>
  <c r="AB215" i="7"/>
  <c r="AC215" i="7"/>
  <c r="AD215" i="7"/>
  <c r="AE215" i="7"/>
  <c r="AF215" i="7"/>
  <c r="AG215" i="7"/>
  <c r="AH215" i="7"/>
  <c r="AI215" i="7"/>
  <c r="AJ215" i="7"/>
  <c r="AM215" i="7" s="1"/>
  <c r="AN215" i="7" s="1"/>
  <c r="AK215" i="7"/>
  <c r="AL215" i="7"/>
  <c r="AO215" i="7"/>
  <c r="AP215" i="7"/>
  <c r="AQ215" i="7"/>
  <c r="AR215" i="7"/>
  <c r="AS215" i="7"/>
  <c r="AT215" i="7" s="1"/>
  <c r="AU215" i="7"/>
  <c r="AV215" i="7" s="1"/>
  <c r="AW215" i="7"/>
  <c r="AX215" i="7"/>
  <c r="AY215" i="7"/>
  <c r="AZ215" i="7" s="1"/>
  <c r="BB215" i="7"/>
  <c r="BC215" i="7"/>
  <c r="BD215" i="7"/>
  <c r="BE215" i="7"/>
  <c r="BF215" i="7"/>
  <c r="BG215" i="7"/>
  <c r="BH215" i="7"/>
  <c r="BI215" i="7"/>
  <c r="BJ215"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B216" i="7"/>
  <c r="BC216" i="7"/>
  <c r="BD216" i="7"/>
  <c r="BE216" i="7"/>
  <c r="BF216" i="7"/>
  <c r="BG216" i="7"/>
  <c r="BH216" i="7"/>
  <c r="BI216" i="7"/>
  <c r="BJ216" i="7"/>
  <c r="Z217" i="7"/>
  <c r="AA217" i="7"/>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B217" i="7"/>
  <c r="BC217" i="7"/>
  <c r="BD217" i="7"/>
  <c r="BE217" i="7"/>
  <c r="BF217" i="7"/>
  <c r="BG217" i="7"/>
  <c r="BH217" i="7"/>
  <c r="BI217" i="7"/>
  <c r="BJ217" i="7"/>
  <c r="Z218" i="7"/>
  <c r="AA218" i="7" s="1"/>
  <c r="AB218" i="7"/>
  <c r="AC218" i="7"/>
  <c r="AD218" i="7"/>
  <c r="AE218" i="7"/>
  <c r="AF218" i="7"/>
  <c r="AG218" i="7"/>
  <c r="AH218" i="7" s="1"/>
  <c r="AI218" i="7"/>
  <c r="AJ218" i="7"/>
  <c r="AK218" i="7"/>
  <c r="AL218" i="7"/>
  <c r="AO218" i="7"/>
  <c r="AP218" i="7"/>
  <c r="AQ218" i="7"/>
  <c r="AR218" i="7"/>
  <c r="AS218" i="7"/>
  <c r="AT218" i="7" s="1"/>
  <c r="AU218" i="7"/>
  <c r="AV218" i="7" s="1"/>
  <c r="AW218" i="7"/>
  <c r="AX218" i="7" s="1"/>
  <c r="AY218" i="7"/>
  <c r="AZ218" i="7" s="1"/>
  <c r="BB218" i="7"/>
  <c r="BC218" i="7"/>
  <c r="BD218" i="7"/>
  <c r="BE218" i="7"/>
  <c r="BF218" i="7"/>
  <c r="BG218" i="7"/>
  <c r="BH218" i="7"/>
  <c r="BI218" i="7"/>
  <c r="BJ218" i="7"/>
  <c r="Z219" i="7"/>
  <c r="AA219" i="7"/>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B219" i="7"/>
  <c r="BC219" i="7"/>
  <c r="BD219" i="7"/>
  <c r="BE219" i="7"/>
  <c r="BF219" i="7"/>
  <c r="BG219" i="7"/>
  <c r="BH219" i="7"/>
  <c r="BI219" i="7"/>
  <c r="BJ219" i="7"/>
  <c r="Z220" i="7"/>
  <c r="AA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B220" i="7"/>
  <c r="BC220" i="7"/>
  <c r="BD220" i="7"/>
  <c r="BE220" i="7"/>
  <c r="BF220" i="7"/>
  <c r="BG220" i="7"/>
  <c r="BH220" i="7"/>
  <c r="BI220" i="7"/>
  <c r="BJ220" i="7"/>
  <c r="Z221" i="7"/>
  <c r="AA221" i="7" s="1"/>
  <c r="AB221" i="7"/>
  <c r="AC221" i="7"/>
  <c r="AD221" i="7"/>
  <c r="AE221" i="7"/>
  <c r="AF221" i="7"/>
  <c r="AG221" i="7"/>
  <c r="AH221" i="7" s="1"/>
  <c r="AI221" i="7"/>
  <c r="AJ221" i="7"/>
  <c r="AK221" i="7"/>
  <c r="AL221" i="7"/>
  <c r="AM221" i="7"/>
  <c r="AN221" i="7" s="1"/>
  <c r="AO221" i="7"/>
  <c r="AP221" i="7"/>
  <c r="AQ221" i="7"/>
  <c r="AR221" i="7"/>
  <c r="AS221" i="7"/>
  <c r="AT221" i="7" s="1"/>
  <c r="AU221" i="7"/>
  <c r="AV221" i="7"/>
  <c r="AW221" i="7"/>
  <c r="AX221" i="7" s="1"/>
  <c r="AY221" i="7"/>
  <c r="AZ221" i="7"/>
  <c r="BB221" i="7"/>
  <c r="BC221" i="7"/>
  <c r="BD221" i="7"/>
  <c r="BE221" i="7"/>
  <c r="BF221" i="7"/>
  <c r="BG221" i="7"/>
  <c r="BH221" i="7"/>
  <c r="BI221" i="7"/>
  <c r="BJ221" i="7"/>
  <c r="Z222" i="7"/>
  <c r="AA222" i="7" s="1"/>
  <c r="AB222" i="7"/>
  <c r="AC222" i="7"/>
  <c r="AD222" i="7"/>
  <c r="AE222" i="7"/>
  <c r="AF222" i="7"/>
  <c r="AG222" i="7"/>
  <c r="AH222" i="7"/>
  <c r="AI222" i="7"/>
  <c r="AJ222" i="7"/>
  <c r="AK222" i="7"/>
  <c r="AL222" i="7"/>
  <c r="AM222" i="7" s="1"/>
  <c r="AN222" i="7" s="1"/>
  <c r="AO222" i="7"/>
  <c r="AP222" i="7"/>
  <c r="AQ222" i="7"/>
  <c r="AR222" i="7"/>
  <c r="AS222" i="7"/>
  <c r="AT222" i="7"/>
  <c r="AU222" i="7"/>
  <c r="AV222" i="7" s="1"/>
  <c r="AW222" i="7"/>
  <c r="AX222" i="7"/>
  <c r="AY222" i="7"/>
  <c r="AZ222" i="7" s="1"/>
  <c r="BB222" i="7"/>
  <c r="BC222" i="7"/>
  <c r="BD222" i="7"/>
  <c r="BE222" i="7"/>
  <c r="BF222" i="7"/>
  <c r="BG222" i="7"/>
  <c r="BH222" i="7"/>
  <c r="BI222" i="7"/>
  <c r="BJ222" i="7"/>
  <c r="Z223" i="7"/>
  <c r="AA223" i="7" s="1"/>
  <c r="AB223" i="7"/>
  <c r="AC223" i="7"/>
  <c r="AD223" i="7"/>
  <c r="AE223" i="7"/>
  <c r="AF223" i="7"/>
  <c r="AG223" i="7"/>
  <c r="AH223" i="7"/>
  <c r="AI223" i="7"/>
  <c r="AJ223" i="7"/>
  <c r="AM223" i="7" s="1"/>
  <c r="AN223" i="7" s="1"/>
  <c r="AK223" i="7"/>
  <c r="AL223" i="7"/>
  <c r="AO223" i="7"/>
  <c r="AP223" i="7"/>
  <c r="AQ223" i="7"/>
  <c r="AR223" i="7"/>
  <c r="AS223" i="7"/>
  <c r="AT223" i="7"/>
  <c r="AU223" i="7"/>
  <c r="AV223" i="7" s="1"/>
  <c r="AW223" i="7"/>
  <c r="AX223" i="7" s="1"/>
  <c r="AY223" i="7"/>
  <c r="AZ223" i="7"/>
  <c r="BB223" i="7"/>
  <c r="BC223" i="7"/>
  <c r="BD223" i="7"/>
  <c r="BE223" i="7"/>
  <c r="BF223" i="7"/>
  <c r="BG223" i="7"/>
  <c r="BH223" i="7"/>
  <c r="BI223" i="7"/>
  <c r="BJ223" i="7"/>
  <c r="Z224" i="7"/>
  <c r="AA224" i="7"/>
  <c r="AB224" i="7"/>
  <c r="AC224" i="7"/>
  <c r="AD224" i="7"/>
  <c r="AE224" i="7"/>
  <c r="AF224" i="7"/>
  <c r="AG224" i="7"/>
  <c r="AH224" i="7" s="1"/>
  <c r="AI224" i="7"/>
  <c r="AJ224" i="7"/>
  <c r="AM224" i="7" s="1"/>
  <c r="AN224" i="7" s="1"/>
  <c r="AK224" i="7"/>
  <c r="AL224" i="7"/>
  <c r="AO224" i="7"/>
  <c r="AP224" i="7"/>
  <c r="AQ224" i="7"/>
  <c r="AR224" i="7"/>
  <c r="AS224" i="7"/>
  <c r="AT224" i="7" s="1"/>
  <c r="AU224" i="7"/>
  <c r="AV224" i="7" s="1"/>
  <c r="AW224" i="7"/>
  <c r="AX224" i="7"/>
  <c r="AY224" i="7"/>
  <c r="AZ224" i="7" s="1"/>
  <c r="BB224" i="7"/>
  <c r="BC224" i="7"/>
  <c r="BD224" i="7"/>
  <c r="BE224" i="7"/>
  <c r="BF224" i="7"/>
  <c r="BG224" i="7"/>
  <c r="BH224" i="7"/>
  <c r="BI224" i="7"/>
  <c r="BJ224" i="7"/>
  <c r="Z225" i="7"/>
  <c r="AA225" i="7" s="1"/>
  <c r="AB225" i="7"/>
  <c r="AC225" i="7"/>
  <c r="AD225" i="7"/>
  <c r="AE225" i="7"/>
  <c r="AF225" i="7"/>
  <c r="AG225" i="7"/>
  <c r="AH225" i="7"/>
  <c r="AI225" i="7"/>
  <c r="AJ225" i="7"/>
  <c r="AK225" i="7"/>
  <c r="AL225" i="7"/>
  <c r="AO225" i="7"/>
  <c r="AP225" i="7"/>
  <c r="AQ225" i="7"/>
  <c r="AR225" i="7"/>
  <c r="AS225" i="7"/>
  <c r="AT225" i="7" s="1"/>
  <c r="AU225" i="7"/>
  <c r="AV225" i="7"/>
  <c r="AW225" i="7"/>
  <c r="AX225" i="7" s="1"/>
  <c r="AY225" i="7"/>
  <c r="AZ225" i="7" s="1"/>
  <c r="BB225" i="7"/>
  <c r="BC225" i="7"/>
  <c r="BD225" i="7"/>
  <c r="BE225" i="7"/>
  <c r="BF225" i="7"/>
  <c r="BG225" i="7"/>
  <c r="BH225" i="7"/>
  <c r="BI225" i="7"/>
  <c r="BJ225" i="7"/>
  <c r="Z226" i="7"/>
  <c r="AA226" i="7"/>
  <c r="AB226" i="7"/>
  <c r="AC226" i="7"/>
  <c r="AD226" i="7"/>
  <c r="AE226" i="7"/>
  <c r="AF226" i="7"/>
  <c r="AG226" i="7"/>
  <c r="AH226" i="7" s="1"/>
  <c r="AI226" i="7"/>
  <c r="AJ226" i="7"/>
  <c r="AK226" i="7"/>
  <c r="AL226" i="7"/>
  <c r="AO226" i="7"/>
  <c r="AP226" i="7"/>
  <c r="AQ226" i="7"/>
  <c r="AR226" i="7"/>
  <c r="AS226" i="7"/>
  <c r="AT226" i="7"/>
  <c r="AU226" i="7"/>
  <c r="AV226" i="7" s="1"/>
  <c r="AW226" i="7"/>
  <c r="AX226" i="7" s="1"/>
  <c r="AY226" i="7"/>
  <c r="AZ226" i="7" s="1"/>
  <c r="BB226" i="7"/>
  <c r="BC226" i="7"/>
  <c r="BD226" i="7"/>
  <c r="BE226" i="7"/>
  <c r="BF226" i="7"/>
  <c r="BG226" i="7"/>
  <c r="BH226" i="7"/>
  <c r="BI226" i="7"/>
  <c r="BJ226" i="7"/>
  <c r="Z227" i="7"/>
  <c r="AA227" i="7" s="1"/>
  <c r="AB227" i="7"/>
  <c r="AC227" i="7"/>
  <c r="AD227" i="7"/>
  <c r="AE227" i="7"/>
  <c r="AF227" i="7"/>
  <c r="AG227" i="7"/>
  <c r="AH227" i="7" s="1"/>
  <c r="AI227" i="7"/>
  <c r="AJ227" i="7"/>
  <c r="AK227" i="7"/>
  <c r="AL227" i="7"/>
  <c r="AM227" i="7"/>
  <c r="AN227" i="7"/>
  <c r="AO227" i="7"/>
  <c r="AP227" i="7"/>
  <c r="AQ227" i="7"/>
  <c r="AR227" i="7"/>
  <c r="AS227" i="7"/>
  <c r="AT227" i="7" s="1"/>
  <c r="AU227" i="7"/>
  <c r="AV227" i="7" s="1"/>
  <c r="AW227" i="7"/>
  <c r="AX227" i="7" s="1"/>
  <c r="AY227" i="7"/>
  <c r="AZ227" i="7"/>
  <c r="BB227" i="7"/>
  <c r="BC227" i="7"/>
  <c r="BD227" i="7"/>
  <c r="BE227" i="7"/>
  <c r="BF227" i="7"/>
  <c r="BG227" i="7"/>
  <c r="BH227" i="7"/>
  <c r="BI227" i="7"/>
  <c r="BJ227" i="7"/>
  <c r="Z228" i="7"/>
  <c r="AA228" i="7"/>
  <c r="AB228" i="7"/>
  <c r="AC228" i="7"/>
  <c r="AD228" i="7"/>
  <c r="AE228" i="7"/>
  <c r="AF228" i="7"/>
  <c r="AG228" i="7"/>
  <c r="AH228" i="7" s="1"/>
  <c r="AI228" i="7"/>
  <c r="AJ228" i="7"/>
  <c r="AK228" i="7"/>
  <c r="AL228" i="7"/>
  <c r="AO228" i="7"/>
  <c r="AP228" i="7"/>
  <c r="AQ228" i="7"/>
  <c r="AR228" i="7"/>
  <c r="AS228" i="7"/>
  <c r="AT228" i="7" s="1"/>
  <c r="AU228" i="7"/>
  <c r="AV228" i="7" s="1"/>
  <c r="AW228" i="7"/>
  <c r="AX228" i="7" s="1"/>
  <c r="AY228" i="7"/>
  <c r="AZ228" i="7" s="1"/>
  <c r="BB228" i="7"/>
  <c r="BC228" i="7"/>
  <c r="BD228" i="7"/>
  <c r="BE228" i="7"/>
  <c r="BF228" i="7"/>
  <c r="BG228" i="7"/>
  <c r="BH228" i="7"/>
  <c r="BI228" i="7"/>
  <c r="BJ228" i="7"/>
  <c r="Z229" i="7"/>
  <c r="AA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B229" i="7"/>
  <c r="BC229" i="7"/>
  <c r="BD229" i="7"/>
  <c r="BE229" i="7"/>
  <c r="BF229" i="7"/>
  <c r="BG229" i="7"/>
  <c r="BH229" i="7"/>
  <c r="BI229" i="7"/>
  <c r="BJ229" i="7"/>
  <c r="Z230" i="7"/>
  <c r="AA230" i="7" s="1"/>
  <c r="AB230" i="7"/>
  <c r="AC230" i="7"/>
  <c r="AD230" i="7"/>
  <c r="AE230" i="7"/>
  <c r="AF230" i="7"/>
  <c r="AG230" i="7"/>
  <c r="AH230" i="7" s="1"/>
  <c r="AI230" i="7"/>
  <c r="AJ230" i="7"/>
  <c r="AK230" i="7"/>
  <c r="AM230" i="7" s="1"/>
  <c r="AN230" i="7" s="1"/>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AB231" i="7"/>
  <c r="AC231" i="7"/>
  <c r="AD231" i="7"/>
  <c r="AE231" i="7"/>
  <c r="AF231" i="7"/>
  <c r="AG231" i="7"/>
  <c r="AH231" i="7" s="1"/>
  <c r="AI231" i="7"/>
  <c r="AJ231" i="7"/>
  <c r="AK231" i="7"/>
  <c r="AM231" i="7" s="1"/>
  <c r="AN231" i="7" s="1"/>
  <c r="AL231" i="7"/>
  <c r="AO231" i="7"/>
  <c r="AP231" i="7"/>
  <c r="AQ231" i="7"/>
  <c r="AR231" i="7"/>
  <c r="AS231" i="7"/>
  <c r="AT231" i="7"/>
  <c r="AU231" i="7"/>
  <c r="AV231" i="7"/>
  <c r="AW231" i="7"/>
  <c r="AX231" i="7" s="1"/>
  <c r="AY231" i="7"/>
  <c r="AZ231" i="7" s="1"/>
  <c r="BB231" i="7"/>
  <c r="BC231" i="7"/>
  <c r="BD231" i="7"/>
  <c r="BE231" i="7"/>
  <c r="BF231" i="7"/>
  <c r="BG231" i="7"/>
  <c r="BH231" i="7"/>
  <c r="BI231" i="7"/>
  <c r="BJ231" i="7"/>
  <c r="Z232" i="7"/>
  <c r="AA232" i="7" s="1"/>
  <c r="AB232" i="7"/>
  <c r="AC232" i="7"/>
  <c r="AD232" i="7"/>
  <c r="AE232" i="7"/>
  <c r="AF232" i="7"/>
  <c r="AG232" i="7"/>
  <c r="AH232" i="7" s="1"/>
  <c r="AI232" i="7"/>
  <c r="AJ232" i="7"/>
  <c r="AM232" i="7" s="1"/>
  <c r="AN232" i="7" s="1"/>
  <c r="AK232" i="7"/>
  <c r="AL232" i="7"/>
  <c r="AO232" i="7"/>
  <c r="AP232" i="7"/>
  <c r="AQ232" i="7"/>
  <c r="AR232" i="7"/>
  <c r="AS232" i="7"/>
  <c r="AT232" i="7"/>
  <c r="AU232" i="7"/>
  <c r="AV232" i="7" s="1"/>
  <c r="AW232" i="7"/>
  <c r="AX232" i="7" s="1"/>
  <c r="AY232" i="7"/>
  <c r="AZ232" i="7" s="1"/>
  <c r="BB232" i="7"/>
  <c r="BC232" i="7"/>
  <c r="BD232" i="7"/>
  <c r="BE232" i="7"/>
  <c r="BF232" i="7"/>
  <c r="BG232" i="7"/>
  <c r="BH232" i="7"/>
  <c r="BI232" i="7"/>
  <c r="BJ232" i="7"/>
  <c r="Z233" i="7"/>
  <c r="AA233" i="7" s="1"/>
  <c r="AB233" i="7"/>
  <c r="AC233" i="7"/>
  <c r="AD233" i="7"/>
  <c r="AE233" i="7"/>
  <c r="AF233" i="7"/>
  <c r="AG233" i="7"/>
  <c r="AH233" i="7"/>
  <c r="AI233" i="7"/>
  <c r="AJ233" i="7"/>
  <c r="AK233" i="7"/>
  <c r="AL233" i="7"/>
  <c r="AO233" i="7"/>
  <c r="AP233" i="7"/>
  <c r="AQ233" i="7"/>
  <c r="AR233" i="7"/>
  <c r="AS233" i="7"/>
  <c r="AT233" i="7"/>
  <c r="AU233" i="7"/>
  <c r="AV233" i="7"/>
  <c r="AW233" i="7"/>
  <c r="AX233" i="7"/>
  <c r="AY233" i="7"/>
  <c r="AZ233" i="7"/>
  <c r="BB233" i="7"/>
  <c r="BC233" i="7"/>
  <c r="BD233" i="7"/>
  <c r="BE233" i="7"/>
  <c r="BF233" i="7"/>
  <c r="BG233" i="7"/>
  <c r="BH233" i="7"/>
  <c r="BI233" i="7"/>
  <c r="BJ233" i="7"/>
  <c r="Z234" i="7"/>
  <c r="AA234" i="7" s="1"/>
  <c r="AB234" i="7"/>
  <c r="AC234" i="7"/>
  <c r="AD234" i="7"/>
  <c r="AE234" i="7"/>
  <c r="AF234" i="7"/>
  <c r="AG234" i="7"/>
  <c r="AH234" i="7" s="1"/>
  <c r="AI234" i="7"/>
  <c r="AJ234" i="7"/>
  <c r="AK234" i="7"/>
  <c r="AL234" i="7"/>
  <c r="AM234" i="7" s="1"/>
  <c r="AN234" i="7" s="1"/>
  <c r="AO234" i="7"/>
  <c r="AP234" i="7"/>
  <c r="AQ234" i="7"/>
  <c r="AR234" i="7"/>
  <c r="AS234" i="7"/>
  <c r="AT234" i="7"/>
  <c r="AU234" i="7"/>
  <c r="AV234" i="7"/>
  <c r="AW234" i="7"/>
  <c r="AX234" i="7" s="1"/>
  <c r="AY234" i="7"/>
  <c r="AZ234" i="7" s="1"/>
  <c r="BB234" i="7"/>
  <c r="BC234" i="7"/>
  <c r="BD234" i="7"/>
  <c r="BE234" i="7"/>
  <c r="BF234" i="7"/>
  <c r="BG234" i="7"/>
  <c r="BH234" i="7"/>
  <c r="BI234" i="7"/>
  <c r="BJ234" i="7"/>
  <c r="Z235" i="7"/>
  <c r="AA235" i="7" s="1"/>
  <c r="AB235" i="7"/>
  <c r="AC235" i="7"/>
  <c r="AD235" i="7"/>
  <c r="AE235" i="7"/>
  <c r="AF235" i="7"/>
  <c r="AG235" i="7"/>
  <c r="AH235" i="7" s="1"/>
  <c r="AI235" i="7"/>
  <c r="AJ235" i="7"/>
  <c r="AM235" i="7" s="1"/>
  <c r="AN235" i="7" s="1"/>
  <c r="AK235" i="7"/>
  <c r="AL235" i="7"/>
  <c r="AO235" i="7"/>
  <c r="AP235" i="7"/>
  <c r="AQ235" i="7"/>
  <c r="AR235" i="7"/>
  <c r="AS235" i="7"/>
  <c r="AT235" i="7"/>
  <c r="AU235" i="7"/>
  <c r="AV235" i="7" s="1"/>
  <c r="AW235" i="7"/>
  <c r="AX235" i="7"/>
  <c r="AY235" i="7"/>
  <c r="AZ235" i="7" s="1"/>
  <c r="BB235" i="7"/>
  <c r="BC235" i="7"/>
  <c r="BD235" i="7"/>
  <c r="BE235" i="7"/>
  <c r="BF235" i="7"/>
  <c r="BG235" i="7"/>
  <c r="BH235" i="7"/>
  <c r="BI235" i="7"/>
  <c r="BJ235" i="7"/>
  <c r="Z236" i="7"/>
  <c r="AA236" i="7"/>
  <c r="AB236" i="7"/>
  <c r="AC236" i="7"/>
  <c r="AD236" i="7"/>
  <c r="AE236" i="7"/>
  <c r="AF236" i="7"/>
  <c r="AG236" i="7"/>
  <c r="AH236" i="7"/>
  <c r="AI236" i="7"/>
  <c r="AJ236" i="7"/>
  <c r="AK236" i="7"/>
  <c r="AM236" i="7" s="1"/>
  <c r="AN236" i="7" s="1"/>
  <c r="AL236" i="7"/>
  <c r="AO236" i="7"/>
  <c r="AP236" i="7"/>
  <c r="AQ236" i="7"/>
  <c r="AR236" i="7"/>
  <c r="AS236" i="7"/>
  <c r="AT236" i="7"/>
  <c r="AU236" i="7"/>
  <c r="AV236" i="7"/>
  <c r="AW236" i="7"/>
  <c r="AX236" i="7"/>
  <c r="AY236" i="7"/>
  <c r="AZ236" i="7" s="1"/>
  <c r="BB236" i="7"/>
  <c r="BC236" i="7"/>
  <c r="BD236" i="7"/>
  <c r="BE236" i="7"/>
  <c r="BF236" i="7"/>
  <c r="BG236" i="7"/>
  <c r="BH236" i="7"/>
  <c r="BI236" i="7"/>
  <c r="BJ236" i="7"/>
  <c r="Z237" i="7"/>
  <c r="AA237" i="7"/>
  <c r="AB237" i="7"/>
  <c r="AC237" i="7"/>
  <c r="AD237" i="7"/>
  <c r="AE237" i="7"/>
  <c r="AF237" i="7"/>
  <c r="AG237" i="7"/>
  <c r="AH237" i="7"/>
  <c r="AI237" i="7"/>
  <c r="AJ237" i="7"/>
  <c r="AK237" i="7"/>
  <c r="AL237" i="7"/>
  <c r="AO237" i="7"/>
  <c r="AP237" i="7"/>
  <c r="AQ237" i="7"/>
  <c r="AR237" i="7"/>
  <c r="AS237" i="7"/>
  <c r="AT237" i="7"/>
  <c r="AU237" i="7"/>
  <c r="AV237" i="7"/>
  <c r="AW237" i="7"/>
  <c r="AX237" i="7" s="1"/>
  <c r="AY237" i="7"/>
  <c r="AZ237" i="7" s="1"/>
  <c r="BB237" i="7"/>
  <c r="BC237" i="7"/>
  <c r="BD237" i="7"/>
  <c r="BE237" i="7"/>
  <c r="BF237" i="7"/>
  <c r="BG237" i="7"/>
  <c r="BH237" i="7"/>
  <c r="BI237" i="7"/>
  <c r="BJ237" i="7"/>
  <c r="Z238" i="7"/>
  <c r="AA238" i="7"/>
  <c r="AB238" i="7"/>
  <c r="AC238" i="7"/>
  <c r="AD238" i="7"/>
  <c r="AE238" i="7"/>
  <c r="AF238" i="7"/>
  <c r="AG238" i="7"/>
  <c r="AH238" i="7"/>
  <c r="AI238" i="7"/>
  <c r="AJ238" i="7"/>
  <c r="AM238" i="7" s="1"/>
  <c r="AN238" i="7" s="1"/>
  <c r="AK238" i="7"/>
  <c r="AL238" i="7"/>
  <c r="AO238" i="7"/>
  <c r="AP238" i="7"/>
  <c r="AQ238" i="7"/>
  <c r="AR238" i="7"/>
  <c r="AS238" i="7"/>
  <c r="AT238" i="7" s="1"/>
  <c r="AU238" i="7"/>
  <c r="AV238" i="7" s="1"/>
  <c r="AW238" i="7"/>
  <c r="AX238" i="7" s="1"/>
  <c r="AY238" i="7"/>
  <c r="AZ238" i="7" s="1"/>
  <c r="BB238" i="7"/>
  <c r="BC238" i="7"/>
  <c r="BD238" i="7"/>
  <c r="BE238" i="7"/>
  <c r="BF238" i="7"/>
  <c r="BG238" i="7"/>
  <c r="BH238" i="7"/>
  <c r="BI238" i="7"/>
  <c r="BJ238" i="7"/>
  <c r="Z239" i="7"/>
  <c r="AA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c r="BB240" i="7"/>
  <c r="BC240" i="7"/>
  <c r="BD240" i="7"/>
  <c r="BE240" i="7"/>
  <c r="BF240" i="7"/>
  <c r="BG240" i="7"/>
  <c r="BH240" i="7"/>
  <c r="BI240" i="7"/>
  <c r="BJ240" i="7"/>
  <c r="Z241" i="7"/>
  <c r="AA241" i="7" s="1"/>
  <c r="AB241" i="7"/>
  <c r="AC241" i="7"/>
  <c r="AD241" i="7"/>
  <c r="AE241" i="7"/>
  <c r="AF241" i="7"/>
  <c r="AG241" i="7"/>
  <c r="AH241" i="7" s="1"/>
  <c r="AI241" i="7"/>
  <c r="AJ241" i="7"/>
  <c r="AM241" i="7" s="1"/>
  <c r="AN241" i="7" s="1"/>
  <c r="AK241" i="7"/>
  <c r="AL241" i="7"/>
  <c r="AO241" i="7"/>
  <c r="AP241" i="7"/>
  <c r="AQ241" i="7"/>
  <c r="AR241" i="7"/>
  <c r="AS241" i="7"/>
  <c r="AT241" i="7" s="1"/>
  <c r="AU241" i="7"/>
  <c r="AV241" i="7" s="1"/>
  <c r="AW241" i="7"/>
  <c r="AX241" i="7"/>
  <c r="AY241" i="7"/>
  <c r="AZ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B242" i="7"/>
  <c r="BC242" i="7"/>
  <c r="BD242" i="7"/>
  <c r="BE242" i="7"/>
  <c r="BF242" i="7"/>
  <c r="BG242" i="7"/>
  <c r="BH242" i="7"/>
  <c r="BI242" i="7"/>
  <c r="BJ242" i="7"/>
  <c r="Z243" i="7"/>
  <c r="AA243" i="7"/>
  <c r="AB243" i="7"/>
  <c r="AC243" i="7"/>
  <c r="AD243" i="7"/>
  <c r="AE243" i="7"/>
  <c r="AF243" i="7"/>
  <c r="AG243" i="7"/>
  <c r="AH243" i="7"/>
  <c r="AI243" i="7"/>
  <c r="AJ243" i="7"/>
  <c r="AM243" i="7" s="1"/>
  <c r="AN243" i="7" s="1"/>
  <c r="AK243" i="7"/>
  <c r="AL243" i="7"/>
  <c r="AO243" i="7"/>
  <c r="AP243" i="7"/>
  <c r="AQ243" i="7"/>
  <c r="AR243" i="7"/>
  <c r="AS243" i="7"/>
  <c r="AT243" i="7" s="1"/>
  <c r="AU243" i="7"/>
  <c r="AV243" i="7" s="1"/>
  <c r="AW243" i="7"/>
  <c r="AX243" i="7"/>
  <c r="AY243" i="7"/>
  <c r="AZ243" i="7" s="1"/>
  <c r="BB243" i="7"/>
  <c r="BC243" i="7"/>
  <c r="BD243" i="7"/>
  <c r="BE243" i="7"/>
  <c r="BF243" i="7"/>
  <c r="BG243" i="7"/>
  <c r="BH243" i="7"/>
  <c r="BI243" i="7"/>
  <c r="BJ243" i="7"/>
  <c r="Z244" i="7"/>
  <c r="AA244" i="7" s="1"/>
  <c r="AB244" i="7"/>
  <c r="AC244" i="7"/>
  <c r="AD244" i="7"/>
  <c r="AE244" i="7"/>
  <c r="AF244" i="7"/>
  <c r="AG244" i="7"/>
  <c r="AH244" i="7" s="1"/>
  <c r="AI244" i="7"/>
  <c r="AJ244" i="7"/>
  <c r="AM244" i="7" s="1"/>
  <c r="AN244" i="7" s="1"/>
  <c r="AK244" i="7"/>
  <c r="AL244" i="7"/>
  <c r="AO244" i="7"/>
  <c r="AP244" i="7"/>
  <c r="AQ244" i="7"/>
  <c r="AR244" i="7"/>
  <c r="AS244" i="7"/>
  <c r="AT244" i="7" s="1"/>
  <c r="AU244" i="7"/>
  <c r="AV244" i="7" s="1"/>
  <c r="AW244" i="7"/>
  <c r="AX244" i="7" s="1"/>
  <c r="AY244" i="7"/>
  <c r="AZ244" i="7" s="1"/>
  <c r="BB244" i="7"/>
  <c r="BC244" i="7"/>
  <c r="BD244" i="7"/>
  <c r="BE244" i="7"/>
  <c r="BF244" i="7"/>
  <c r="BG244" i="7"/>
  <c r="BH244" i="7"/>
  <c r="BI244" i="7"/>
  <c r="BJ244" i="7"/>
  <c r="Z245" i="7"/>
  <c r="AA245" i="7" s="1"/>
  <c r="AB245" i="7"/>
  <c r="AC245" i="7"/>
  <c r="AD245" i="7"/>
  <c r="AE245" i="7"/>
  <c r="AF245" i="7"/>
  <c r="AG245" i="7"/>
  <c r="AH245" i="7" s="1"/>
  <c r="AI245" i="7"/>
  <c r="AJ245" i="7"/>
  <c r="AM245" i="7" s="1"/>
  <c r="AN245" i="7" s="1"/>
  <c r="AK245" i="7"/>
  <c r="AL245" i="7"/>
  <c r="AO245" i="7"/>
  <c r="AP245" i="7"/>
  <c r="AQ245" i="7"/>
  <c r="AR245" i="7"/>
  <c r="AS245" i="7"/>
  <c r="AT245" i="7"/>
  <c r="AU245" i="7"/>
  <c r="AV245" i="7" s="1"/>
  <c r="AW245" i="7"/>
  <c r="AX245" i="7" s="1"/>
  <c r="AY245" i="7"/>
  <c r="AZ245" i="7" s="1"/>
  <c r="BB245" i="7"/>
  <c r="BC245" i="7"/>
  <c r="BD245" i="7"/>
  <c r="BE245" i="7"/>
  <c r="BF245" i="7"/>
  <c r="BG245" i="7"/>
  <c r="BH245" i="7"/>
  <c r="BI245" i="7"/>
  <c r="BJ245" i="7"/>
  <c r="Z246" i="7"/>
  <c r="AA246" i="7" s="1"/>
  <c r="AB246" i="7"/>
  <c r="AC246" i="7"/>
  <c r="AD246" i="7"/>
  <c r="AE246" i="7"/>
  <c r="AF246" i="7"/>
  <c r="AG246" i="7"/>
  <c r="AH246" i="7"/>
  <c r="AI246" i="7"/>
  <c r="AJ246" i="7"/>
  <c r="AM246" i="7" s="1"/>
  <c r="AN246" i="7" s="1"/>
  <c r="Y246" i="7" s="1"/>
  <c r="AK246" i="7"/>
  <c r="AL246" i="7"/>
  <c r="AO246" i="7"/>
  <c r="AP246" i="7"/>
  <c r="AQ246" i="7"/>
  <c r="AR246" i="7"/>
  <c r="AS246" i="7"/>
  <c r="AT246" i="7" s="1"/>
  <c r="AU246" i="7"/>
  <c r="AV246" i="7" s="1"/>
  <c r="AW246" i="7"/>
  <c r="AX246" i="7"/>
  <c r="AY246" i="7"/>
  <c r="AZ246" i="7" s="1"/>
  <c r="BB246" i="7"/>
  <c r="BC246" i="7"/>
  <c r="BD246" i="7"/>
  <c r="BE246" i="7"/>
  <c r="BF246" i="7"/>
  <c r="BG246" i="7"/>
  <c r="BH246" i="7"/>
  <c r="BI246" i="7"/>
  <c r="BJ246" i="7"/>
  <c r="Z247" i="7"/>
  <c r="AA247" i="7" s="1"/>
  <c r="AB247" i="7"/>
  <c r="AC247" i="7"/>
  <c r="AD247" i="7"/>
  <c r="AE247" i="7"/>
  <c r="AF247" i="7"/>
  <c r="AG247" i="7"/>
  <c r="AH247" i="7" s="1"/>
  <c r="AI247" i="7"/>
  <c r="AJ247" i="7"/>
  <c r="AK247" i="7"/>
  <c r="AL247" i="7"/>
  <c r="AO247" i="7"/>
  <c r="AP247" i="7"/>
  <c r="AQ247" i="7"/>
  <c r="AR247" i="7"/>
  <c r="AS247" i="7"/>
  <c r="AT247" i="7"/>
  <c r="AU247" i="7"/>
  <c r="AV247" i="7"/>
  <c r="AW247" i="7"/>
  <c r="AX247" i="7"/>
  <c r="AY247" i="7"/>
  <c r="AZ247" i="7" s="1"/>
  <c r="BB247" i="7"/>
  <c r="BC247" i="7"/>
  <c r="BD247" i="7"/>
  <c r="BE247" i="7"/>
  <c r="BF247" i="7"/>
  <c r="BG247" i="7"/>
  <c r="BH247" i="7"/>
  <c r="BI247" i="7"/>
  <c r="BJ247" i="7"/>
  <c r="Z248" i="7"/>
  <c r="AA248" i="7" s="1"/>
  <c r="AB248" i="7"/>
  <c r="AC248" i="7"/>
  <c r="AD248" i="7"/>
  <c r="AE248" i="7"/>
  <c r="AF248" i="7"/>
  <c r="AG248" i="7"/>
  <c r="AH248" i="7" s="1"/>
  <c r="AI248" i="7"/>
  <c r="AJ248" i="7"/>
  <c r="AM248" i="7" s="1"/>
  <c r="AN248" i="7" s="1"/>
  <c r="AK248" i="7"/>
  <c r="AL248" i="7"/>
  <c r="AO248" i="7"/>
  <c r="AP248" i="7"/>
  <c r="AQ248" i="7"/>
  <c r="AR248" i="7"/>
  <c r="AS248" i="7"/>
  <c r="AT248" i="7"/>
  <c r="AU248" i="7"/>
  <c r="AV248" i="7" s="1"/>
  <c r="AW248" i="7"/>
  <c r="AX248" i="7" s="1"/>
  <c r="AY248" i="7"/>
  <c r="AZ248" i="7" s="1"/>
  <c r="BB248" i="7"/>
  <c r="BC248" i="7"/>
  <c r="BD248" i="7"/>
  <c r="BE248" i="7"/>
  <c r="BF248" i="7"/>
  <c r="BG248" i="7"/>
  <c r="BH248" i="7"/>
  <c r="BI248" i="7"/>
  <c r="BJ248" i="7"/>
  <c r="Z249" i="7"/>
  <c r="AA249" i="7" s="1"/>
  <c r="AB249" i="7"/>
  <c r="AC249" i="7"/>
  <c r="AD249" i="7"/>
  <c r="AE249" i="7"/>
  <c r="AF249" i="7"/>
  <c r="AG249" i="7"/>
  <c r="AH249" i="7" s="1"/>
  <c r="AI249" i="7"/>
  <c r="AJ249" i="7"/>
  <c r="AK249" i="7"/>
  <c r="AL249" i="7"/>
  <c r="AO249" i="7"/>
  <c r="AP249" i="7"/>
  <c r="AQ249" i="7"/>
  <c r="AR249" i="7"/>
  <c r="AS249" i="7"/>
  <c r="AT249" i="7" s="1"/>
  <c r="AU249" i="7"/>
  <c r="AV249" i="7"/>
  <c r="AW249" i="7"/>
  <c r="AX249" i="7" s="1"/>
  <c r="AY249" i="7"/>
  <c r="AZ249" i="7" s="1"/>
  <c r="BB249" i="7"/>
  <c r="BC249" i="7"/>
  <c r="BD249" i="7"/>
  <c r="BE249" i="7"/>
  <c r="BF249" i="7"/>
  <c r="BG249" i="7"/>
  <c r="BH249" i="7"/>
  <c r="BI249" i="7"/>
  <c r="BJ249" i="7"/>
  <c r="Z250" i="7"/>
  <c r="AA250" i="7" s="1"/>
  <c r="AB250" i="7"/>
  <c r="AC250" i="7"/>
  <c r="AD250" i="7"/>
  <c r="AE250" i="7"/>
  <c r="AF250" i="7"/>
  <c r="AG250" i="7"/>
  <c r="AH250" i="7" s="1"/>
  <c r="AI250" i="7"/>
  <c r="AJ250" i="7"/>
  <c r="AK250" i="7"/>
  <c r="AL250" i="7"/>
  <c r="AM250" i="7" s="1"/>
  <c r="AN250" i="7" s="1"/>
  <c r="AO250" i="7"/>
  <c r="AP250" i="7"/>
  <c r="AQ250" i="7"/>
  <c r="AR250" i="7"/>
  <c r="AS250" i="7"/>
  <c r="AT250" i="7" s="1"/>
  <c r="AU250" i="7"/>
  <c r="AV250" i="7" s="1"/>
  <c r="AW250" i="7"/>
  <c r="AX250" i="7" s="1"/>
  <c r="AY250" i="7"/>
  <c r="AZ250" i="7" s="1"/>
  <c r="BB250" i="7"/>
  <c r="BC250" i="7"/>
  <c r="BD250" i="7"/>
  <c r="BE250" i="7"/>
  <c r="BF250" i="7"/>
  <c r="BG250" i="7"/>
  <c r="BH250" i="7"/>
  <c r="BI250" i="7"/>
  <c r="BJ250" i="7"/>
  <c r="Z251" i="7"/>
  <c r="AA251" i="7" s="1"/>
  <c r="AB251" i="7"/>
  <c r="AC251" i="7"/>
  <c r="AD251" i="7"/>
  <c r="AE251" i="7"/>
  <c r="AF251" i="7"/>
  <c r="AG251" i="7"/>
  <c r="AH251" i="7" s="1"/>
  <c r="AI251" i="7"/>
  <c r="AJ251" i="7"/>
  <c r="AK251" i="7"/>
  <c r="AL251" i="7"/>
  <c r="AO251" i="7"/>
  <c r="AP251" i="7"/>
  <c r="AQ251" i="7"/>
  <c r="AR251" i="7"/>
  <c r="AS251" i="7"/>
  <c r="AT251" i="7" s="1"/>
  <c r="AU251" i="7"/>
  <c r="AV251" i="7" s="1"/>
  <c r="AW251" i="7"/>
  <c r="AX251" i="7"/>
  <c r="AY251" i="7"/>
  <c r="AZ251" i="7"/>
  <c r="BB251" i="7"/>
  <c r="BC251" i="7"/>
  <c r="BD251" i="7"/>
  <c r="BE251" i="7"/>
  <c r="BF251" i="7"/>
  <c r="BG251" i="7"/>
  <c r="BH251" i="7"/>
  <c r="BI251" i="7"/>
  <c r="BJ251" i="7"/>
  <c r="Z252" i="7"/>
  <c r="AA252" i="7" s="1"/>
  <c r="AB252" i="7"/>
  <c r="AC252" i="7"/>
  <c r="AD252" i="7"/>
  <c r="AE252" i="7"/>
  <c r="AF252" i="7"/>
  <c r="AG252" i="7"/>
  <c r="AH252" i="7"/>
  <c r="AI252" i="7"/>
  <c r="AJ252" i="7"/>
  <c r="AK252" i="7"/>
  <c r="AL252" i="7"/>
  <c r="AM252" i="7" s="1"/>
  <c r="AN252" i="7" s="1"/>
  <c r="Y252" i="7" s="1"/>
  <c r="AO252" i="7"/>
  <c r="AP252" i="7"/>
  <c r="AQ252" i="7"/>
  <c r="AR252" i="7"/>
  <c r="AS252" i="7"/>
  <c r="AT252" i="7" s="1"/>
  <c r="AU252" i="7"/>
  <c r="AV252" i="7" s="1"/>
  <c r="AW252" i="7"/>
  <c r="AX252" i="7"/>
  <c r="AY252" i="7"/>
  <c r="AZ252" i="7" s="1"/>
  <c r="BB252" i="7"/>
  <c r="BC252" i="7"/>
  <c r="BD252" i="7"/>
  <c r="BE252" i="7"/>
  <c r="BF252" i="7"/>
  <c r="BG252" i="7"/>
  <c r="BH252" i="7"/>
  <c r="BI252" i="7"/>
  <c r="BJ252" i="7"/>
  <c r="Z253" i="7"/>
  <c r="AA253" i="7" s="1"/>
  <c r="AB253" i="7"/>
  <c r="AC253" i="7"/>
  <c r="AD253" i="7"/>
  <c r="AE253" i="7"/>
  <c r="AF253" i="7"/>
  <c r="AG253" i="7"/>
  <c r="AH253" i="7"/>
  <c r="AI253" i="7"/>
  <c r="AJ253" i="7"/>
  <c r="AK253" i="7"/>
  <c r="AM253" i="7" s="1"/>
  <c r="AN253" i="7" s="1"/>
  <c r="AL253" i="7"/>
  <c r="AO253" i="7"/>
  <c r="AP253" i="7"/>
  <c r="AQ253" i="7"/>
  <c r="AR253" i="7"/>
  <c r="AS253" i="7"/>
  <c r="AT253" i="7"/>
  <c r="AU253" i="7"/>
  <c r="AV253" i="7" s="1"/>
  <c r="AW253" i="7"/>
  <c r="AX253" i="7" s="1"/>
  <c r="AY253" i="7"/>
  <c r="AZ253" i="7" s="1"/>
  <c r="BB253" i="7"/>
  <c r="BC253" i="7"/>
  <c r="BD253" i="7"/>
  <c r="BE253" i="7"/>
  <c r="BF253" i="7"/>
  <c r="BG253" i="7"/>
  <c r="BH253" i="7"/>
  <c r="BI253" i="7"/>
  <c r="BJ253" i="7"/>
  <c r="Z254" i="7"/>
  <c r="AA254" i="7" s="1"/>
  <c r="AB254" i="7"/>
  <c r="AC254" i="7"/>
  <c r="AD254" i="7"/>
  <c r="AE254" i="7"/>
  <c r="AF254" i="7"/>
  <c r="AG254" i="7"/>
  <c r="AH254" i="7"/>
  <c r="AI254" i="7"/>
  <c r="AJ254" i="7"/>
  <c r="AK254" i="7"/>
  <c r="AL254" i="7"/>
  <c r="AO254" i="7"/>
  <c r="AP254" i="7"/>
  <c r="AQ254" i="7"/>
  <c r="AR254" i="7"/>
  <c r="AS254" i="7"/>
  <c r="AT254" i="7"/>
  <c r="AU254" i="7"/>
  <c r="AV254" i="7" s="1"/>
  <c r="AW254" i="7"/>
  <c r="AX254" i="7"/>
  <c r="AY254" i="7"/>
  <c r="AZ254" i="7"/>
  <c r="BB254" i="7"/>
  <c r="BC254" i="7"/>
  <c r="BD254" i="7"/>
  <c r="BE254" i="7"/>
  <c r="BF254" i="7"/>
  <c r="BG254" i="7"/>
  <c r="BH254" i="7"/>
  <c r="BI254" i="7"/>
  <c r="BJ254" i="7"/>
  <c r="Z255" i="7"/>
  <c r="AA255" i="7" s="1"/>
  <c r="AB255" i="7"/>
  <c r="AC255" i="7"/>
  <c r="AD255" i="7"/>
  <c r="AE255" i="7"/>
  <c r="AF255" i="7"/>
  <c r="AG255" i="7"/>
  <c r="AH255" i="7" s="1"/>
  <c r="AI255" i="7"/>
  <c r="AJ255" i="7"/>
  <c r="AK255" i="7"/>
  <c r="AL255" i="7"/>
  <c r="AO255" i="7"/>
  <c r="AP255" i="7"/>
  <c r="AQ255" i="7"/>
  <c r="AR255" i="7"/>
  <c r="AS255" i="7"/>
  <c r="AT255" i="7"/>
  <c r="AU255" i="7"/>
  <c r="AV255" i="7" s="1"/>
  <c r="AW255" i="7"/>
  <c r="AX255" i="7"/>
  <c r="AY255" i="7"/>
  <c r="AZ255" i="7"/>
  <c r="BB255" i="7"/>
  <c r="BC255" i="7"/>
  <c r="BD255" i="7"/>
  <c r="BE255" i="7"/>
  <c r="BF255" i="7"/>
  <c r="BG255" i="7"/>
  <c r="BH255" i="7"/>
  <c r="BI255" i="7"/>
  <c r="BJ255" i="7"/>
  <c r="Z256" i="7"/>
  <c r="AA256" i="7"/>
  <c r="AB256" i="7"/>
  <c r="AC256" i="7"/>
  <c r="AD256" i="7"/>
  <c r="AE256" i="7"/>
  <c r="AF256" i="7"/>
  <c r="AG256" i="7"/>
  <c r="AH256" i="7"/>
  <c r="AI256" i="7"/>
  <c r="AJ256" i="7"/>
  <c r="AK256" i="7"/>
  <c r="AL256" i="7"/>
  <c r="AO256" i="7"/>
  <c r="AP256" i="7"/>
  <c r="AQ256" i="7"/>
  <c r="AR256" i="7"/>
  <c r="AS256" i="7"/>
  <c r="AT256" i="7"/>
  <c r="AU256" i="7"/>
  <c r="AV256" i="7"/>
  <c r="AW256" i="7"/>
  <c r="AX256" i="7" s="1"/>
  <c r="AY256" i="7"/>
  <c r="AZ256" i="7" s="1"/>
  <c r="BB256" i="7"/>
  <c r="BC256" i="7"/>
  <c r="BD256" i="7"/>
  <c r="BE256" i="7"/>
  <c r="BF256" i="7"/>
  <c r="BG256" i="7"/>
  <c r="BH256" i="7"/>
  <c r="BI256" i="7"/>
  <c r="BJ256" i="7"/>
  <c r="Z257" i="7"/>
  <c r="AA257" i="7"/>
  <c r="AB257" i="7"/>
  <c r="AC257" i="7"/>
  <c r="AD257" i="7"/>
  <c r="AE257" i="7"/>
  <c r="AF257" i="7"/>
  <c r="AG257" i="7"/>
  <c r="AH257" i="7" s="1"/>
  <c r="AI257" i="7"/>
  <c r="AJ257" i="7"/>
  <c r="AM257" i="7" s="1"/>
  <c r="AN257" i="7" s="1"/>
  <c r="AK257" i="7"/>
  <c r="AL257" i="7"/>
  <c r="AO257" i="7"/>
  <c r="AP257" i="7"/>
  <c r="AQ257" i="7"/>
  <c r="AR257" i="7"/>
  <c r="AS257" i="7"/>
  <c r="AT257" i="7" s="1"/>
  <c r="AU257" i="7"/>
  <c r="AV257" i="7" s="1"/>
  <c r="AW257" i="7"/>
  <c r="AX257" i="7" s="1"/>
  <c r="AY257" i="7"/>
  <c r="AZ257" i="7" s="1"/>
  <c r="BB257" i="7"/>
  <c r="BC257" i="7"/>
  <c r="BD257" i="7"/>
  <c r="BE257" i="7"/>
  <c r="BF257" i="7"/>
  <c r="BG257" i="7"/>
  <c r="BH257" i="7"/>
  <c r="BI257" i="7"/>
  <c r="BJ257" i="7"/>
  <c r="Z258" i="7"/>
  <c r="AA258" i="7"/>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B258" i="7"/>
  <c r="BC258" i="7"/>
  <c r="BD258" i="7"/>
  <c r="BE258" i="7"/>
  <c r="BF258" i="7"/>
  <c r="BG258" i="7"/>
  <c r="BH258" i="7"/>
  <c r="BI258" i="7"/>
  <c r="BJ258" i="7"/>
  <c r="Z259" i="7"/>
  <c r="AA259" i="7" s="1"/>
  <c r="AB259" i="7"/>
  <c r="AC259" i="7"/>
  <c r="AD259" i="7"/>
  <c r="AE259" i="7"/>
  <c r="AF259" i="7"/>
  <c r="AG259" i="7"/>
  <c r="AH259" i="7"/>
  <c r="AI259" i="7"/>
  <c r="AJ259" i="7"/>
  <c r="AK259" i="7"/>
  <c r="AL259" i="7"/>
  <c r="AO259" i="7"/>
  <c r="AP259" i="7"/>
  <c r="AQ259" i="7"/>
  <c r="AR259" i="7"/>
  <c r="AS259" i="7"/>
  <c r="AT259" i="7" s="1"/>
  <c r="AU259" i="7"/>
  <c r="AV259" i="7" s="1"/>
  <c r="AW259" i="7"/>
  <c r="AX259" i="7"/>
  <c r="AY259" i="7"/>
  <c r="AZ259" i="7" s="1"/>
  <c r="BB259" i="7"/>
  <c r="BC259" i="7"/>
  <c r="BD259" i="7"/>
  <c r="BE259" i="7"/>
  <c r="BF259" i="7"/>
  <c r="BG259" i="7"/>
  <c r="BH259" i="7"/>
  <c r="BI259" i="7"/>
  <c r="BJ259" i="7"/>
  <c r="Z260" i="7"/>
  <c r="AA260" i="7" s="1"/>
  <c r="AB260" i="7"/>
  <c r="AC260" i="7"/>
  <c r="AD260" i="7"/>
  <c r="AE260" i="7"/>
  <c r="AF260" i="7"/>
  <c r="AG260" i="7"/>
  <c r="AH260" i="7" s="1"/>
  <c r="AI260" i="7"/>
  <c r="AJ260" i="7"/>
  <c r="AK260" i="7"/>
  <c r="AL260" i="7"/>
  <c r="AO260" i="7"/>
  <c r="AP260" i="7"/>
  <c r="AQ260" i="7"/>
  <c r="AR260" i="7"/>
  <c r="AS260" i="7"/>
  <c r="AT260" i="7" s="1"/>
  <c r="AU260" i="7"/>
  <c r="AV260" i="7"/>
  <c r="AW260" i="7"/>
  <c r="AX260" i="7" s="1"/>
  <c r="AY260" i="7"/>
  <c r="AZ260" i="7" s="1"/>
  <c r="BB260" i="7"/>
  <c r="BC260" i="7"/>
  <c r="BD260" i="7"/>
  <c r="BE260" i="7"/>
  <c r="BF260" i="7"/>
  <c r="BG260" i="7"/>
  <c r="BH260" i="7"/>
  <c r="BI260" i="7"/>
  <c r="BJ260" i="7"/>
  <c r="Z261" i="7"/>
  <c r="AA261" i="7" s="1"/>
  <c r="AB261" i="7"/>
  <c r="AC261" i="7"/>
  <c r="AD261" i="7"/>
  <c r="AE261" i="7"/>
  <c r="AF261" i="7"/>
  <c r="AG261" i="7"/>
  <c r="AH261" i="7" s="1"/>
  <c r="AI261" i="7"/>
  <c r="AJ261" i="7"/>
  <c r="AK261" i="7"/>
  <c r="AL261" i="7"/>
  <c r="AM261" i="7"/>
  <c r="AN261" i="7" s="1"/>
  <c r="AO261" i="7"/>
  <c r="AP261" i="7"/>
  <c r="AQ261" i="7"/>
  <c r="AR261" i="7"/>
  <c r="AS261" i="7"/>
  <c r="AT261" i="7" s="1"/>
  <c r="AU261" i="7"/>
  <c r="AV261" i="7" s="1"/>
  <c r="AW261" i="7"/>
  <c r="AX261" i="7"/>
  <c r="AY261" i="7"/>
  <c r="AZ261" i="7"/>
  <c r="BB261" i="7"/>
  <c r="BC261" i="7"/>
  <c r="BD261" i="7"/>
  <c r="BE261" i="7"/>
  <c r="BF261" i="7"/>
  <c r="BG261" i="7"/>
  <c r="BH261" i="7"/>
  <c r="BI261" i="7"/>
  <c r="BJ261" i="7"/>
  <c r="Z262" i="7"/>
  <c r="AA262" i="7" s="1"/>
  <c r="AB262" i="7"/>
  <c r="AC262" i="7"/>
  <c r="AD262" i="7"/>
  <c r="AE262" i="7"/>
  <c r="AF262" i="7"/>
  <c r="AG262" i="7"/>
  <c r="AH262" i="7" s="1"/>
  <c r="AI262" i="7"/>
  <c r="AJ262" i="7"/>
  <c r="AK262" i="7"/>
  <c r="AL262" i="7"/>
  <c r="AO262" i="7"/>
  <c r="AP262" i="7"/>
  <c r="AQ262" i="7"/>
  <c r="AR262" i="7"/>
  <c r="AS262" i="7"/>
  <c r="AT262" i="7" s="1"/>
  <c r="AU262" i="7"/>
  <c r="AV262" i="7"/>
  <c r="AW262" i="7"/>
  <c r="AX262" i="7"/>
  <c r="AY262" i="7"/>
  <c r="AZ262" i="7" s="1"/>
  <c r="BB262" i="7"/>
  <c r="BC262" i="7"/>
  <c r="BD262" i="7"/>
  <c r="BE262" i="7"/>
  <c r="BF262" i="7"/>
  <c r="BG262" i="7"/>
  <c r="BH262" i="7"/>
  <c r="BI262" i="7"/>
  <c r="BJ262" i="7"/>
  <c r="Z263" i="7"/>
  <c r="AA263" i="7" s="1"/>
  <c r="AB263" i="7"/>
  <c r="AC263" i="7"/>
  <c r="AD263" i="7"/>
  <c r="AE263" i="7"/>
  <c r="AF263" i="7"/>
  <c r="AG263" i="7"/>
  <c r="AH263" i="7" s="1"/>
  <c r="AI263" i="7"/>
  <c r="AJ263" i="7"/>
  <c r="AM263" i="7" s="1"/>
  <c r="AN263" i="7" s="1"/>
  <c r="AK263" i="7"/>
  <c r="AL263" i="7"/>
  <c r="AO263" i="7"/>
  <c r="AP263" i="7"/>
  <c r="AQ263" i="7"/>
  <c r="AR263" i="7"/>
  <c r="AS263" i="7"/>
  <c r="AT263" i="7" s="1"/>
  <c r="AU263" i="7"/>
  <c r="AV263" i="7" s="1"/>
  <c r="AW263" i="7"/>
  <c r="AX263" i="7" s="1"/>
  <c r="AY263" i="7"/>
  <c r="AZ263" i="7"/>
  <c r="BB263" i="7"/>
  <c r="BC263" i="7"/>
  <c r="BD263" i="7"/>
  <c r="BE263" i="7"/>
  <c r="BF263" i="7"/>
  <c r="BG263" i="7"/>
  <c r="BH263" i="7"/>
  <c r="BI263" i="7"/>
  <c r="BJ263" i="7"/>
  <c r="Z264" i="7"/>
  <c r="AA264" i="7"/>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B264" i="7"/>
  <c r="BC264" i="7"/>
  <c r="BD264" i="7"/>
  <c r="BE264" i="7"/>
  <c r="BF264" i="7"/>
  <c r="BG264" i="7"/>
  <c r="BH264" i="7"/>
  <c r="BI264" i="7"/>
  <c r="BJ264" i="7"/>
  <c r="Z265" i="7"/>
  <c r="AA265" i="7"/>
  <c r="AB265" i="7"/>
  <c r="AC265" i="7"/>
  <c r="AD265" i="7"/>
  <c r="AE265" i="7"/>
  <c r="AF265" i="7"/>
  <c r="AG265" i="7"/>
  <c r="AH265" i="7" s="1"/>
  <c r="AI265" i="7"/>
  <c r="AJ265" i="7"/>
  <c r="AM265" i="7" s="1"/>
  <c r="AN265" i="7" s="1"/>
  <c r="AK265" i="7"/>
  <c r="AL265" i="7"/>
  <c r="AO265" i="7"/>
  <c r="AP265" i="7"/>
  <c r="AQ265" i="7"/>
  <c r="AR265" i="7"/>
  <c r="AS265" i="7"/>
  <c r="AT265" i="7"/>
  <c r="AU265" i="7"/>
  <c r="AV265" i="7" s="1"/>
  <c r="AW265" i="7"/>
  <c r="AX265" i="7" s="1"/>
  <c r="AY265" i="7"/>
  <c r="AZ265" i="7" s="1"/>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s="1"/>
  <c r="AU266" i="7"/>
  <c r="AV266" i="7" s="1"/>
  <c r="AW266" i="7"/>
  <c r="AX266" i="7" s="1"/>
  <c r="AY266" i="7"/>
  <c r="AZ266" i="7" s="1"/>
  <c r="BB266" i="7"/>
  <c r="BC266" i="7"/>
  <c r="BD266" i="7"/>
  <c r="BE266" i="7"/>
  <c r="BF266" i="7"/>
  <c r="BG266" i="7"/>
  <c r="BH266" i="7"/>
  <c r="BI266" i="7"/>
  <c r="BJ266" i="7"/>
  <c r="Z267" i="7"/>
  <c r="AA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B267" i="7"/>
  <c r="BC267" i="7"/>
  <c r="BD267" i="7"/>
  <c r="BE267" i="7"/>
  <c r="BF267" i="7"/>
  <c r="BG267" i="7"/>
  <c r="BH267" i="7"/>
  <c r="BI267" i="7"/>
  <c r="BJ267" i="7"/>
  <c r="Z268" i="7"/>
  <c r="AA268" i="7" s="1"/>
  <c r="AB268" i="7"/>
  <c r="AC268" i="7"/>
  <c r="AD268" i="7"/>
  <c r="AE268" i="7"/>
  <c r="AF268" i="7"/>
  <c r="AG268" i="7"/>
  <c r="AH268" i="7" s="1"/>
  <c r="AI268" i="7"/>
  <c r="AJ268" i="7"/>
  <c r="AK268" i="7"/>
  <c r="AL268" i="7"/>
  <c r="AO268" i="7"/>
  <c r="AP268" i="7"/>
  <c r="AQ268" i="7"/>
  <c r="AR268" i="7"/>
  <c r="AS268" i="7"/>
  <c r="AT268" i="7"/>
  <c r="AU268" i="7"/>
  <c r="AV268" i="7" s="1"/>
  <c r="AW268" i="7"/>
  <c r="AX268" i="7" s="1"/>
  <c r="AY268" i="7"/>
  <c r="AZ268" i="7" s="1"/>
  <c r="BB268" i="7"/>
  <c r="BC268" i="7"/>
  <c r="BD268" i="7"/>
  <c r="BE268" i="7"/>
  <c r="BF268" i="7"/>
  <c r="BG268" i="7"/>
  <c r="BH268" i="7"/>
  <c r="BI268" i="7"/>
  <c r="BJ268" i="7"/>
  <c r="Z269" i="7"/>
  <c r="AA269" i="7" s="1"/>
  <c r="AB269" i="7"/>
  <c r="AC269" i="7"/>
  <c r="AD269" i="7"/>
  <c r="AE269" i="7"/>
  <c r="AF269" i="7"/>
  <c r="AG269" i="7"/>
  <c r="AH269" i="7" s="1"/>
  <c r="AI269" i="7"/>
  <c r="AJ269" i="7"/>
  <c r="AK269" i="7"/>
  <c r="AL269" i="7"/>
  <c r="AO269" i="7"/>
  <c r="AP269" i="7"/>
  <c r="AQ269" i="7"/>
  <c r="AR269" i="7"/>
  <c r="AS269" i="7"/>
  <c r="AT269" i="7" s="1"/>
  <c r="AU269" i="7"/>
  <c r="AV269" i="7" s="1"/>
  <c r="AW269" i="7"/>
  <c r="AX269" i="7" s="1"/>
  <c r="AY269" i="7"/>
  <c r="AZ269" i="7" s="1"/>
  <c r="BB269" i="7"/>
  <c r="BC269" i="7"/>
  <c r="BD269" i="7"/>
  <c r="BE269" i="7"/>
  <c r="BF269" i="7"/>
  <c r="BG269" i="7"/>
  <c r="BH269" i="7"/>
  <c r="BI269" i="7"/>
  <c r="BJ269" i="7"/>
  <c r="Z270" i="7"/>
  <c r="AA270" i="7" s="1"/>
  <c r="AB270" i="7"/>
  <c r="AC270" i="7"/>
  <c r="AD270" i="7"/>
  <c r="AE270" i="7"/>
  <c r="AF270" i="7"/>
  <c r="AG270" i="7"/>
  <c r="AH270" i="7" s="1"/>
  <c r="AI270" i="7"/>
  <c r="AJ270" i="7"/>
  <c r="AK270" i="7"/>
  <c r="AM270" i="7" s="1"/>
  <c r="AN270" i="7" s="1"/>
  <c r="AL270" i="7"/>
  <c r="AO270" i="7"/>
  <c r="AP270" i="7"/>
  <c r="AQ270" i="7"/>
  <c r="AR270" i="7"/>
  <c r="AS270" i="7"/>
  <c r="AT270" i="7"/>
  <c r="AU270" i="7"/>
  <c r="AV270" i="7" s="1"/>
  <c r="AW270" i="7"/>
  <c r="AX270" i="7" s="1"/>
  <c r="AY270" i="7"/>
  <c r="AZ270" i="7" s="1"/>
  <c r="BB270" i="7"/>
  <c r="BC270" i="7"/>
  <c r="BD270" i="7"/>
  <c r="BE270" i="7"/>
  <c r="BF270" i="7"/>
  <c r="BG270" i="7"/>
  <c r="BH270" i="7"/>
  <c r="BI270" i="7"/>
  <c r="BJ270" i="7"/>
  <c r="Z271" i="7"/>
  <c r="AA271" i="7" s="1"/>
  <c r="AB271" i="7"/>
  <c r="AC271" i="7"/>
  <c r="AD271" i="7"/>
  <c r="AE271" i="7"/>
  <c r="AF271" i="7"/>
  <c r="AG271" i="7"/>
  <c r="AH271" i="7" s="1"/>
  <c r="AI271" i="7"/>
  <c r="AJ271" i="7"/>
  <c r="AM271" i="7" s="1"/>
  <c r="AN271" i="7" s="1"/>
  <c r="AK271" i="7"/>
  <c r="AL271" i="7"/>
  <c r="AO271" i="7"/>
  <c r="AP271" i="7"/>
  <c r="AQ271" i="7"/>
  <c r="AR271" i="7"/>
  <c r="AS271" i="7"/>
  <c r="AT271" i="7" s="1"/>
  <c r="AU271" i="7"/>
  <c r="AV271" i="7"/>
  <c r="AW271" i="7"/>
  <c r="AX271" i="7" s="1"/>
  <c r="AY271" i="7"/>
  <c r="AZ271" i="7" s="1"/>
  <c r="BB271" i="7"/>
  <c r="BC271" i="7"/>
  <c r="BD271" i="7"/>
  <c r="BE271" i="7"/>
  <c r="BF271" i="7"/>
  <c r="BG271" i="7"/>
  <c r="BH271" i="7"/>
  <c r="BI271" i="7"/>
  <c r="BJ271" i="7"/>
  <c r="Z272" i="7"/>
  <c r="AA272" i="7" s="1"/>
  <c r="AB272" i="7"/>
  <c r="AC272" i="7"/>
  <c r="AD272" i="7"/>
  <c r="AE272" i="7"/>
  <c r="AF272" i="7"/>
  <c r="AG272" i="7"/>
  <c r="AH272" i="7" s="1"/>
  <c r="AI272" i="7"/>
  <c r="AJ272" i="7"/>
  <c r="AK272" i="7"/>
  <c r="AM272" i="7" s="1"/>
  <c r="AN272" i="7" s="1"/>
  <c r="AL272" i="7"/>
  <c r="AO272" i="7"/>
  <c r="AP272" i="7"/>
  <c r="AQ272" i="7"/>
  <c r="AR272" i="7"/>
  <c r="AS272" i="7"/>
  <c r="AT272" i="7" s="1"/>
  <c r="AU272" i="7"/>
  <c r="AV272" i="7"/>
  <c r="AW272" i="7"/>
  <c r="AX272" i="7"/>
  <c r="AY272" i="7"/>
  <c r="AZ272" i="7" s="1"/>
  <c r="BB272" i="7"/>
  <c r="BC272" i="7"/>
  <c r="BD272" i="7"/>
  <c r="BE272" i="7"/>
  <c r="BF272" i="7"/>
  <c r="BG272" i="7"/>
  <c r="BH272" i="7"/>
  <c r="BI272" i="7"/>
  <c r="BJ272" i="7"/>
  <c r="Z273" i="7"/>
  <c r="AA273" i="7" s="1"/>
  <c r="AB273" i="7"/>
  <c r="AC273" i="7"/>
  <c r="AD273" i="7"/>
  <c r="AE273" i="7"/>
  <c r="AF273" i="7"/>
  <c r="AG273" i="7"/>
  <c r="AH273" i="7" s="1"/>
  <c r="AI273" i="7"/>
  <c r="AJ273" i="7"/>
  <c r="AK273" i="7"/>
  <c r="AL273" i="7"/>
  <c r="AO273" i="7"/>
  <c r="AP273" i="7"/>
  <c r="AQ273" i="7"/>
  <c r="AR273" i="7"/>
  <c r="AS273" i="7"/>
  <c r="AT273" i="7"/>
  <c r="AU273" i="7"/>
  <c r="AV273" i="7" s="1"/>
  <c r="AW273" i="7"/>
  <c r="AX273" i="7" s="1"/>
  <c r="AY273" i="7"/>
  <c r="AZ273" i="7" s="1"/>
  <c r="BB273" i="7"/>
  <c r="BC273" i="7"/>
  <c r="BD273" i="7"/>
  <c r="BE273" i="7"/>
  <c r="BF273" i="7"/>
  <c r="BG273" i="7"/>
  <c r="BH273" i="7"/>
  <c r="BI273" i="7"/>
  <c r="BJ273" i="7"/>
  <c r="Z274" i="7"/>
  <c r="AA274" i="7"/>
  <c r="AB274" i="7"/>
  <c r="AC274" i="7"/>
  <c r="AD274" i="7"/>
  <c r="AE274" i="7"/>
  <c r="AF274" i="7"/>
  <c r="AG274" i="7"/>
  <c r="AH274" i="7" s="1"/>
  <c r="AI274" i="7"/>
  <c r="AJ274" i="7"/>
  <c r="AK274" i="7"/>
  <c r="AL274" i="7"/>
  <c r="AM274" i="7"/>
  <c r="AN274" i="7" s="1"/>
  <c r="AO274" i="7"/>
  <c r="AP274" i="7"/>
  <c r="AQ274" i="7"/>
  <c r="AR274" i="7"/>
  <c r="AS274" i="7"/>
  <c r="AT274" i="7"/>
  <c r="AU274" i="7"/>
  <c r="AV274" i="7" s="1"/>
  <c r="AW274" i="7"/>
  <c r="AX274" i="7" s="1"/>
  <c r="AY274" i="7"/>
  <c r="AZ274" i="7" s="1"/>
  <c r="BB274" i="7"/>
  <c r="BC274" i="7"/>
  <c r="BD274" i="7"/>
  <c r="BE274" i="7"/>
  <c r="BF274" i="7"/>
  <c r="BG274" i="7"/>
  <c r="BH274" i="7"/>
  <c r="BI274" i="7"/>
  <c r="BJ274" i="7"/>
  <c r="Z275" i="7"/>
  <c r="AA275" i="7"/>
  <c r="AB275" i="7"/>
  <c r="AC275" i="7"/>
  <c r="AD275" i="7"/>
  <c r="AE275" i="7"/>
  <c r="AF275" i="7"/>
  <c r="AG275" i="7"/>
  <c r="AH275" i="7"/>
  <c r="AI275" i="7"/>
  <c r="AJ275" i="7"/>
  <c r="AK275" i="7"/>
  <c r="AL275" i="7"/>
  <c r="AO275" i="7"/>
  <c r="AP275" i="7"/>
  <c r="AQ275" i="7"/>
  <c r="AR275" i="7"/>
  <c r="AS275" i="7"/>
  <c r="AT275" i="7" s="1"/>
  <c r="AU275" i="7"/>
  <c r="AV275" i="7" s="1"/>
  <c r="AW275" i="7"/>
  <c r="AX275" i="7" s="1"/>
  <c r="AY275" i="7"/>
  <c r="AZ275" i="7"/>
  <c r="BB275" i="7"/>
  <c r="BC275" i="7"/>
  <c r="BD275" i="7"/>
  <c r="BE275" i="7"/>
  <c r="BF275" i="7"/>
  <c r="BG275" i="7"/>
  <c r="BH275" i="7"/>
  <c r="BI275" i="7"/>
  <c r="BJ275" i="7"/>
  <c r="Z276" i="7"/>
  <c r="AA276" i="7" s="1"/>
  <c r="AB276" i="7"/>
  <c r="AC276" i="7"/>
  <c r="AD276" i="7"/>
  <c r="AE276" i="7"/>
  <c r="AF276" i="7"/>
  <c r="AG276" i="7"/>
  <c r="AH276" i="7" s="1"/>
  <c r="AI276" i="7"/>
  <c r="AJ276" i="7"/>
  <c r="AK276" i="7"/>
  <c r="AL276" i="7"/>
  <c r="AO276" i="7"/>
  <c r="AP276" i="7"/>
  <c r="AQ276" i="7"/>
  <c r="AR276" i="7"/>
  <c r="AS276" i="7"/>
  <c r="AT276" i="7" s="1"/>
  <c r="AU276" i="7"/>
  <c r="AV276" i="7" s="1"/>
  <c r="AW276" i="7"/>
  <c r="AX276" i="7" s="1"/>
  <c r="AY276" i="7"/>
  <c r="AZ276" i="7"/>
  <c r="BB276" i="7"/>
  <c r="BC276" i="7"/>
  <c r="BD276" i="7"/>
  <c r="BE276" i="7"/>
  <c r="BF276" i="7"/>
  <c r="BG276" i="7"/>
  <c r="BH276" i="7"/>
  <c r="BI276" i="7"/>
  <c r="BJ276" i="7"/>
  <c r="Z277" i="7"/>
  <c r="AA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AB278" i="7"/>
  <c r="AC278" i="7"/>
  <c r="AD278" i="7"/>
  <c r="AE278" i="7"/>
  <c r="AF278" i="7"/>
  <c r="AG278" i="7"/>
  <c r="AH278" i="7"/>
  <c r="AI278" i="7"/>
  <c r="AJ278" i="7"/>
  <c r="AK278" i="7"/>
  <c r="AL278" i="7"/>
  <c r="AM278" i="7" s="1"/>
  <c r="AN278" i="7" s="1"/>
  <c r="AO278" i="7"/>
  <c r="AP278" i="7"/>
  <c r="AQ278" i="7"/>
  <c r="AR278" i="7"/>
  <c r="AS278" i="7"/>
  <c r="AT278" i="7" s="1"/>
  <c r="AU278" i="7"/>
  <c r="AV278" i="7" s="1"/>
  <c r="AW278" i="7"/>
  <c r="AX278" i="7"/>
  <c r="AY278" i="7"/>
  <c r="AZ278" i="7" s="1"/>
  <c r="BB278" i="7"/>
  <c r="BC278" i="7"/>
  <c r="BD278" i="7"/>
  <c r="BE278" i="7"/>
  <c r="BF278" i="7"/>
  <c r="BG278" i="7"/>
  <c r="BH278" i="7"/>
  <c r="BI278" i="7"/>
  <c r="BJ278" i="7"/>
  <c r="Z279" i="7"/>
  <c r="AA279" i="7" s="1"/>
  <c r="AB279" i="7"/>
  <c r="AC279" i="7"/>
  <c r="AD279" i="7"/>
  <c r="AE279" i="7"/>
  <c r="AF279" i="7"/>
  <c r="AG279" i="7"/>
  <c r="AH279" i="7"/>
  <c r="AI279" i="7"/>
  <c r="AJ279" i="7"/>
  <c r="AM279" i="7" s="1"/>
  <c r="AN279" i="7" s="1"/>
  <c r="AK279" i="7"/>
  <c r="AL279" i="7"/>
  <c r="AO279" i="7"/>
  <c r="AP279" i="7"/>
  <c r="AQ279" i="7"/>
  <c r="AR279" i="7"/>
  <c r="AS279" i="7"/>
  <c r="AT279" i="7" s="1"/>
  <c r="AU279" i="7"/>
  <c r="AV279" i="7" s="1"/>
  <c r="AW279" i="7"/>
  <c r="AX279" i="7" s="1"/>
  <c r="AY279" i="7"/>
  <c r="AZ279" i="7"/>
  <c r="BB279" i="7"/>
  <c r="BC279" i="7"/>
  <c r="BD279" i="7"/>
  <c r="BE279" i="7"/>
  <c r="BF279" i="7"/>
  <c r="BG279" i="7"/>
  <c r="BH279" i="7"/>
  <c r="BI279" i="7"/>
  <c r="BJ279" i="7"/>
  <c r="Z280" i="7"/>
  <c r="AA280" i="7" s="1"/>
  <c r="AB280" i="7"/>
  <c r="AC280" i="7"/>
  <c r="AD280" i="7"/>
  <c r="AE280" i="7"/>
  <c r="AF280" i="7"/>
  <c r="AG280" i="7"/>
  <c r="AH280" i="7" s="1"/>
  <c r="AI280" i="7"/>
  <c r="AJ280" i="7"/>
  <c r="AK280" i="7"/>
  <c r="AL280" i="7"/>
  <c r="AO280" i="7"/>
  <c r="AP280" i="7"/>
  <c r="AQ280" i="7"/>
  <c r="AR280" i="7"/>
  <c r="AS280" i="7"/>
  <c r="AT280" i="7" s="1"/>
  <c r="AU280" i="7"/>
  <c r="AV280" i="7" s="1"/>
  <c r="AW280" i="7"/>
  <c r="AX280" i="7"/>
  <c r="AY280" i="7"/>
  <c r="AZ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s="1"/>
  <c r="AW281" i="7"/>
  <c r="AX281" i="7" s="1"/>
  <c r="AY281" i="7"/>
  <c r="AZ281" i="7"/>
  <c r="BB281" i="7"/>
  <c r="BC281" i="7"/>
  <c r="BD281" i="7"/>
  <c r="BE281" i="7"/>
  <c r="BF281" i="7"/>
  <c r="BG281" i="7"/>
  <c r="BH281" i="7"/>
  <c r="BI281" i="7"/>
  <c r="BJ281" i="7"/>
  <c r="Z282" i="7"/>
  <c r="AA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s="1"/>
  <c r="BB282" i="7"/>
  <c r="BC282" i="7"/>
  <c r="BD282" i="7"/>
  <c r="BE282" i="7"/>
  <c r="BF282" i="7"/>
  <c r="BG282" i="7"/>
  <c r="BH282" i="7"/>
  <c r="BI282" i="7"/>
  <c r="BJ282" i="7"/>
  <c r="Z283" i="7"/>
  <c r="AA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B283" i="7"/>
  <c r="BC283" i="7"/>
  <c r="BD283" i="7"/>
  <c r="BE283" i="7"/>
  <c r="BF283" i="7"/>
  <c r="BG283" i="7"/>
  <c r="BH283" i="7"/>
  <c r="BI283" i="7"/>
  <c r="BJ283" i="7"/>
  <c r="Z284" i="7"/>
  <c r="AA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AB285" i="7"/>
  <c r="AC285" i="7"/>
  <c r="AD285" i="7"/>
  <c r="AE285" i="7"/>
  <c r="AF285" i="7"/>
  <c r="AG285" i="7"/>
  <c r="AH285" i="7"/>
  <c r="AI285" i="7"/>
  <c r="AJ285" i="7"/>
  <c r="AK285" i="7"/>
  <c r="AM285" i="7" s="1"/>
  <c r="AN285" i="7" s="1"/>
  <c r="AL285" i="7"/>
  <c r="AO285" i="7"/>
  <c r="AP285" i="7"/>
  <c r="AQ285" i="7"/>
  <c r="AR285" i="7"/>
  <c r="AS285" i="7"/>
  <c r="AT285" i="7"/>
  <c r="AU285" i="7"/>
  <c r="AV285" i="7" s="1"/>
  <c r="AW285" i="7"/>
  <c r="AX285" i="7" s="1"/>
  <c r="AY285" i="7"/>
  <c r="AZ285" i="7" s="1"/>
  <c r="BB285" i="7"/>
  <c r="BC285" i="7"/>
  <c r="BD285" i="7"/>
  <c r="BE285" i="7"/>
  <c r="BF285" i="7"/>
  <c r="BG285" i="7"/>
  <c r="BH285" i="7"/>
  <c r="BI285" i="7"/>
  <c r="BJ285" i="7"/>
  <c r="Z286" i="7"/>
  <c r="AA286" i="7" s="1"/>
  <c r="AB286" i="7"/>
  <c r="AC286" i="7"/>
  <c r="AD286" i="7"/>
  <c r="AE286" i="7"/>
  <c r="AF286" i="7"/>
  <c r="AG286" i="7"/>
  <c r="AH286" i="7" s="1"/>
  <c r="AI286" i="7"/>
  <c r="AJ286" i="7"/>
  <c r="AK286" i="7"/>
  <c r="AL286" i="7"/>
  <c r="AO286" i="7"/>
  <c r="AP286" i="7"/>
  <c r="AQ286" i="7"/>
  <c r="AR286" i="7"/>
  <c r="AS286" i="7"/>
  <c r="AT286" i="7" s="1"/>
  <c r="AU286" i="7"/>
  <c r="AV286" i="7" s="1"/>
  <c r="AW286" i="7"/>
  <c r="AX286" i="7" s="1"/>
  <c r="AY286" i="7"/>
  <c r="AZ286" i="7" s="1"/>
  <c r="BB286" i="7"/>
  <c r="BC286" i="7"/>
  <c r="BD286" i="7"/>
  <c r="BE286" i="7"/>
  <c r="BF286" i="7"/>
  <c r="BG286" i="7"/>
  <c r="BH286" i="7"/>
  <c r="BI286" i="7"/>
  <c r="BJ286" i="7"/>
  <c r="Z287" i="7"/>
  <c r="AA287" i="7" s="1"/>
  <c r="AB287" i="7"/>
  <c r="AC287" i="7"/>
  <c r="AD287" i="7"/>
  <c r="AE287" i="7"/>
  <c r="AF287" i="7"/>
  <c r="AG287" i="7"/>
  <c r="AH287" i="7" s="1"/>
  <c r="AI287" i="7"/>
  <c r="AJ287" i="7"/>
  <c r="AM287" i="7" s="1"/>
  <c r="AN287" i="7" s="1"/>
  <c r="AK287" i="7"/>
  <c r="AL287" i="7"/>
  <c r="AO287" i="7"/>
  <c r="AP287" i="7"/>
  <c r="AQ287" i="7"/>
  <c r="AR287" i="7"/>
  <c r="AS287" i="7"/>
  <c r="AT287" i="7"/>
  <c r="AU287" i="7"/>
  <c r="AV287" i="7"/>
  <c r="AW287" i="7"/>
  <c r="AX287" i="7" s="1"/>
  <c r="AY287" i="7"/>
  <c r="AZ287" i="7" s="1"/>
  <c r="BB287" i="7"/>
  <c r="BC287" i="7"/>
  <c r="BD287" i="7"/>
  <c r="BE287" i="7"/>
  <c r="BF287" i="7"/>
  <c r="BG287" i="7"/>
  <c r="BH287" i="7"/>
  <c r="BI287" i="7"/>
  <c r="BJ287" i="7"/>
  <c r="Z288" i="7"/>
  <c r="AA288" i="7" s="1"/>
  <c r="AB288" i="7"/>
  <c r="AC288" i="7"/>
  <c r="AD288" i="7"/>
  <c r="AE288" i="7"/>
  <c r="AF288" i="7"/>
  <c r="AG288" i="7"/>
  <c r="AH288" i="7" s="1"/>
  <c r="AI288" i="7"/>
  <c r="AJ288" i="7"/>
  <c r="AK288" i="7"/>
  <c r="AL288" i="7"/>
  <c r="AO288" i="7"/>
  <c r="AP288" i="7"/>
  <c r="AQ288" i="7"/>
  <c r="AR288" i="7"/>
  <c r="AS288" i="7"/>
  <c r="AT288" i="7" s="1"/>
  <c r="AU288" i="7"/>
  <c r="AV288" i="7" s="1"/>
  <c r="AW288" i="7"/>
  <c r="AX288" i="7" s="1"/>
  <c r="AY288" i="7"/>
  <c r="AZ288" i="7" s="1"/>
  <c r="BB288" i="7"/>
  <c r="BC288" i="7"/>
  <c r="BD288" i="7"/>
  <c r="BE288" i="7"/>
  <c r="BF288" i="7"/>
  <c r="BG288" i="7"/>
  <c r="BH288" i="7"/>
  <c r="BI288" i="7"/>
  <c r="BJ288" i="7"/>
  <c r="Z289" i="7"/>
  <c r="AA289" i="7"/>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s="1"/>
  <c r="AB291" i="7"/>
  <c r="AC291" i="7"/>
  <c r="AD291" i="7"/>
  <c r="AE291" i="7"/>
  <c r="AF291" i="7"/>
  <c r="AG291" i="7"/>
  <c r="AH291" i="7"/>
  <c r="AI291" i="7"/>
  <c r="AJ291" i="7"/>
  <c r="AK291" i="7"/>
  <c r="AL291" i="7"/>
  <c r="AO291" i="7"/>
  <c r="AP291" i="7"/>
  <c r="AQ291" i="7"/>
  <c r="AR291" i="7"/>
  <c r="AS291" i="7"/>
  <c r="AT291" i="7" s="1"/>
  <c r="AU291" i="7"/>
  <c r="AV291" i="7" s="1"/>
  <c r="AW291" i="7"/>
  <c r="AX291" i="7" s="1"/>
  <c r="AY291" i="7"/>
  <c r="AZ291" i="7"/>
  <c r="BB291" i="7"/>
  <c r="BC291" i="7"/>
  <c r="BD291" i="7"/>
  <c r="BE291" i="7"/>
  <c r="BF291" i="7"/>
  <c r="BG291" i="7"/>
  <c r="BH291" i="7"/>
  <c r="BI291" i="7"/>
  <c r="BJ291" i="7"/>
  <c r="Z292" i="7"/>
  <c r="AA292" i="7"/>
  <c r="AB292" i="7"/>
  <c r="AC292" i="7"/>
  <c r="AD292" i="7"/>
  <c r="AE292" i="7"/>
  <c r="AF292" i="7"/>
  <c r="AG292" i="7"/>
  <c r="AH292" i="7" s="1"/>
  <c r="AI292" i="7"/>
  <c r="AJ292" i="7"/>
  <c r="AM292" i="7" s="1"/>
  <c r="AN292" i="7" s="1"/>
  <c r="AK292" i="7"/>
  <c r="AL292" i="7"/>
  <c r="AO292" i="7"/>
  <c r="AP292" i="7"/>
  <c r="AQ292" i="7"/>
  <c r="AR292" i="7"/>
  <c r="AS292" i="7"/>
  <c r="AT292" i="7" s="1"/>
  <c r="AU292" i="7"/>
  <c r="AV292" i="7"/>
  <c r="AW292" i="7"/>
  <c r="AX292" i="7" s="1"/>
  <c r="AY292" i="7"/>
  <c r="AZ292" i="7"/>
  <c r="BB292" i="7"/>
  <c r="BC292" i="7"/>
  <c r="BD292" i="7"/>
  <c r="BE292" i="7"/>
  <c r="BF292" i="7"/>
  <c r="BG292" i="7"/>
  <c r="BH292" i="7"/>
  <c r="BI292" i="7"/>
  <c r="BJ292" i="7"/>
  <c r="Z293" i="7"/>
  <c r="AA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B293" i="7"/>
  <c r="BC293" i="7"/>
  <c r="BD293" i="7"/>
  <c r="BE293" i="7"/>
  <c r="BF293" i="7"/>
  <c r="BG293" i="7"/>
  <c r="BH293" i="7"/>
  <c r="BI293" i="7"/>
  <c r="BJ293" i="7"/>
  <c r="Z294" i="7"/>
  <c r="AA294" i="7" s="1"/>
  <c r="AB294" i="7"/>
  <c r="AC294" i="7"/>
  <c r="AD294" i="7"/>
  <c r="AE294" i="7"/>
  <c r="AF294" i="7"/>
  <c r="AG294" i="7"/>
  <c r="AH294" i="7"/>
  <c r="AI294" i="7"/>
  <c r="AJ294" i="7"/>
  <c r="AK294" i="7"/>
  <c r="AL294" i="7"/>
  <c r="AM294" i="7" s="1"/>
  <c r="AN294" i="7" s="1"/>
  <c r="AO294" i="7"/>
  <c r="AP294" i="7"/>
  <c r="AQ294" i="7"/>
  <c r="AR294" i="7"/>
  <c r="AS294" i="7"/>
  <c r="AT294" i="7" s="1"/>
  <c r="AU294" i="7"/>
  <c r="AV294" i="7" s="1"/>
  <c r="AW294" i="7"/>
  <c r="AX294" i="7"/>
  <c r="AY294" i="7"/>
  <c r="AZ294" i="7" s="1"/>
  <c r="BB294" i="7"/>
  <c r="BC294" i="7"/>
  <c r="BD294" i="7"/>
  <c r="BE294" i="7"/>
  <c r="BF294" i="7"/>
  <c r="BG294" i="7"/>
  <c r="BH294" i="7"/>
  <c r="BI294" i="7"/>
  <c r="BJ294" i="7"/>
  <c r="Z295" i="7"/>
  <c r="AA295" i="7"/>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B295" i="7"/>
  <c r="BC295" i="7"/>
  <c r="BD295" i="7"/>
  <c r="BE295" i="7"/>
  <c r="BF295" i="7"/>
  <c r="BG295" i="7"/>
  <c r="BH295" i="7"/>
  <c r="BI295" i="7"/>
  <c r="BJ295" i="7"/>
  <c r="Z296" i="7"/>
  <c r="AA296" i="7" s="1"/>
  <c r="AB296" i="7"/>
  <c r="AC296" i="7"/>
  <c r="AD296" i="7"/>
  <c r="AE296" i="7"/>
  <c r="AF296" i="7"/>
  <c r="AG296" i="7"/>
  <c r="AH296" i="7" s="1"/>
  <c r="AI296" i="7"/>
  <c r="AJ296" i="7"/>
  <c r="AK296" i="7"/>
  <c r="AL296" i="7"/>
  <c r="AO296" i="7"/>
  <c r="AP296" i="7"/>
  <c r="AQ296" i="7"/>
  <c r="AR296" i="7"/>
  <c r="AS296" i="7"/>
  <c r="AT296" i="7" s="1"/>
  <c r="AU296" i="7"/>
  <c r="AV296" i="7" s="1"/>
  <c r="AW296" i="7"/>
  <c r="AX296" i="7"/>
  <c r="AY296" i="7"/>
  <c r="AZ296" i="7" s="1"/>
  <c r="BB296" i="7"/>
  <c r="BC296" i="7"/>
  <c r="BD296" i="7"/>
  <c r="BE296" i="7"/>
  <c r="BF296" i="7"/>
  <c r="BG296" i="7"/>
  <c r="BH296" i="7"/>
  <c r="BI296" i="7"/>
  <c r="BJ296" i="7"/>
  <c r="Z297" i="7"/>
  <c r="AA297" i="7" s="1"/>
  <c r="AB297" i="7"/>
  <c r="AC297" i="7"/>
  <c r="AD297" i="7"/>
  <c r="AE297" i="7"/>
  <c r="AF297" i="7"/>
  <c r="AG297" i="7"/>
  <c r="AH297" i="7" s="1"/>
  <c r="AI297" i="7"/>
  <c r="AJ297" i="7"/>
  <c r="AK297" i="7"/>
  <c r="AL297" i="7"/>
  <c r="AO297" i="7"/>
  <c r="AP297" i="7"/>
  <c r="AQ297" i="7"/>
  <c r="AR297" i="7"/>
  <c r="AS297" i="7"/>
  <c r="AT297" i="7" s="1"/>
  <c r="AU297" i="7"/>
  <c r="AV297" i="7" s="1"/>
  <c r="AW297" i="7"/>
  <c r="AX297" i="7" s="1"/>
  <c r="AY297" i="7"/>
  <c r="AZ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s="1"/>
  <c r="BB298" i="7"/>
  <c r="BC298" i="7"/>
  <c r="BD298" i="7"/>
  <c r="BE298" i="7"/>
  <c r="BF298" i="7"/>
  <c r="BG298" i="7"/>
  <c r="BH298" i="7"/>
  <c r="BI298" i="7"/>
  <c r="BJ298" i="7"/>
  <c r="Z299" i="7"/>
  <c r="AA299" i="7" s="1"/>
  <c r="AB299" i="7"/>
  <c r="AC299" i="7"/>
  <c r="AD299" i="7"/>
  <c r="AE299" i="7"/>
  <c r="AF299" i="7"/>
  <c r="AG299" i="7"/>
  <c r="AH299" i="7" s="1"/>
  <c r="AI299" i="7"/>
  <c r="AJ299" i="7"/>
  <c r="AK299" i="7"/>
  <c r="AL299" i="7"/>
  <c r="AO299" i="7"/>
  <c r="AP299" i="7"/>
  <c r="AQ299" i="7"/>
  <c r="AR299" i="7"/>
  <c r="AS299" i="7"/>
  <c r="AT299" i="7" s="1"/>
  <c r="AU299" i="7"/>
  <c r="AV299" i="7"/>
  <c r="AW299" i="7"/>
  <c r="AX299" i="7" s="1"/>
  <c r="AY299" i="7"/>
  <c r="AZ299" i="7" s="1"/>
  <c r="BB299" i="7"/>
  <c r="BC299" i="7"/>
  <c r="BD299" i="7"/>
  <c r="BE299" i="7"/>
  <c r="BF299" i="7"/>
  <c r="BG299" i="7"/>
  <c r="BH299" i="7"/>
  <c r="BI299" i="7"/>
  <c r="BJ299" i="7"/>
  <c r="Z300" i="7"/>
  <c r="AA300" i="7" s="1"/>
  <c r="AB300" i="7"/>
  <c r="AC300" i="7"/>
  <c r="AD300" i="7"/>
  <c r="AE300" i="7"/>
  <c r="AF300" i="7"/>
  <c r="AG300" i="7"/>
  <c r="AH300" i="7" s="1"/>
  <c r="AI300" i="7"/>
  <c r="AJ300" i="7"/>
  <c r="AK300" i="7"/>
  <c r="AL300" i="7"/>
  <c r="AO300" i="7"/>
  <c r="AP300" i="7"/>
  <c r="AQ300" i="7"/>
  <c r="AR300" i="7"/>
  <c r="AS300" i="7"/>
  <c r="AT300" i="7" s="1"/>
  <c r="AU300" i="7"/>
  <c r="AV300" i="7" s="1"/>
  <c r="AW300" i="7"/>
  <c r="AX300" i="7" s="1"/>
  <c r="AY300" i="7"/>
  <c r="AZ300" i="7" s="1"/>
  <c r="BB300" i="7"/>
  <c r="BC300" i="7"/>
  <c r="BD300" i="7"/>
  <c r="BE300" i="7"/>
  <c r="BF300" i="7"/>
  <c r="BG300" i="7"/>
  <c r="BH300" i="7"/>
  <c r="BI300" i="7"/>
  <c r="BJ300" i="7"/>
  <c r="Z301" i="7"/>
  <c r="AA301" i="7" s="1"/>
  <c r="AB301" i="7"/>
  <c r="AC301" i="7"/>
  <c r="AD301" i="7"/>
  <c r="AE301" i="7"/>
  <c r="AF301" i="7"/>
  <c r="AG301" i="7"/>
  <c r="AH301" i="7" s="1"/>
  <c r="AI301" i="7"/>
  <c r="AJ301" i="7"/>
  <c r="AM301" i="7" s="1"/>
  <c r="AN301" i="7" s="1"/>
  <c r="AK301" i="7"/>
  <c r="AL301" i="7"/>
  <c r="AO301" i="7"/>
  <c r="AP301" i="7"/>
  <c r="AQ301" i="7"/>
  <c r="AR301" i="7"/>
  <c r="AS301" i="7"/>
  <c r="AT301" i="7" s="1"/>
  <c r="AU301" i="7"/>
  <c r="AV301" i="7" s="1"/>
  <c r="AW301" i="7"/>
  <c r="AX301" i="7" s="1"/>
  <c r="AY301" i="7"/>
  <c r="AZ301" i="7" s="1"/>
  <c r="BB301" i="7"/>
  <c r="BC301" i="7"/>
  <c r="BD301" i="7"/>
  <c r="BE301" i="7"/>
  <c r="BF301" i="7"/>
  <c r="BG301" i="7"/>
  <c r="BH301" i="7"/>
  <c r="BI301" i="7"/>
  <c r="BJ301" i="7"/>
  <c r="Z302" i="7"/>
  <c r="AA302" i="7" s="1"/>
  <c r="AB302" i="7"/>
  <c r="AC302" i="7"/>
  <c r="AD302" i="7"/>
  <c r="AE302" i="7"/>
  <c r="AF302" i="7"/>
  <c r="AG302" i="7"/>
  <c r="AH302" i="7" s="1"/>
  <c r="AI302" i="7"/>
  <c r="AJ302" i="7"/>
  <c r="AK302" i="7"/>
  <c r="AL302" i="7"/>
  <c r="AM302" i="7"/>
  <c r="AN302" i="7" s="1"/>
  <c r="AO302" i="7"/>
  <c r="AP302" i="7"/>
  <c r="AQ302" i="7"/>
  <c r="AR302" i="7"/>
  <c r="AS302" i="7"/>
  <c r="AT302" i="7"/>
  <c r="AU302" i="7"/>
  <c r="AV302" i="7"/>
  <c r="AW302" i="7"/>
  <c r="AX302" i="7" s="1"/>
  <c r="AY302" i="7"/>
  <c r="AZ302" i="7" s="1"/>
  <c r="BB302" i="7"/>
  <c r="BC302" i="7"/>
  <c r="BD302" i="7"/>
  <c r="BE302" i="7"/>
  <c r="BF302" i="7"/>
  <c r="BG302" i="7"/>
  <c r="BH302" i="7"/>
  <c r="BI302" i="7"/>
  <c r="BJ302" i="7"/>
  <c r="Z303" i="7"/>
  <c r="AA303" i="7" s="1"/>
  <c r="AB303" i="7"/>
  <c r="AC303" i="7"/>
  <c r="AD303" i="7"/>
  <c r="AE303" i="7"/>
  <c r="AF303" i="7"/>
  <c r="AG303" i="7"/>
  <c r="AH303" i="7" s="1"/>
  <c r="AI303" i="7"/>
  <c r="AJ303" i="7"/>
  <c r="AK303" i="7"/>
  <c r="AL303" i="7"/>
  <c r="AM303" i="7"/>
  <c r="AN303" i="7" s="1"/>
  <c r="AO303" i="7"/>
  <c r="AP303" i="7"/>
  <c r="AQ303" i="7"/>
  <c r="AR303" i="7"/>
  <c r="AS303" i="7"/>
  <c r="AT303" i="7"/>
  <c r="AU303" i="7"/>
  <c r="AV303" i="7"/>
  <c r="AW303" i="7"/>
  <c r="AX303" i="7" s="1"/>
  <c r="AY303" i="7"/>
  <c r="AZ303" i="7" s="1"/>
  <c r="BB303" i="7"/>
  <c r="BC303" i="7"/>
  <c r="BD303" i="7"/>
  <c r="BE303" i="7"/>
  <c r="BF303" i="7"/>
  <c r="BG303" i="7"/>
  <c r="BH303" i="7"/>
  <c r="BI303" i="7"/>
  <c r="BJ303" i="7"/>
  <c r="Z304" i="7"/>
  <c r="AA304" i="7" s="1"/>
  <c r="AB304" i="7"/>
  <c r="AC304" i="7"/>
  <c r="AD304" i="7"/>
  <c r="AE304" i="7"/>
  <c r="AF304" i="7"/>
  <c r="AG304" i="7"/>
  <c r="AH304" i="7" s="1"/>
  <c r="AI304" i="7"/>
  <c r="AJ304" i="7"/>
  <c r="AK304" i="7"/>
  <c r="AM304" i="7" s="1"/>
  <c r="AN304" i="7" s="1"/>
  <c r="AL304" i="7"/>
  <c r="AO304" i="7"/>
  <c r="AP304" i="7"/>
  <c r="AQ304" i="7"/>
  <c r="AR304" i="7"/>
  <c r="AS304" i="7"/>
  <c r="AT304" i="7" s="1"/>
  <c r="AU304" i="7"/>
  <c r="AV304" i="7"/>
  <c r="AW304" i="7"/>
  <c r="AX304" i="7" s="1"/>
  <c r="AY304" i="7"/>
  <c r="AZ304" i="7" s="1"/>
  <c r="BB304" i="7"/>
  <c r="BC304" i="7"/>
  <c r="BD304" i="7"/>
  <c r="BE304" i="7"/>
  <c r="BF304" i="7"/>
  <c r="BG304" i="7"/>
  <c r="BH304" i="7"/>
  <c r="BI304" i="7"/>
  <c r="BJ304" i="7"/>
  <c r="Z305" i="7"/>
  <c r="AA305" i="7" s="1"/>
  <c r="AB305" i="7"/>
  <c r="AC305" i="7"/>
  <c r="AD305" i="7"/>
  <c r="AE305" i="7"/>
  <c r="AF305" i="7"/>
  <c r="AG305" i="7"/>
  <c r="AH305" i="7"/>
  <c r="AI305" i="7"/>
  <c r="AJ305" i="7"/>
  <c r="AK305" i="7"/>
  <c r="AL305" i="7"/>
  <c r="AO305" i="7"/>
  <c r="AP305" i="7"/>
  <c r="AQ305" i="7"/>
  <c r="AR305" i="7"/>
  <c r="AS305" i="7"/>
  <c r="AT305" i="7"/>
  <c r="AU305" i="7"/>
  <c r="AV305" i="7" s="1"/>
  <c r="AW305" i="7"/>
  <c r="AX305" i="7"/>
  <c r="AY305" i="7"/>
  <c r="AZ305" i="7" s="1"/>
  <c r="BB305" i="7"/>
  <c r="BC305" i="7"/>
  <c r="BD305" i="7"/>
  <c r="BE305" i="7"/>
  <c r="BF305" i="7"/>
  <c r="BG305" i="7"/>
  <c r="BH305" i="7"/>
  <c r="BI305" i="7"/>
  <c r="BJ305" i="7"/>
  <c r="Z306" i="7"/>
  <c r="AA306" i="7" s="1"/>
  <c r="AB306" i="7"/>
  <c r="AC306" i="7"/>
  <c r="AD306" i="7"/>
  <c r="AE306" i="7"/>
  <c r="AF306" i="7"/>
  <c r="AG306" i="7"/>
  <c r="AH306" i="7"/>
  <c r="AI306" i="7"/>
  <c r="AJ306" i="7"/>
  <c r="AK306" i="7"/>
  <c r="AL306" i="7"/>
  <c r="AO306" i="7"/>
  <c r="AP306" i="7"/>
  <c r="AQ306" i="7"/>
  <c r="AR306" i="7"/>
  <c r="AS306" i="7"/>
  <c r="AT306" i="7" s="1"/>
  <c r="AU306" i="7"/>
  <c r="AV306" i="7" s="1"/>
  <c r="AW306" i="7"/>
  <c r="AX306" i="7" s="1"/>
  <c r="AY306" i="7"/>
  <c r="AZ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s="1"/>
  <c r="AU307" i="7"/>
  <c r="AV307" i="7"/>
  <c r="AW307" i="7"/>
  <c r="AX307" i="7"/>
  <c r="AY307" i="7"/>
  <c r="AZ307" i="7"/>
  <c r="BB307" i="7"/>
  <c r="BC307" i="7"/>
  <c r="BD307" i="7"/>
  <c r="BE307" i="7"/>
  <c r="BF307" i="7"/>
  <c r="BG307" i="7"/>
  <c r="BH307" i="7"/>
  <c r="BI307" i="7"/>
  <c r="BJ307" i="7"/>
  <c r="Z308" i="7"/>
  <c r="AA308" i="7"/>
  <c r="AB308" i="7"/>
  <c r="AC308" i="7"/>
  <c r="AD308" i="7"/>
  <c r="AE308" i="7"/>
  <c r="AF308" i="7"/>
  <c r="AG308" i="7"/>
  <c r="AH308" i="7" s="1"/>
  <c r="AI308" i="7"/>
  <c r="AJ308" i="7"/>
  <c r="AM308" i="7" s="1"/>
  <c r="AN308" i="7" s="1"/>
  <c r="AK308" i="7"/>
  <c r="AL308" i="7"/>
  <c r="AO308" i="7"/>
  <c r="AP308" i="7"/>
  <c r="AQ308" i="7"/>
  <c r="AR308" i="7"/>
  <c r="AS308" i="7"/>
  <c r="AT308" i="7"/>
  <c r="AU308" i="7"/>
  <c r="AV308" i="7" s="1"/>
  <c r="AW308" i="7"/>
  <c r="AX308" i="7" s="1"/>
  <c r="AY308" i="7"/>
  <c r="AZ308" i="7"/>
  <c r="BB308" i="7"/>
  <c r="BC308" i="7"/>
  <c r="BD308" i="7"/>
  <c r="BE308" i="7"/>
  <c r="BF308" i="7"/>
  <c r="BG308" i="7"/>
  <c r="BH308" i="7"/>
  <c r="BI308" i="7"/>
  <c r="BJ308" i="7"/>
  <c r="Z309" i="7"/>
  <c r="AA309" i="7" s="1"/>
  <c r="AB309" i="7"/>
  <c r="AC309" i="7"/>
  <c r="AD309" i="7"/>
  <c r="AE309" i="7"/>
  <c r="AF309" i="7"/>
  <c r="AG309" i="7"/>
  <c r="AH309" i="7"/>
  <c r="AI309" i="7"/>
  <c r="AJ309" i="7"/>
  <c r="AM309" i="7" s="1"/>
  <c r="AN309" i="7" s="1"/>
  <c r="AK309" i="7"/>
  <c r="AL309" i="7"/>
  <c r="AO309" i="7"/>
  <c r="AP309" i="7"/>
  <c r="AQ309" i="7"/>
  <c r="AR309" i="7"/>
  <c r="AS309" i="7"/>
  <c r="AT309" i="7"/>
  <c r="AU309" i="7"/>
  <c r="AV309" i="7"/>
  <c r="AW309" i="7"/>
  <c r="AX309" i="7"/>
  <c r="AY309" i="7"/>
  <c r="AZ309" i="7"/>
  <c r="BB309" i="7"/>
  <c r="BC309" i="7"/>
  <c r="BD309" i="7"/>
  <c r="BE309" i="7"/>
  <c r="BF309" i="7"/>
  <c r="BG309" i="7"/>
  <c r="BH309" i="7"/>
  <c r="BI309" i="7"/>
  <c r="BJ309" i="7"/>
  <c r="Z310" i="7"/>
  <c r="AA310" i="7"/>
  <c r="AB310" i="7"/>
  <c r="AC310" i="7"/>
  <c r="AD310" i="7"/>
  <c r="AE310" i="7"/>
  <c r="AF310" i="7"/>
  <c r="AG310" i="7"/>
  <c r="AH310" i="7" s="1"/>
  <c r="AI310" i="7"/>
  <c r="AJ310" i="7"/>
  <c r="AK310" i="7"/>
  <c r="AM310" i="7" s="1"/>
  <c r="AN310" i="7" s="1"/>
  <c r="AL310" i="7"/>
  <c r="AO310" i="7"/>
  <c r="AP310" i="7"/>
  <c r="AQ310" i="7"/>
  <c r="AR310" i="7"/>
  <c r="AS310" i="7"/>
  <c r="AT310" i="7" s="1"/>
  <c r="AU310" i="7"/>
  <c r="AV310" i="7"/>
  <c r="AW310" i="7"/>
  <c r="AX310" i="7"/>
  <c r="AY310" i="7"/>
  <c r="AZ310" i="7" s="1"/>
  <c r="BB310" i="7"/>
  <c r="BC310" i="7"/>
  <c r="BD310" i="7"/>
  <c r="BE310" i="7"/>
  <c r="BF310" i="7"/>
  <c r="BG310" i="7"/>
  <c r="BH310" i="7"/>
  <c r="BI310" i="7"/>
  <c r="BJ310" i="7"/>
  <c r="Z311" i="7"/>
  <c r="AA311" i="7" s="1"/>
  <c r="AB311" i="7"/>
  <c r="AC311" i="7"/>
  <c r="AD311" i="7"/>
  <c r="AE311" i="7"/>
  <c r="AF311" i="7"/>
  <c r="AG311" i="7"/>
  <c r="AH311" i="7"/>
  <c r="AI311" i="7"/>
  <c r="AJ311" i="7"/>
  <c r="AK311" i="7"/>
  <c r="AL311" i="7"/>
  <c r="AO311" i="7"/>
  <c r="AP311" i="7"/>
  <c r="AQ311" i="7"/>
  <c r="AR311" i="7"/>
  <c r="AS311" i="7"/>
  <c r="AT311" i="7" s="1"/>
  <c r="AU311" i="7"/>
  <c r="AV311" i="7" s="1"/>
  <c r="AW311" i="7"/>
  <c r="AX311" i="7" s="1"/>
  <c r="AY311" i="7"/>
  <c r="AZ311" i="7" s="1"/>
  <c r="BB311" i="7"/>
  <c r="BC311" i="7"/>
  <c r="BD311" i="7"/>
  <c r="BE311" i="7"/>
  <c r="BF311" i="7"/>
  <c r="BG311" i="7"/>
  <c r="BH311" i="7"/>
  <c r="BI311" i="7"/>
  <c r="BJ311" i="7"/>
  <c r="Z312" i="7"/>
  <c r="AA312" i="7" s="1"/>
  <c r="AB312" i="7"/>
  <c r="AC312" i="7"/>
  <c r="AD312" i="7"/>
  <c r="AE312" i="7"/>
  <c r="AF312" i="7"/>
  <c r="AG312" i="7"/>
  <c r="AH312" i="7" s="1"/>
  <c r="AI312" i="7"/>
  <c r="AJ312" i="7"/>
  <c r="AK312" i="7"/>
  <c r="AL312" i="7"/>
  <c r="AO312" i="7"/>
  <c r="AP312" i="7"/>
  <c r="AQ312" i="7"/>
  <c r="AR312" i="7"/>
  <c r="AS312" i="7"/>
  <c r="AT312" i="7" s="1"/>
  <c r="AU312" i="7"/>
  <c r="AV312" i="7" s="1"/>
  <c r="AW312" i="7"/>
  <c r="AX312" i="7"/>
  <c r="AY312" i="7"/>
  <c r="AZ312" i="7"/>
  <c r="BB312" i="7"/>
  <c r="BC312" i="7"/>
  <c r="BD312" i="7"/>
  <c r="BE312" i="7"/>
  <c r="BF312" i="7"/>
  <c r="BG312" i="7"/>
  <c r="BH312" i="7"/>
  <c r="BI312" i="7"/>
  <c r="BJ312" i="7"/>
  <c r="Z313" i="7"/>
  <c r="AA313" i="7"/>
  <c r="AB313" i="7"/>
  <c r="AC313" i="7"/>
  <c r="AD313" i="7"/>
  <c r="AE313" i="7"/>
  <c r="AF313" i="7"/>
  <c r="AG313" i="7"/>
  <c r="AH313" i="7" s="1"/>
  <c r="AI313" i="7"/>
  <c r="AJ313" i="7"/>
  <c r="AK313" i="7"/>
  <c r="AL313" i="7"/>
  <c r="AO313" i="7"/>
  <c r="AP313" i="7"/>
  <c r="AQ313" i="7"/>
  <c r="AR313" i="7"/>
  <c r="AS313" i="7"/>
  <c r="AT313" i="7" s="1"/>
  <c r="AU313" i="7"/>
  <c r="AV313" i="7" s="1"/>
  <c r="AW313" i="7"/>
  <c r="AX313" i="7" s="1"/>
  <c r="AY313" i="7"/>
  <c r="AZ313" i="7"/>
  <c r="BB313" i="7"/>
  <c r="BC313" i="7"/>
  <c r="BD313" i="7"/>
  <c r="BE313" i="7"/>
  <c r="BF313" i="7"/>
  <c r="BG313" i="7"/>
  <c r="BH313" i="7"/>
  <c r="BI313" i="7"/>
  <c r="BJ313" i="7"/>
  <c r="Z314" i="7"/>
  <c r="AA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B314" i="7"/>
  <c r="BC314" i="7"/>
  <c r="BD314" i="7"/>
  <c r="BE314" i="7"/>
  <c r="BF314" i="7"/>
  <c r="BG314" i="7"/>
  <c r="BH314" i="7"/>
  <c r="BI314" i="7"/>
  <c r="BJ314" i="7"/>
  <c r="Z315" i="7"/>
  <c r="AA315" i="7" s="1"/>
  <c r="AB315" i="7"/>
  <c r="AC315" i="7"/>
  <c r="AD315" i="7"/>
  <c r="AE315" i="7"/>
  <c r="AF315" i="7"/>
  <c r="AG315" i="7"/>
  <c r="AH315" i="7" s="1"/>
  <c r="AI315" i="7"/>
  <c r="AJ315" i="7"/>
  <c r="AK315" i="7"/>
  <c r="AL315" i="7"/>
  <c r="AO315" i="7"/>
  <c r="AP315" i="7"/>
  <c r="AQ315" i="7"/>
  <c r="AR315" i="7"/>
  <c r="AS315" i="7"/>
  <c r="AT315" i="7" s="1"/>
  <c r="AU315" i="7"/>
  <c r="AV315" i="7"/>
  <c r="AW315" i="7"/>
  <c r="AX315" i="7" s="1"/>
  <c r="AY315" i="7"/>
  <c r="AZ315" i="7" s="1"/>
  <c r="BB315" i="7"/>
  <c r="BC315" i="7"/>
  <c r="BD315" i="7"/>
  <c r="BE315" i="7"/>
  <c r="BF315" i="7"/>
  <c r="BG315" i="7"/>
  <c r="BH315" i="7"/>
  <c r="BI315" i="7"/>
  <c r="BJ315" i="7"/>
  <c r="Z316" i="7"/>
  <c r="AA316" i="7" s="1"/>
  <c r="AB316" i="7"/>
  <c r="AC316" i="7"/>
  <c r="AD316" i="7"/>
  <c r="AE316" i="7"/>
  <c r="AF316" i="7"/>
  <c r="AG316" i="7"/>
  <c r="AH316" i="7" s="1"/>
  <c r="AI316" i="7"/>
  <c r="AJ316" i="7"/>
  <c r="AK316" i="7"/>
  <c r="AL316" i="7"/>
  <c r="AO316" i="7"/>
  <c r="AP316" i="7"/>
  <c r="AQ316" i="7"/>
  <c r="AR316" i="7"/>
  <c r="AS316" i="7"/>
  <c r="AT316" i="7" s="1"/>
  <c r="AU316" i="7"/>
  <c r="AV316" i="7" s="1"/>
  <c r="AW316" i="7"/>
  <c r="AX316" i="7" s="1"/>
  <c r="AY316" i="7"/>
  <c r="AZ316" i="7" s="1"/>
  <c r="BB316" i="7"/>
  <c r="BC316" i="7"/>
  <c r="BD316" i="7"/>
  <c r="BE316" i="7"/>
  <c r="BF316" i="7"/>
  <c r="BG316" i="7"/>
  <c r="BH316" i="7"/>
  <c r="BI316" i="7"/>
  <c r="BJ316" i="7"/>
  <c r="Z317" i="7"/>
  <c r="AA317" i="7" s="1"/>
  <c r="AB317" i="7"/>
  <c r="AC317" i="7"/>
  <c r="AD317" i="7"/>
  <c r="AE317" i="7"/>
  <c r="AF317" i="7"/>
  <c r="AG317" i="7"/>
  <c r="AH317" i="7"/>
  <c r="AI317" i="7"/>
  <c r="AJ317" i="7"/>
  <c r="AK317" i="7"/>
  <c r="AL317" i="7"/>
  <c r="AO317" i="7"/>
  <c r="AP317" i="7"/>
  <c r="AQ317" i="7"/>
  <c r="AR317" i="7"/>
  <c r="AS317" i="7"/>
  <c r="AT317" i="7"/>
  <c r="AU317" i="7"/>
  <c r="AV317" i="7" s="1"/>
  <c r="AW317" i="7"/>
  <c r="AX317" i="7" s="1"/>
  <c r="AY317" i="7"/>
  <c r="AZ317" i="7" s="1"/>
  <c r="BB317" i="7"/>
  <c r="BC317" i="7"/>
  <c r="BD317" i="7"/>
  <c r="BE317" i="7"/>
  <c r="BF317" i="7"/>
  <c r="BG317" i="7"/>
  <c r="BH317" i="7"/>
  <c r="BI317" i="7"/>
  <c r="BJ317" i="7"/>
  <c r="Z318" i="7"/>
  <c r="AA318" i="7" s="1"/>
  <c r="AB318" i="7"/>
  <c r="AC318" i="7"/>
  <c r="AD318" i="7"/>
  <c r="AE318" i="7"/>
  <c r="AF318" i="7"/>
  <c r="AG318" i="7"/>
  <c r="AH318" i="7" s="1"/>
  <c r="AI318" i="7"/>
  <c r="AJ318" i="7"/>
  <c r="AM318" i="7" s="1"/>
  <c r="AN318" i="7" s="1"/>
  <c r="AK318" i="7"/>
  <c r="AL318" i="7"/>
  <c r="AO318" i="7"/>
  <c r="AP318" i="7"/>
  <c r="AQ318" i="7"/>
  <c r="AR318" i="7"/>
  <c r="AS318" i="7"/>
  <c r="AT318" i="7" s="1"/>
  <c r="AU318" i="7"/>
  <c r="AV318" i="7"/>
  <c r="AW318" i="7"/>
  <c r="AX318" i="7" s="1"/>
  <c r="AY318" i="7"/>
  <c r="AZ318" i="7" s="1"/>
  <c r="BB318" i="7"/>
  <c r="BC318" i="7"/>
  <c r="BD318" i="7"/>
  <c r="BE318" i="7"/>
  <c r="BF318" i="7"/>
  <c r="BG318" i="7"/>
  <c r="BH318" i="7"/>
  <c r="BI318" i="7"/>
  <c r="BJ318" i="7"/>
  <c r="Z319" i="7"/>
  <c r="AA319" i="7" s="1"/>
  <c r="AB319" i="7"/>
  <c r="AC319" i="7"/>
  <c r="AD319" i="7"/>
  <c r="AE319" i="7"/>
  <c r="AF319" i="7"/>
  <c r="AG319" i="7"/>
  <c r="AH319" i="7" s="1"/>
  <c r="AI319" i="7"/>
  <c r="AJ319" i="7"/>
  <c r="AK319" i="7"/>
  <c r="AL319" i="7"/>
  <c r="AO319" i="7"/>
  <c r="AP319" i="7"/>
  <c r="AQ319" i="7"/>
  <c r="AR319" i="7"/>
  <c r="AS319" i="7"/>
  <c r="AT319" i="7"/>
  <c r="AU319" i="7"/>
  <c r="AV319" i="7"/>
  <c r="AW319" i="7"/>
  <c r="AX319" i="7" s="1"/>
  <c r="AY319" i="7"/>
  <c r="AZ319" i="7" s="1"/>
  <c r="BB319" i="7"/>
  <c r="BC319" i="7"/>
  <c r="BD319" i="7"/>
  <c r="BE319" i="7"/>
  <c r="BF319" i="7"/>
  <c r="BG319" i="7"/>
  <c r="BH319" i="7"/>
  <c r="BI319" i="7"/>
  <c r="BJ319" i="7"/>
  <c r="Z320" i="7"/>
  <c r="AA320" i="7" s="1"/>
  <c r="AB320" i="7"/>
  <c r="AC320" i="7"/>
  <c r="AD320" i="7"/>
  <c r="AE320" i="7"/>
  <c r="AF320" i="7"/>
  <c r="AG320" i="7"/>
  <c r="AH320" i="7" s="1"/>
  <c r="AI320" i="7"/>
  <c r="AJ320" i="7"/>
  <c r="AK320" i="7"/>
  <c r="AL320" i="7"/>
  <c r="AO320" i="7"/>
  <c r="AP320" i="7"/>
  <c r="AQ320" i="7"/>
  <c r="AR320" i="7"/>
  <c r="AS320" i="7"/>
  <c r="AT320" i="7"/>
  <c r="AU320" i="7"/>
  <c r="AV320" i="7"/>
  <c r="AW320" i="7"/>
  <c r="AX320" i="7"/>
  <c r="AY320" i="7"/>
  <c r="AZ320" i="7" s="1"/>
  <c r="BB320" i="7"/>
  <c r="BC320" i="7"/>
  <c r="BD320" i="7"/>
  <c r="BE320" i="7"/>
  <c r="BF320" i="7"/>
  <c r="BG320" i="7"/>
  <c r="BH320" i="7"/>
  <c r="BI320" i="7"/>
  <c r="BJ320" i="7"/>
  <c r="Z321" i="7"/>
  <c r="AA321" i="7" s="1"/>
  <c r="AB321" i="7"/>
  <c r="AC321" i="7"/>
  <c r="AD321" i="7"/>
  <c r="AE321" i="7"/>
  <c r="AF321" i="7"/>
  <c r="AG321" i="7"/>
  <c r="AH321" i="7"/>
  <c r="AI321" i="7"/>
  <c r="AJ321" i="7"/>
  <c r="AM321" i="7" s="1"/>
  <c r="AN321" i="7" s="1"/>
  <c r="AK321" i="7"/>
  <c r="AL321" i="7"/>
  <c r="AO321" i="7"/>
  <c r="AP321" i="7"/>
  <c r="AQ321" i="7"/>
  <c r="AR321" i="7"/>
  <c r="AS321" i="7"/>
  <c r="AT321" i="7"/>
  <c r="AU321" i="7"/>
  <c r="AV321" i="7" s="1"/>
  <c r="AW321" i="7"/>
  <c r="AX321" i="7" s="1"/>
  <c r="AY321" i="7"/>
  <c r="AZ321" i="7" s="1"/>
  <c r="BB321" i="7"/>
  <c r="BC321" i="7"/>
  <c r="BD321" i="7"/>
  <c r="BE321" i="7"/>
  <c r="BF321" i="7"/>
  <c r="BG321" i="7"/>
  <c r="BH321" i="7"/>
  <c r="BI321" i="7"/>
  <c r="BJ321" i="7"/>
  <c r="Z322" i="7"/>
  <c r="AA322" i="7"/>
  <c r="AB322" i="7"/>
  <c r="AC322" i="7"/>
  <c r="AD322" i="7"/>
  <c r="AE322" i="7"/>
  <c r="AF322" i="7"/>
  <c r="AG322" i="7"/>
  <c r="AH322" i="7" s="1"/>
  <c r="AI322" i="7"/>
  <c r="AJ322" i="7"/>
  <c r="AK322" i="7"/>
  <c r="AL322" i="7"/>
  <c r="AO322" i="7"/>
  <c r="AP322" i="7"/>
  <c r="AQ322" i="7"/>
  <c r="AR322" i="7"/>
  <c r="AS322" i="7"/>
  <c r="AT322" i="7" s="1"/>
  <c r="AU322" i="7"/>
  <c r="AV322" i="7" s="1"/>
  <c r="AW322" i="7"/>
  <c r="AX322" i="7"/>
  <c r="AY322" i="7"/>
  <c r="AZ322" i="7"/>
  <c r="BB322" i="7"/>
  <c r="BC322" i="7"/>
  <c r="BD322" i="7"/>
  <c r="BE322" i="7"/>
  <c r="BF322" i="7"/>
  <c r="BG322" i="7"/>
  <c r="BH322" i="7"/>
  <c r="BI322" i="7"/>
  <c r="BJ322" i="7"/>
  <c r="Z323" i="7"/>
  <c r="AA323" i="7"/>
  <c r="AB323" i="7"/>
  <c r="AC323" i="7"/>
  <c r="AD323" i="7"/>
  <c r="AE323" i="7"/>
  <c r="AF323" i="7"/>
  <c r="AG323" i="7"/>
  <c r="AH323" i="7" s="1"/>
  <c r="AI323" i="7"/>
  <c r="AJ323" i="7"/>
  <c r="AK323" i="7"/>
  <c r="AL323" i="7"/>
  <c r="AO323" i="7"/>
  <c r="AP323" i="7"/>
  <c r="AQ323" i="7"/>
  <c r="AR323" i="7"/>
  <c r="AS323" i="7"/>
  <c r="AT323" i="7" s="1"/>
  <c r="AU323" i="7"/>
  <c r="AV323" i="7"/>
  <c r="AW323" i="7"/>
  <c r="AX323" i="7"/>
  <c r="AY323" i="7"/>
  <c r="AZ323" i="7"/>
  <c r="BB323" i="7"/>
  <c r="BC323" i="7"/>
  <c r="BD323" i="7"/>
  <c r="BE323" i="7"/>
  <c r="BF323" i="7"/>
  <c r="BG323" i="7"/>
  <c r="BH323" i="7"/>
  <c r="BI323" i="7"/>
  <c r="BJ323" i="7"/>
  <c r="Z324" i="7"/>
  <c r="AA324" i="7"/>
  <c r="AB324" i="7"/>
  <c r="AC324" i="7"/>
  <c r="AD324" i="7"/>
  <c r="AE324" i="7"/>
  <c r="AF324" i="7"/>
  <c r="AG324" i="7"/>
  <c r="AH324" i="7" s="1"/>
  <c r="AI324" i="7"/>
  <c r="AJ324" i="7"/>
  <c r="AK324" i="7"/>
  <c r="AL324" i="7"/>
  <c r="AM324" i="7"/>
  <c r="AN324" i="7" s="1"/>
  <c r="AO324" i="7"/>
  <c r="AP324" i="7"/>
  <c r="AQ324" i="7"/>
  <c r="AR324" i="7"/>
  <c r="AS324" i="7"/>
  <c r="AT324" i="7" s="1"/>
  <c r="AU324" i="7"/>
  <c r="AV324" i="7" s="1"/>
  <c r="AW324" i="7"/>
  <c r="AX324" i="7" s="1"/>
  <c r="AY324" i="7"/>
  <c r="AZ324" i="7" s="1"/>
  <c r="BB324" i="7"/>
  <c r="BC324" i="7"/>
  <c r="BD324" i="7"/>
  <c r="BE324" i="7"/>
  <c r="BF324" i="7"/>
  <c r="BG324" i="7"/>
  <c r="BH324" i="7"/>
  <c r="BI324" i="7"/>
  <c r="BJ324" i="7"/>
  <c r="Z325" i="7"/>
  <c r="AA325" i="7" s="1"/>
  <c r="AB325" i="7"/>
  <c r="AC325" i="7"/>
  <c r="AD325" i="7"/>
  <c r="AE325" i="7"/>
  <c r="AF325" i="7"/>
  <c r="AG325" i="7"/>
  <c r="AH325" i="7"/>
  <c r="AI325" i="7"/>
  <c r="AJ325" i="7"/>
  <c r="AK325" i="7"/>
  <c r="AM325" i="7" s="1"/>
  <c r="AN325" i="7" s="1"/>
  <c r="AL325" i="7"/>
  <c r="AO325" i="7"/>
  <c r="AP325" i="7"/>
  <c r="AQ325" i="7"/>
  <c r="AR325" i="7"/>
  <c r="AS325" i="7"/>
  <c r="AT325" i="7" s="1"/>
  <c r="AU325" i="7"/>
  <c r="AV325" i="7" s="1"/>
  <c r="AW325" i="7"/>
  <c r="AX325" i="7" s="1"/>
  <c r="AY325" i="7"/>
  <c r="AZ325" i="7" s="1"/>
  <c r="BB325" i="7"/>
  <c r="BC325" i="7"/>
  <c r="BD325" i="7"/>
  <c r="BE325" i="7"/>
  <c r="BF325" i="7"/>
  <c r="BG325" i="7"/>
  <c r="BH325" i="7"/>
  <c r="BI325" i="7"/>
  <c r="BJ325" i="7"/>
  <c r="Z326" i="7"/>
  <c r="AA326" i="7" s="1"/>
  <c r="AB326" i="7"/>
  <c r="AC326" i="7"/>
  <c r="AD326" i="7"/>
  <c r="AE326" i="7"/>
  <c r="AF326" i="7"/>
  <c r="AG326" i="7"/>
  <c r="AH326" i="7"/>
  <c r="AI326" i="7"/>
  <c r="AJ326" i="7"/>
  <c r="AM326" i="7" s="1"/>
  <c r="AN326" i="7" s="1"/>
  <c r="AK326" i="7"/>
  <c r="AL326" i="7"/>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AB327" i="7"/>
  <c r="AC327" i="7"/>
  <c r="AD327" i="7"/>
  <c r="AE327" i="7"/>
  <c r="AF327" i="7"/>
  <c r="AG327" i="7"/>
  <c r="AH327" i="7" s="1"/>
  <c r="AI327" i="7"/>
  <c r="AJ327" i="7"/>
  <c r="AK327" i="7"/>
  <c r="AL327" i="7"/>
  <c r="AO327" i="7"/>
  <c r="AP327" i="7"/>
  <c r="AQ327" i="7"/>
  <c r="AR327" i="7"/>
  <c r="AS327" i="7"/>
  <c r="AT327" i="7" s="1"/>
  <c r="AU327" i="7"/>
  <c r="AV327" i="7" s="1"/>
  <c r="AW327" i="7"/>
  <c r="AX327" i="7" s="1"/>
  <c r="AY327" i="7"/>
  <c r="AZ327" i="7"/>
  <c r="BB327" i="7"/>
  <c r="BC327" i="7"/>
  <c r="BD327" i="7"/>
  <c r="BE327" i="7"/>
  <c r="BF327" i="7"/>
  <c r="BG327" i="7"/>
  <c r="BH327" i="7"/>
  <c r="BI327" i="7"/>
  <c r="BJ327" i="7"/>
  <c r="Z328" i="7"/>
  <c r="AA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s="1"/>
  <c r="BB328" i="7"/>
  <c r="BC328" i="7"/>
  <c r="BD328" i="7"/>
  <c r="BE328" i="7"/>
  <c r="BF328" i="7"/>
  <c r="BG328" i="7"/>
  <c r="BH328" i="7"/>
  <c r="BI328" i="7"/>
  <c r="BJ328" i="7"/>
  <c r="Z329" i="7"/>
  <c r="AA329" i="7" s="1"/>
  <c r="AB329" i="7"/>
  <c r="AC329" i="7"/>
  <c r="AD329" i="7"/>
  <c r="AE329" i="7"/>
  <c r="AF329" i="7"/>
  <c r="AG329" i="7"/>
  <c r="AH329" i="7"/>
  <c r="AI329" i="7"/>
  <c r="AJ329" i="7"/>
  <c r="AK329" i="7"/>
  <c r="AL329" i="7"/>
  <c r="AO329" i="7"/>
  <c r="AP329" i="7"/>
  <c r="AQ329" i="7"/>
  <c r="AR329" i="7"/>
  <c r="AS329" i="7"/>
  <c r="AT329" i="7" s="1"/>
  <c r="AU329" i="7"/>
  <c r="AV329" i="7" s="1"/>
  <c r="AW329" i="7"/>
  <c r="AX329" i="7"/>
  <c r="AY329" i="7"/>
  <c r="AZ329" i="7" s="1"/>
  <c r="BB329" i="7"/>
  <c r="BC329" i="7"/>
  <c r="BD329" i="7"/>
  <c r="BE329" i="7"/>
  <c r="BF329" i="7"/>
  <c r="BG329" i="7"/>
  <c r="BH329" i="7"/>
  <c r="BI329" i="7"/>
  <c r="BJ329" i="7"/>
  <c r="Z330" i="7"/>
  <c r="AA330" i="7" s="1"/>
  <c r="AB330" i="7"/>
  <c r="AC330" i="7"/>
  <c r="AD330" i="7"/>
  <c r="AE330" i="7"/>
  <c r="AF330" i="7"/>
  <c r="AG330" i="7"/>
  <c r="AH330" i="7" s="1"/>
  <c r="AI330" i="7"/>
  <c r="AJ330" i="7"/>
  <c r="AK330" i="7"/>
  <c r="AL330" i="7"/>
  <c r="AO330" i="7"/>
  <c r="AP330" i="7"/>
  <c r="AQ330" i="7"/>
  <c r="AR330" i="7"/>
  <c r="AS330" i="7"/>
  <c r="AT330" i="7" s="1"/>
  <c r="AU330" i="7"/>
  <c r="AV330" i="7" s="1"/>
  <c r="AW330" i="7"/>
  <c r="AX330" i="7" s="1"/>
  <c r="AY330" i="7"/>
  <c r="AZ330" i="7" s="1"/>
  <c r="BB330" i="7"/>
  <c r="BC330" i="7"/>
  <c r="BD330" i="7"/>
  <c r="BE330" i="7"/>
  <c r="BF330" i="7"/>
  <c r="BG330" i="7"/>
  <c r="BH330" i="7"/>
  <c r="BI330" i="7"/>
  <c r="BJ330" i="7"/>
  <c r="Z331" i="7"/>
  <c r="AA331" i="7" s="1"/>
  <c r="AB331" i="7"/>
  <c r="AC331" i="7"/>
  <c r="AD331" i="7"/>
  <c r="AE331" i="7"/>
  <c r="AF331" i="7"/>
  <c r="AG331" i="7"/>
  <c r="AH331" i="7" s="1"/>
  <c r="AI331" i="7"/>
  <c r="AJ331" i="7"/>
  <c r="AK331" i="7"/>
  <c r="AL331" i="7"/>
  <c r="AO331" i="7"/>
  <c r="AP331" i="7"/>
  <c r="AQ331" i="7"/>
  <c r="AR331" i="7"/>
  <c r="AS331" i="7"/>
  <c r="AT331" i="7"/>
  <c r="AU331" i="7"/>
  <c r="AV331" i="7" s="1"/>
  <c r="AW331" i="7"/>
  <c r="AX331" i="7" s="1"/>
  <c r="AY331" i="7"/>
  <c r="AZ331" i="7" s="1"/>
  <c r="BB331" i="7"/>
  <c r="BC331" i="7"/>
  <c r="BD331" i="7"/>
  <c r="BE331" i="7"/>
  <c r="BF331" i="7"/>
  <c r="BG331" i="7"/>
  <c r="BH331" i="7"/>
  <c r="BI331" i="7"/>
  <c r="BJ331" i="7"/>
  <c r="Z332" i="7"/>
  <c r="AA332" i="7"/>
  <c r="AB332" i="7"/>
  <c r="AC332" i="7"/>
  <c r="AD332" i="7"/>
  <c r="AE332" i="7"/>
  <c r="AF332" i="7"/>
  <c r="AG332" i="7"/>
  <c r="AH332" i="7" s="1"/>
  <c r="AI332" i="7"/>
  <c r="AJ332" i="7"/>
  <c r="AK332" i="7"/>
  <c r="AL332" i="7"/>
  <c r="AM332" i="7" s="1"/>
  <c r="AN332" i="7" s="1"/>
  <c r="AO332" i="7"/>
  <c r="AP332" i="7"/>
  <c r="AQ332" i="7"/>
  <c r="AR332" i="7"/>
  <c r="AS332" i="7"/>
  <c r="AT332" i="7" s="1"/>
  <c r="AU332" i="7"/>
  <c r="AV332" i="7" s="1"/>
  <c r="AW332" i="7"/>
  <c r="AX332" i="7" s="1"/>
  <c r="AY332" i="7"/>
  <c r="AZ332" i="7" s="1"/>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s="1"/>
  <c r="AO333" i="7"/>
  <c r="AP333" i="7"/>
  <c r="AQ333" i="7"/>
  <c r="AR333" i="7"/>
  <c r="AS333" i="7"/>
  <c r="AT333" i="7"/>
  <c r="AU333" i="7"/>
  <c r="AV333" i="7"/>
  <c r="AW333" i="7"/>
  <c r="AX333" i="7" s="1"/>
  <c r="AY333" i="7"/>
  <c r="AZ333" i="7"/>
  <c r="BB333" i="7"/>
  <c r="BC333" i="7"/>
  <c r="BD333" i="7"/>
  <c r="BE333" i="7"/>
  <c r="BF333" i="7"/>
  <c r="BG333" i="7"/>
  <c r="BH333" i="7"/>
  <c r="BI333" i="7"/>
  <c r="BJ333" i="7"/>
  <c r="Z334" i="7"/>
  <c r="AA334" i="7"/>
  <c r="AB334" i="7"/>
  <c r="AC334" i="7"/>
  <c r="AD334" i="7"/>
  <c r="AE334" i="7"/>
  <c r="AF334" i="7"/>
  <c r="AG334" i="7"/>
  <c r="AH334" i="7" s="1"/>
  <c r="AI334" i="7"/>
  <c r="AJ334" i="7"/>
  <c r="AM334" i="7" s="1"/>
  <c r="AN334" i="7" s="1"/>
  <c r="AK334" i="7"/>
  <c r="AL334" i="7"/>
  <c r="AO334" i="7"/>
  <c r="AP334" i="7" s="1"/>
  <c r="AQ334" i="7"/>
  <c r="AR334" i="7"/>
  <c r="AS334" i="7"/>
  <c r="AT334" i="7" s="1"/>
  <c r="AU334" i="7"/>
  <c r="AV334" i="7" s="1"/>
  <c r="AW334" i="7"/>
  <c r="AX334" i="7" s="1"/>
  <c r="AY334" i="7"/>
  <c r="AZ334" i="7" s="1"/>
  <c r="BB334" i="7"/>
  <c r="BC334" i="7"/>
  <c r="BD334" i="7"/>
  <c r="BE334" i="7"/>
  <c r="BF334" i="7"/>
  <c r="BG334" i="7"/>
  <c r="BH334" i="7"/>
  <c r="BI334" i="7"/>
  <c r="BJ334" i="7"/>
  <c r="Z335" i="7"/>
  <c r="AA335" i="7" s="1"/>
  <c r="AB335" i="7"/>
  <c r="AC335" i="7"/>
  <c r="AD335" i="7"/>
  <c r="AE335" i="7"/>
  <c r="AF335" i="7"/>
  <c r="AG335" i="7"/>
  <c r="AH335" i="7" s="1"/>
  <c r="AI335" i="7"/>
  <c r="AJ335" i="7"/>
  <c r="AM335" i="7" s="1"/>
  <c r="AN335" i="7" s="1"/>
  <c r="AK335" i="7"/>
  <c r="AL335" i="7"/>
  <c r="AO335" i="7"/>
  <c r="AP335" i="7"/>
  <c r="AQ335" i="7"/>
  <c r="AR335" i="7"/>
  <c r="AS335" i="7"/>
  <c r="AT335" i="7" s="1"/>
  <c r="AU335" i="7"/>
  <c r="AV335" i="7"/>
  <c r="AW335" i="7"/>
  <c r="AX335" i="7" s="1"/>
  <c r="AY335" i="7"/>
  <c r="AZ335" i="7" s="1"/>
  <c r="BB335" i="7"/>
  <c r="BC335" i="7"/>
  <c r="BD335" i="7"/>
  <c r="BE335" i="7"/>
  <c r="BF335" i="7"/>
  <c r="BG335" i="7"/>
  <c r="BH335" i="7"/>
  <c r="BI335" i="7"/>
  <c r="BJ335" i="7"/>
  <c r="Z336" i="7"/>
  <c r="AA336" i="7" s="1"/>
  <c r="AB336" i="7"/>
  <c r="AC336" i="7"/>
  <c r="AD336" i="7"/>
  <c r="AE336" i="7"/>
  <c r="AF336" i="7"/>
  <c r="AG336" i="7"/>
  <c r="AH336" i="7"/>
  <c r="AI336" i="7"/>
  <c r="AJ336" i="7"/>
  <c r="AM336" i="7" s="1"/>
  <c r="AN336" i="7" s="1"/>
  <c r="AK336" i="7"/>
  <c r="AL336" i="7"/>
  <c r="AO336" i="7"/>
  <c r="AP336" i="7" s="1"/>
  <c r="AQ336" i="7"/>
  <c r="AR336" i="7"/>
  <c r="AS336" i="7"/>
  <c r="AT336" i="7" s="1"/>
  <c r="AU336" i="7"/>
  <c r="AV336" i="7"/>
  <c r="AW336" i="7"/>
  <c r="AX336" i="7"/>
  <c r="AY336" i="7"/>
  <c r="AZ336" i="7" s="1"/>
  <c r="BB336" i="7"/>
  <c r="BC336" i="7"/>
  <c r="BD336" i="7"/>
  <c r="BE336" i="7"/>
  <c r="BF336" i="7"/>
  <c r="BG336" i="7"/>
  <c r="BH336" i="7"/>
  <c r="BI336" i="7"/>
  <c r="BJ336" i="7"/>
  <c r="Z337" i="7"/>
  <c r="AA337" i="7"/>
  <c r="AB337" i="7"/>
  <c r="AC337" i="7"/>
  <c r="AD337" i="7"/>
  <c r="AE337" i="7"/>
  <c r="AF337" i="7"/>
  <c r="AG337" i="7"/>
  <c r="AH337" i="7" s="1"/>
  <c r="AI337" i="7"/>
  <c r="AJ337" i="7"/>
  <c r="AK337" i="7"/>
  <c r="AL337" i="7"/>
  <c r="AO337" i="7"/>
  <c r="AP337" i="7" s="1"/>
  <c r="AQ337" i="7"/>
  <c r="AR337" i="7"/>
  <c r="AS337" i="7"/>
  <c r="AT337" i="7" s="1"/>
  <c r="AU337" i="7"/>
  <c r="AV337" i="7"/>
  <c r="AW337" i="7"/>
  <c r="AX337" i="7" s="1"/>
  <c r="AY337" i="7"/>
  <c r="AZ337" i="7" s="1"/>
  <c r="BB337" i="7"/>
  <c r="BC337" i="7"/>
  <c r="BD337" i="7"/>
  <c r="BE337" i="7"/>
  <c r="BF337" i="7"/>
  <c r="BG337" i="7"/>
  <c r="BH337" i="7"/>
  <c r="BI337" i="7"/>
  <c r="BJ337" i="7"/>
  <c r="Z338" i="7"/>
  <c r="AA338" i="7"/>
  <c r="AB338" i="7"/>
  <c r="AC338" i="7"/>
  <c r="AD338" i="7"/>
  <c r="AE338" i="7"/>
  <c r="AF338" i="7"/>
  <c r="AG338" i="7"/>
  <c r="AH338" i="7" s="1"/>
  <c r="AI338" i="7"/>
  <c r="AJ338" i="7"/>
  <c r="AK338" i="7"/>
  <c r="AM338" i="7" s="1"/>
  <c r="AN338" i="7" s="1"/>
  <c r="AL338" i="7"/>
  <c r="AO338" i="7"/>
  <c r="AP338" i="7"/>
  <c r="AQ338" i="7"/>
  <c r="AR338" i="7"/>
  <c r="AS338" i="7"/>
  <c r="AT338" i="7" s="1"/>
  <c r="AU338" i="7"/>
  <c r="AV338" i="7" s="1"/>
  <c r="AW338" i="7"/>
  <c r="AX338" i="7" s="1"/>
  <c r="AY338" i="7"/>
  <c r="AZ338" i="7" s="1"/>
  <c r="BB338" i="7"/>
  <c r="BC338" i="7"/>
  <c r="BD338" i="7"/>
  <c r="BE338" i="7"/>
  <c r="BF338" i="7"/>
  <c r="BG338" i="7"/>
  <c r="BH338" i="7"/>
  <c r="BI338" i="7"/>
  <c r="BJ338" i="7"/>
  <c r="Z339" i="7"/>
  <c r="AA339" i="7" s="1"/>
  <c r="AB339" i="7"/>
  <c r="AC339" i="7"/>
  <c r="AD339" i="7"/>
  <c r="AE339" i="7"/>
  <c r="AF339" i="7"/>
  <c r="AG339" i="7"/>
  <c r="AH339" i="7"/>
  <c r="AI339" i="7"/>
  <c r="AJ339" i="7"/>
  <c r="AM339" i="7" s="1"/>
  <c r="AN339" i="7" s="1"/>
  <c r="AK339" i="7"/>
  <c r="AL339" i="7"/>
  <c r="AO339" i="7"/>
  <c r="AP339" i="7" s="1"/>
  <c r="AQ339" i="7"/>
  <c r="AR339" i="7"/>
  <c r="AS339" i="7"/>
  <c r="AT339" i="7"/>
  <c r="AU339" i="7"/>
  <c r="AV339" i="7"/>
  <c r="AW339" i="7"/>
  <c r="AX339" i="7"/>
  <c r="AY339" i="7"/>
  <c r="AZ339" i="7"/>
  <c r="BB339" i="7"/>
  <c r="BC339" i="7"/>
  <c r="BD339" i="7"/>
  <c r="BE339" i="7"/>
  <c r="BF339" i="7"/>
  <c r="BG339" i="7"/>
  <c r="BH339" i="7"/>
  <c r="BI339" i="7"/>
  <c r="BJ339" i="7"/>
  <c r="Z340" i="7"/>
  <c r="AA340" i="7"/>
  <c r="AB340" i="7"/>
  <c r="AC340" i="7"/>
  <c r="AD340" i="7"/>
  <c r="AE340" i="7"/>
  <c r="AF340" i="7"/>
  <c r="AG340" i="7"/>
  <c r="AH340" i="7" s="1"/>
  <c r="AI340" i="7"/>
  <c r="AJ340" i="7"/>
  <c r="AK340" i="7"/>
  <c r="AL340" i="7"/>
  <c r="AO340" i="7"/>
  <c r="AP340" i="7"/>
  <c r="AQ340" i="7"/>
  <c r="AR340" i="7"/>
  <c r="AS340" i="7"/>
  <c r="AT340" i="7"/>
  <c r="AU340" i="7"/>
  <c r="AV340" i="7"/>
  <c r="AW340" i="7"/>
  <c r="AX340" i="7"/>
  <c r="AY340" i="7"/>
  <c r="AZ340" i="7"/>
  <c r="BB340" i="7"/>
  <c r="BC340" i="7"/>
  <c r="BD340" i="7"/>
  <c r="BE340" i="7"/>
  <c r="BF340" i="7"/>
  <c r="BG340" i="7"/>
  <c r="BH340" i="7"/>
  <c r="BI340" i="7"/>
  <c r="BJ340" i="7"/>
  <c r="Z341" i="7"/>
  <c r="AA341" i="7" s="1"/>
  <c r="AB341" i="7"/>
  <c r="AC341" i="7"/>
  <c r="AD341" i="7"/>
  <c r="AE341" i="7"/>
  <c r="AF341" i="7"/>
  <c r="AG341" i="7"/>
  <c r="AH341" i="7" s="1"/>
  <c r="AI341" i="7"/>
  <c r="AJ341" i="7"/>
  <c r="AM341" i="7" s="1"/>
  <c r="AN341" i="7" s="1"/>
  <c r="AK341" i="7"/>
  <c r="AL341" i="7"/>
  <c r="AO341" i="7"/>
  <c r="AP341" i="7" s="1"/>
  <c r="AQ341" i="7"/>
  <c r="AR341" i="7"/>
  <c r="AS341" i="7"/>
  <c r="AT341" i="7" s="1"/>
  <c r="AU341" i="7"/>
  <c r="AV341" i="7"/>
  <c r="AW341" i="7"/>
  <c r="AX341" i="7"/>
  <c r="AY341" i="7"/>
  <c r="AZ341" i="7" s="1"/>
  <c r="BB341" i="7"/>
  <c r="BC341" i="7"/>
  <c r="BD341" i="7"/>
  <c r="BE341" i="7"/>
  <c r="BF341" i="7"/>
  <c r="BG341" i="7"/>
  <c r="BH341" i="7"/>
  <c r="BI341" i="7"/>
  <c r="BJ341" i="7"/>
  <c r="Z342" i="7"/>
  <c r="AA342" i="7"/>
  <c r="AB342" i="7"/>
  <c r="AC342" i="7"/>
  <c r="AD342" i="7"/>
  <c r="AE342" i="7"/>
  <c r="AF342" i="7"/>
  <c r="AG342" i="7"/>
  <c r="AH342" i="7" s="1"/>
  <c r="AI342" i="7"/>
  <c r="AJ342" i="7"/>
  <c r="AK342" i="7"/>
  <c r="AL342" i="7"/>
  <c r="AO342" i="7"/>
  <c r="AP342" i="7" s="1"/>
  <c r="AQ342" i="7"/>
  <c r="AR342" i="7"/>
  <c r="AS342" i="7"/>
  <c r="AT342" i="7" s="1"/>
  <c r="AU342" i="7"/>
  <c r="AV342" i="7" s="1"/>
  <c r="AW342" i="7"/>
  <c r="AX342" i="7" s="1"/>
  <c r="AY342" i="7"/>
  <c r="AZ342" i="7" s="1"/>
  <c r="BB342" i="7"/>
  <c r="BC342" i="7"/>
  <c r="BD342" i="7"/>
  <c r="BE342" i="7"/>
  <c r="BF342" i="7"/>
  <c r="BG342" i="7"/>
  <c r="BH342" i="7"/>
  <c r="BI342" i="7"/>
  <c r="BJ342" i="7"/>
  <c r="Z343" i="7"/>
  <c r="AA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c r="BB343" i="7"/>
  <c r="BC343" i="7"/>
  <c r="BD343" i="7"/>
  <c r="BE343" i="7"/>
  <c r="BF343" i="7"/>
  <c r="BG343" i="7"/>
  <c r="BH343" i="7"/>
  <c r="BI343" i="7"/>
  <c r="BJ343" i="7"/>
  <c r="Z344" i="7"/>
  <c r="AA344" i="7"/>
  <c r="AB344" i="7"/>
  <c r="AC344" i="7"/>
  <c r="AD344" i="7"/>
  <c r="AE344" i="7"/>
  <c r="AF344" i="7"/>
  <c r="AG344" i="7"/>
  <c r="AH344" i="7"/>
  <c r="AI344" i="7"/>
  <c r="AJ344" i="7"/>
  <c r="AK344" i="7"/>
  <c r="AM344" i="7" s="1"/>
  <c r="AN344" i="7" s="1"/>
  <c r="AL344" i="7"/>
  <c r="AO344" i="7"/>
  <c r="AP344" i="7" s="1"/>
  <c r="AQ344" i="7"/>
  <c r="AR344" i="7"/>
  <c r="AS344" i="7"/>
  <c r="AT344" i="7" s="1"/>
  <c r="AU344" i="7"/>
  <c r="AV344" i="7" s="1"/>
  <c r="AW344" i="7"/>
  <c r="AX344" i="7" s="1"/>
  <c r="AY344" i="7"/>
  <c r="AZ344" i="7"/>
  <c r="BB344" i="7"/>
  <c r="BC344" i="7"/>
  <c r="BD344" i="7"/>
  <c r="BE344" i="7"/>
  <c r="BF344" i="7"/>
  <c r="BG344" i="7"/>
  <c r="BH344" i="7"/>
  <c r="BI344" i="7"/>
  <c r="BJ344" i="7"/>
  <c r="Z345" i="7"/>
  <c r="AA345" i="7" s="1"/>
  <c r="AB345" i="7"/>
  <c r="AC345" i="7"/>
  <c r="AD345" i="7"/>
  <c r="AE345" i="7"/>
  <c r="AF345" i="7"/>
  <c r="AG345" i="7"/>
  <c r="AH345" i="7" s="1"/>
  <c r="AI345" i="7"/>
  <c r="AJ345" i="7"/>
  <c r="AK345" i="7"/>
  <c r="AL345" i="7"/>
  <c r="AO345" i="7"/>
  <c r="AP345" i="7" s="1"/>
  <c r="AQ345" i="7"/>
  <c r="AR345" i="7"/>
  <c r="AS345" i="7"/>
  <c r="AT345" i="7" s="1"/>
  <c r="AU345" i="7"/>
  <c r="AV345" i="7" s="1"/>
  <c r="AW345" i="7"/>
  <c r="AX345" i="7" s="1"/>
  <c r="AY345" i="7"/>
  <c r="AZ345" i="7" s="1"/>
  <c r="BB345" i="7"/>
  <c r="BC345" i="7"/>
  <c r="BD345" i="7"/>
  <c r="BE345" i="7"/>
  <c r="BF345" i="7"/>
  <c r="BG345" i="7"/>
  <c r="BH345" i="7"/>
  <c r="BI345" i="7"/>
  <c r="BJ345" i="7"/>
  <c r="Z346" i="7"/>
  <c r="AA346" i="7" s="1"/>
  <c r="AB346" i="7"/>
  <c r="AC346" i="7"/>
  <c r="AD346" i="7"/>
  <c r="AE346" i="7"/>
  <c r="AF346" i="7"/>
  <c r="AG346" i="7"/>
  <c r="AH346" i="7" s="1"/>
  <c r="AI346" i="7"/>
  <c r="AJ346" i="7"/>
  <c r="AK346" i="7"/>
  <c r="AL346" i="7"/>
  <c r="AO346" i="7"/>
  <c r="AP346" i="7" s="1"/>
  <c r="AQ346" i="7"/>
  <c r="AR346" i="7"/>
  <c r="AS346" i="7"/>
  <c r="AT346" i="7"/>
  <c r="AU346" i="7"/>
  <c r="AV346" i="7" s="1"/>
  <c r="AW346" i="7"/>
  <c r="AX346" i="7" s="1"/>
  <c r="AY346" i="7"/>
  <c r="AZ346" i="7" s="1"/>
  <c r="BB346" i="7"/>
  <c r="BC346" i="7"/>
  <c r="BD346" i="7"/>
  <c r="BE346" i="7"/>
  <c r="BF346" i="7"/>
  <c r="BG346" i="7"/>
  <c r="BH346" i="7"/>
  <c r="BI346" i="7"/>
  <c r="BJ346" i="7"/>
  <c r="Z347" i="7"/>
  <c r="AA347" i="7" s="1"/>
  <c r="AB347" i="7"/>
  <c r="AC347" i="7"/>
  <c r="AD347" i="7"/>
  <c r="AE347" i="7"/>
  <c r="AF347" i="7"/>
  <c r="AG347" i="7"/>
  <c r="AH347" i="7"/>
  <c r="AI347" i="7"/>
  <c r="AJ347" i="7"/>
  <c r="AK347" i="7"/>
  <c r="AL347" i="7"/>
  <c r="AO347" i="7"/>
  <c r="AP347" i="7"/>
  <c r="AQ347" i="7"/>
  <c r="AR347" i="7"/>
  <c r="AS347" i="7"/>
  <c r="AT347" i="7" s="1"/>
  <c r="AU347" i="7"/>
  <c r="AV347" i="7" s="1"/>
  <c r="AW347" i="7"/>
  <c r="AX347" i="7" s="1"/>
  <c r="AY347" i="7"/>
  <c r="AZ347" i="7"/>
  <c r="BB347" i="7"/>
  <c r="BC347" i="7"/>
  <c r="BD347" i="7"/>
  <c r="BE347" i="7"/>
  <c r="BF347" i="7"/>
  <c r="BG347" i="7"/>
  <c r="BH347" i="7"/>
  <c r="BI347" i="7"/>
  <c r="BJ347" i="7"/>
  <c r="Z348" i="7"/>
  <c r="AA348" i="7"/>
  <c r="AB348" i="7"/>
  <c r="AC348" i="7"/>
  <c r="AD348" i="7"/>
  <c r="AE348" i="7"/>
  <c r="AF348" i="7"/>
  <c r="AG348" i="7"/>
  <c r="AH348" i="7" s="1"/>
  <c r="AI348" i="7"/>
  <c r="AJ348" i="7"/>
  <c r="AK348" i="7"/>
  <c r="AL348" i="7"/>
  <c r="AO348" i="7"/>
  <c r="AP348" i="7" s="1"/>
  <c r="AQ348" i="7"/>
  <c r="AR348" i="7"/>
  <c r="AS348" i="7"/>
  <c r="AT348" i="7" s="1"/>
  <c r="AU348" i="7"/>
  <c r="AV348" i="7" s="1"/>
  <c r="AW348" i="7"/>
  <c r="AX348" i="7" s="1"/>
  <c r="AY348" i="7"/>
  <c r="AZ348" i="7"/>
  <c r="BB348" i="7"/>
  <c r="BC348" i="7"/>
  <c r="BD348" i="7"/>
  <c r="BE348" i="7"/>
  <c r="BF348" i="7"/>
  <c r="BG348" i="7"/>
  <c r="BH348" i="7"/>
  <c r="BI348" i="7"/>
  <c r="BJ348" i="7"/>
  <c r="Z349" i="7"/>
  <c r="AA349" i="7" s="1"/>
  <c r="AB349" i="7"/>
  <c r="AC349" i="7"/>
  <c r="AD349" i="7"/>
  <c r="AE349" i="7"/>
  <c r="AF349" i="7"/>
  <c r="AG349" i="7"/>
  <c r="AH349" i="7" s="1"/>
  <c r="AI349" i="7"/>
  <c r="AJ349" i="7"/>
  <c r="AK349" i="7"/>
  <c r="AL349" i="7"/>
  <c r="AO349" i="7"/>
  <c r="AP349" i="7" s="1"/>
  <c r="AQ349" i="7"/>
  <c r="AR349" i="7"/>
  <c r="AS349" i="7"/>
  <c r="AT349" i="7"/>
  <c r="AU349" i="7"/>
  <c r="AV349" i="7" s="1"/>
  <c r="AW349" i="7"/>
  <c r="AX349" i="7" s="1"/>
  <c r="AY349" i="7"/>
  <c r="AZ349" i="7" s="1"/>
  <c r="BB349" i="7"/>
  <c r="BC349" i="7"/>
  <c r="BD349" i="7"/>
  <c r="BE349" i="7"/>
  <c r="BF349" i="7"/>
  <c r="BG349" i="7"/>
  <c r="BH349" i="7"/>
  <c r="BI349" i="7"/>
  <c r="BJ349" i="7"/>
  <c r="Z350" i="7"/>
  <c r="AA350" i="7" s="1"/>
  <c r="AB350" i="7"/>
  <c r="AC350" i="7"/>
  <c r="AD350" i="7"/>
  <c r="AE350" i="7"/>
  <c r="AF350" i="7"/>
  <c r="AG350" i="7"/>
  <c r="AH350" i="7"/>
  <c r="AI350" i="7"/>
  <c r="AJ350" i="7"/>
  <c r="AM350" i="7" s="1"/>
  <c r="AN350" i="7" s="1"/>
  <c r="AK350" i="7"/>
  <c r="AL350" i="7"/>
  <c r="AO350" i="7"/>
  <c r="AP350" i="7" s="1"/>
  <c r="AQ350" i="7"/>
  <c r="AR350" i="7"/>
  <c r="AS350" i="7"/>
  <c r="AT350" i="7" s="1"/>
  <c r="AU350" i="7"/>
  <c r="AV350" i="7"/>
  <c r="AW350" i="7"/>
  <c r="AX350" i="7" s="1"/>
  <c r="AY350" i="7"/>
  <c r="AZ350" i="7" s="1"/>
  <c r="BB350" i="7"/>
  <c r="BC350" i="7"/>
  <c r="BD350" i="7"/>
  <c r="BE350" i="7"/>
  <c r="BF350" i="7"/>
  <c r="BG350" i="7"/>
  <c r="BH350" i="7"/>
  <c r="BI350" i="7"/>
  <c r="BJ350" i="7"/>
  <c r="Z351" i="7"/>
  <c r="AA351" i="7" s="1"/>
  <c r="AB351" i="7"/>
  <c r="AC351" i="7"/>
  <c r="AD351" i="7"/>
  <c r="AE351" i="7"/>
  <c r="AF351" i="7"/>
  <c r="AG351" i="7"/>
  <c r="AH351" i="7" s="1"/>
  <c r="AI351" i="7"/>
  <c r="AJ351" i="7"/>
  <c r="AK351" i="7"/>
  <c r="AL351" i="7"/>
  <c r="AO351" i="7"/>
  <c r="AP351" i="7"/>
  <c r="AQ351" i="7"/>
  <c r="AR351" i="7"/>
  <c r="AS351" i="7"/>
  <c r="AT351" i="7" s="1"/>
  <c r="AU351" i="7"/>
  <c r="AV351" i="7" s="1"/>
  <c r="AW351" i="7"/>
  <c r="AX351" i="7" s="1"/>
  <c r="AY351" i="7"/>
  <c r="AZ351" i="7"/>
  <c r="BB351" i="7"/>
  <c r="BC351" i="7"/>
  <c r="BD351" i="7"/>
  <c r="BE351" i="7"/>
  <c r="BF351" i="7"/>
  <c r="BG351" i="7"/>
  <c r="BH351" i="7"/>
  <c r="BI351" i="7"/>
  <c r="BJ351" i="7"/>
  <c r="Z352" i="7"/>
  <c r="AA352" i="7"/>
  <c r="AB352" i="7"/>
  <c r="AC352" i="7"/>
  <c r="AD352" i="7"/>
  <c r="AE352" i="7"/>
  <c r="AF352" i="7"/>
  <c r="AG352" i="7"/>
  <c r="AH352" i="7"/>
  <c r="AI352" i="7"/>
  <c r="AJ352" i="7"/>
  <c r="AK352" i="7"/>
  <c r="AM352" i="7" s="1"/>
  <c r="AN352" i="7" s="1"/>
  <c r="AL352" i="7"/>
  <c r="AO352" i="7"/>
  <c r="AP352" i="7" s="1"/>
  <c r="AQ352" i="7"/>
  <c r="AR352" i="7"/>
  <c r="AS352" i="7"/>
  <c r="AT352" i="7" s="1"/>
  <c r="AU352" i="7"/>
  <c r="AV352" i="7" s="1"/>
  <c r="AW352" i="7"/>
  <c r="AX352" i="7"/>
  <c r="AY352" i="7"/>
  <c r="AZ352" i="7"/>
  <c r="BB352" i="7"/>
  <c r="BC352" i="7"/>
  <c r="BD352" i="7"/>
  <c r="BE352" i="7"/>
  <c r="BF352" i="7"/>
  <c r="BG352" i="7"/>
  <c r="BH352" i="7"/>
  <c r="BI352" i="7"/>
  <c r="BJ352" i="7"/>
  <c r="Z353" i="7"/>
  <c r="AA353" i="7" s="1"/>
  <c r="AB353" i="7"/>
  <c r="AC353" i="7"/>
  <c r="AD353" i="7"/>
  <c r="AE353" i="7"/>
  <c r="AF353" i="7"/>
  <c r="AG353" i="7"/>
  <c r="AH353" i="7" s="1"/>
  <c r="AI353" i="7"/>
  <c r="AJ353" i="7"/>
  <c r="AK353" i="7"/>
  <c r="AL353" i="7"/>
  <c r="AO353" i="7"/>
  <c r="AP353" i="7" s="1"/>
  <c r="AQ353" i="7"/>
  <c r="AR353" i="7"/>
  <c r="AS353" i="7"/>
  <c r="AT353" i="7" s="1"/>
  <c r="AU353" i="7"/>
  <c r="AV353" i="7"/>
  <c r="AW353" i="7"/>
  <c r="AX353" i="7"/>
  <c r="AY353" i="7"/>
  <c r="AZ353" i="7"/>
  <c r="BB353" i="7"/>
  <c r="BC353" i="7"/>
  <c r="BD353" i="7"/>
  <c r="BE353" i="7"/>
  <c r="BF353" i="7"/>
  <c r="BG353" i="7"/>
  <c r="BH353" i="7"/>
  <c r="BI353" i="7"/>
  <c r="BJ353" i="7"/>
  <c r="Z354" i="7"/>
  <c r="AA354" i="7" s="1"/>
  <c r="AB354" i="7"/>
  <c r="AC354" i="7"/>
  <c r="AD354" i="7"/>
  <c r="AE354" i="7"/>
  <c r="AF354" i="7"/>
  <c r="AG354" i="7"/>
  <c r="AH354" i="7" s="1"/>
  <c r="AI354" i="7"/>
  <c r="AJ354" i="7"/>
  <c r="AK354" i="7"/>
  <c r="AL354" i="7"/>
  <c r="AM354" i="7"/>
  <c r="AN354" i="7" s="1"/>
  <c r="AO354" i="7"/>
  <c r="AP354" i="7" s="1"/>
  <c r="AQ354" i="7"/>
  <c r="AR354" i="7"/>
  <c r="AS354" i="7"/>
  <c r="AT354" i="7" s="1"/>
  <c r="AU354" i="7"/>
  <c r="AV354" i="7" s="1"/>
  <c r="AW354" i="7"/>
  <c r="AX354" i="7" s="1"/>
  <c r="AY354" i="7"/>
  <c r="AZ354" i="7"/>
  <c r="BB354" i="7"/>
  <c r="BC354" i="7"/>
  <c r="BD354" i="7"/>
  <c r="BE354" i="7"/>
  <c r="BF354" i="7"/>
  <c r="BG354" i="7"/>
  <c r="BH354" i="7"/>
  <c r="BI354" i="7"/>
  <c r="BJ354" i="7"/>
  <c r="Z355" i="7"/>
  <c r="AA355" i="7" s="1"/>
  <c r="AB355" i="7"/>
  <c r="AC355" i="7"/>
  <c r="AD355" i="7"/>
  <c r="AE355" i="7"/>
  <c r="AF355" i="7"/>
  <c r="AG355" i="7"/>
  <c r="AH355" i="7" s="1"/>
  <c r="AI355" i="7"/>
  <c r="AJ355" i="7"/>
  <c r="AK355" i="7"/>
  <c r="AL355" i="7"/>
  <c r="AM355" i="7"/>
  <c r="AN355" i="7" s="1"/>
  <c r="AO355" i="7"/>
  <c r="AP355" i="7"/>
  <c r="AQ355" i="7"/>
  <c r="AR355" i="7"/>
  <c r="AS355" i="7"/>
  <c r="AT355" i="7" s="1"/>
  <c r="AU355" i="7"/>
  <c r="AV355" i="7"/>
  <c r="AW355" i="7"/>
  <c r="AX355" i="7"/>
  <c r="AY355" i="7"/>
  <c r="AZ355" i="7"/>
  <c r="BB355" i="7"/>
  <c r="BC355" i="7"/>
  <c r="BD355" i="7"/>
  <c r="BE355" i="7"/>
  <c r="BF355" i="7"/>
  <c r="BG355" i="7"/>
  <c r="BH355" i="7"/>
  <c r="BI355" i="7"/>
  <c r="BJ355" i="7"/>
  <c r="Z356" i="7"/>
  <c r="AA356" i="7"/>
  <c r="AB356" i="7"/>
  <c r="AC356" i="7"/>
  <c r="AD356" i="7"/>
  <c r="AE356" i="7"/>
  <c r="AF356" i="7"/>
  <c r="AG356" i="7"/>
  <c r="AH356" i="7" s="1"/>
  <c r="AI356" i="7"/>
  <c r="AJ356" i="7"/>
  <c r="AM356" i="7" s="1"/>
  <c r="AN356" i="7" s="1"/>
  <c r="AK356" i="7"/>
  <c r="AL356" i="7"/>
  <c r="AO356" i="7"/>
  <c r="AP356" i="7" s="1"/>
  <c r="AQ356" i="7"/>
  <c r="AR356" i="7"/>
  <c r="AS356" i="7"/>
  <c r="AT356" i="7" s="1"/>
  <c r="AU356" i="7"/>
  <c r="AV356" i="7"/>
  <c r="AW356" i="7"/>
  <c r="AX356" i="7" s="1"/>
  <c r="AY356" i="7"/>
  <c r="AZ356" i="7" s="1"/>
  <c r="BB356" i="7"/>
  <c r="BC356" i="7"/>
  <c r="BD356" i="7"/>
  <c r="BE356" i="7"/>
  <c r="BF356" i="7"/>
  <c r="BG356" i="7"/>
  <c r="BH356" i="7"/>
  <c r="BI356" i="7"/>
  <c r="BJ356" i="7"/>
  <c r="Z357" i="7"/>
  <c r="AA357" i="7" s="1"/>
  <c r="AB357" i="7"/>
  <c r="AC357" i="7"/>
  <c r="AD357" i="7"/>
  <c r="AE357" i="7"/>
  <c r="AF357" i="7"/>
  <c r="AG357" i="7"/>
  <c r="AH357" i="7" s="1"/>
  <c r="AI357" i="7"/>
  <c r="AJ357" i="7"/>
  <c r="AK357" i="7"/>
  <c r="AL357" i="7"/>
  <c r="AO357" i="7"/>
  <c r="AP357" i="7" s="1"/>
  <c r="AQ357" i="7"/>
  <c r="AR357" i="7"/>
  <c r="AS357" i="7"/>
  <c r="AT357" i="7" s="1"/>
  <c r="AU357" i="7"/>
  <c r="AV357" i="7" s="1"/>
  <c r="AW357" i="7"/>
  <c r="AX357" i="7"/>
  <c r="AY357" i="7"/>
  <c r="AZ357" i="7" s="1"/>
  <c r="BB357" i="7"/>
  <c r="BC357" i="7"/>
  <c r="BD357" i="7"/>
  <c r="BE357" i="7"/>
  <c r="BF357" i="7"/>
  <c r="BG357" i="7"/>
  <c r="BH357" i="7"/>
  <c r="BI357" i="7"/>
  <c r="BJ357" i="7"/>
  <c r="Z358" i="7"/>
  <c r="AA358" i="7" s="1"/>
  <c r="AB358" i="7"/>
  <c r="AC358" i="7"/>
  <c r="AD358" i="7"/>
  <c r="AE358" i="7"/>
  <c r="AF358" i="7"/>
  <c r="AG358" i="7"/>
  <c r="AH358" i="7"/>
  <c r="AI358" i="7"/>
  <c r="AJ358" i="7"/>
  <c r="AM358" i="7" s="1"/>
  <c r="AN358" i="7" s="1"/>
  <c r="AK358" i="7"/>
  <c r="AL358" i="7"/>
  <c r="AO358" i="7"/>
  <c r="AP358" i="7" s="1"/>
  <c r="AQ358" i="7"/>
  <c r="AR358" i="7"/>
  <c r="AS358" i="7"/>
  <c r="AT358" i="7" s="1"/>
  <c r="AU358" i="7"/>
  <c r="AV358" i="7" s="1"/>
  <c r="AW358" i="7"/>
  <c r="AX358" i="7"/>
  <c r="AY358" i="7"/>
  <c r="AZ358" i="7" s="1"/>
  <c r="BB358" i="7"/>
  <c r="BC358" i="7"/>
  <c r="BD358" i="7"/>
  <c r="BE358" i="7"/>
  <c r="BF358" i="7"/>
  <c r="BG358" i="7"/>
  <c r="BH358" i="7"/>
  <c r="BI358" i="7"/>
  <c r="BJ358" i="7"/>
  <c r="Z359" i="7"/>
  <c r="AA359" i="7" s="1"/>
  <c r="AB359" i="7"/>
  <c r="AC359" i="7"/>
  <c r="AD359" i="7"/>
  <c r="AE359" i="7"/>
  <c r="AF359" i="7"/>
  <c r="AG359" i="7"/>
  <c r="AH359" i="7" s="1"/>
  <c r="AI359" i="7"/>
  <c r="AJ359" i="7"/>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AB360" i="7"/>
  <c r="AC360" i="7"/>
  <c r="AD360" i="7"/>
  <c r="AE360" i="7"/>
  <c r="AF360" i="7"/>
  <c r="AG360" i="7"/>
  <c r="AH360" i="7" s="1"/>
  <c r="AI360" i="7"/>
  <c r="AJ360" i="7"/>
  <c r="AK360" i="7"/>
  <c r="AL360" i="7"/>
  <c r="AO360" i="7"/>
  <c r="AP360" i="7"/>
  <c r="AQ360" i="7"/>
  <c r="AR360" i="7"/>
  <c r="AS360" i="7"/>
  <c r="AT360" i="7"/>
  <c r="AU360" i="7"/>
  <c r="AV360" i="7" s="1"/>
  <c r="AW360" i="7"/>
  <c r="AX360" i="7" s="1"/>
  <c r="AY360" i="7"/>
  <c r="AZ360" i="7"/>
  <c r="BB360" i="7"/>
  <c r="BC360" i="7"/>
  <c r="BD360" i="7"/>
  <c r="BE360" i="7"/>
  <c r="BF360" i="7"/>
  <c r="BG360" i="7"/>
  <c r="BH360" i="7"/>
  <c r="BI360" i="7"/>
  <c r="BJ360" i="7"/>
  <c r="Z361" i="7"/>
  <c r="AA361" i="7" s="1"/>
  <c r="AB361" i="7"/>
  <c r="AC361" i="7"/>
  <c r="AD361" i="7"/>
  <c r="AE361" i="7"/>
  <c r="AF361" i="7"/>
  <c r="AG361" i="7"/>
  <c r="AH361" i="7" s="1"/>
  <c r="AI361" i="7"/>
  <c r="AJ361" i="7"/>
  <c r="AK361" i="7"/>
  <c r="AL361" i="7"/>
  <c r="AM361" i="7"/>
  <c r="AN361" i="7" s="1"/>
  <c r="AO361" i="7"/>
  <c r="AP361" i="7" s="1"/>
  <c r="AQ361" i="7"/>
  <c r="AR361" i="7"/>
  <c r="AS361" i="7"/>
  <c r="AT361" i="7" s="1"/>
  <c r="AU361" i="7"/>
  <c r="AV361" i="7"/>
  <c r="AW361" i="7"/>
  <c r="AX361" i="7" s="1"/>
  <c r="AY361" i="7"/>
  <c r="AZ361" i="7" s="1"/>
  <c r="BB361" i="7"/>
  <c r="BC361" i="7"/>
  <c r="BD361" i="7"/>
  <c r="BE361" i="7"/>
  <c r="BF361" i="7"/>
  <c r="BG361" i="7"/>
  <c r="BH361" i="7"/>
  <c r="BI361" i="7"/>
  <c r="BJ361" i="7"/>
  <c r="Z362" i="7"/>
  <c r="AA362" i="7" s="1"/>
  <c r="AB362" i="7"/>
  <c r="AC362" i="7"/>
  <c r="AD362" i="7"/>
  <c r="AE362" i="7"/>
  <c r="AF362" i="7"/>
  <c r="AG362" i="7"/>
  <c r="AH362" i="7" s="1"/>
  <c r="AI362" i="7"/>
  <c r="AJ362" i="7"/>
  <c r="AK362" i="7"/>
  <c r="AL362" i="7"/>
  <c r="AM362" i="7" s="1"/>
  <c r="AN362" i="7" s="1"/>
  <c r="AO362" i="7"/>
  <c r="AP362" i="7" s="1"/>
  <c r="AQ362" i="7"/>
  <c r="AR362" i="7"/>
  <c r="AS362" i="7"/>
  <c r="AT362" i="7" s="1"/>
  <c r="AU362" i="7"/>
  <c r="AV362" i="7" s="1"/>
  <c r="AW362" i="7"/>
  <c r="AX362" i="7" s="1"/>
  <c r="AY362" i="7"/>
  <c r="AZ362" i="7" s="1"/>
  <c r="BB362" i="7"/>
  <c r="BC362" i="7"/>
  <c r="BD362" i="7"/>
  <c r="BE362" i="7"/>
  <c r="BF362" i="7"/>
  <c r="BG362" i="7"/>
  <c r="BH362" i="7"/>
  <c r="BI362" i="7"/>
  <c r="BJ362" i="7"/>
  <c r="Z363" i="7"/>
  <c r="AA363" i="7" s="1"/>
  <c r="AB363" i="7"/>
  <c r="AC363" i="7"/>
  <c r="AD363" i="7"/>
  <c r="AE363" i="7"/>
  <c r="AF363" i="7"/>
  <c r="AG363" i="7"/>
  <c r="AH363" i="7" s="1"/>
  <c r="AI363" i="7"/>
  <c r="AJ363" i="7"/>
  <c r="AK363" i="7"/>
  <c r="AM363" i="7" s="1"/>
  <c r="AN363" i="7" s="1"/>
  <c r="AL363" i="7"/>
  <c r="AO363" i="7"/>
  <c r="AP363" i="7" s="1"/>
  <c r="AQ363" i="7"/>
  <c r="AR363" i="7"/>
  <c r="AS363" i="7"/>
  <c r="AT363" i="7" s="1"/>
  <c r="AU363" i="7"/>
  <c r="AV363" i="7" s="1"/>
  <c r="AW363" i="7"/>
  <c r="AX363" i="7"/>
  <c r="AY363" i="7"/>
  <c r="AZ363" i="7" s="1"/>
  <c r="BB363" i="7"/>
  <c r="BC363" i="7"/>
  <c r="BD363" i="7"/>
  <c r="BE363" i="7"/>
  <c r="BF363" i="7"/>
  <c r="BG363" i="7"/>
  <c r="BH363" i="7"/>
  <c r="BI363" i="7"/>
  <c r="BJ363" i="7"/>
  <c r="Z364" i="7"/>
  <c r="AA364" i="7"/>
  <c r="AB364" i="7"/>
  <c r="AC364" i="7"/>
  <c r="AD364" i="7"/>
  <c r="AE364" i="7"/>
  <c r="AF364" i="7"/>
  <c r="AG364" i="7"/>
  <c r="AH364" i="7" s="1"/>
  <c r="AI364" i="7"/>
  <c r="AJ364" i="7"/>
  <c r="AK364" i="7"/>
  <c r="AM364" i="7" s="1"/>
  <c r="AN364" i="7" s="1"/>
  <c r="AL364" i="7"/>
  <c r="AO364" i="7"/>
  <c r="AP364" i="7"/>
  <c r="AQ364" i="7"/>
  <c r="AR364" i="7"/>
  <c r="AS364" i="7"/>
  <c r="AT364" i="7"/>
  <c r="AU364" i="7"/>
  <c r="AV364" i="7"/>
  <c r="AW364" i="7"/>
  <c r="AX364" i="7"/>
  <c r="AY364" i="7"/>
  <c r="AZ364" i="7" s="1"/>
  <c r="BB364" i="7"/>
  <c r="BC364" i="7"/>
  <c r="BD364" i="7"/>
  <c r="BE364" i="7"/>
  <c r="BF364" i="7"/>
  <c r="BG364" i="7"/>
  <c r="BH364" i="7"/>
  <c r="BI364" i="7"/>
  <c r="BJ364" i="7"/>
  <c r="Z365" i="7"/>
  <c r="AA365" i="7"/>
  <c r="AB365" i="7"/>
  <c r="AC365" i="7"/>
  <c r="AD365" i="7"/>
  <c r="AE365" i="7"/>
  <c r="AF365" i="7"/>
  <c r="AG365" i="7"/>
  <c r="AH365" i="7" s="1"/>
  <c r="AI365" i="7"/>
  <c r="AJ365" i="7"/>
  <c r="AK365" i="7"/>
  <c r="AL365" i="7"/>
  <c r="AO365" i="7"/>
  <c r="AP365" i="7" s="1"/>
  <c r="AQ365" i="7"/>
  <c r="AR365" i="7"/>
  <c r="AS365" i="7"/>
  <c r="AT365" i="7"/>
  <c r="AU365" i="7"/>
  <c r="AV365" i="7" s="1"/>
  <c r="AW365" i="7"/>
  <c r="AX365" i="7" s="1"/>
  <c r="AY365" i="7"/>
  <c r="AZ365" i="7"/>
  <c r="BB365" i="7"/>
  <c r="BC365" i="7"/>
  <c r="BD365" i="7"/>
  <c r="BE365" i="7"/>
  <c r="BF365" i="7"/>
  <c r="BG365" i="7"/>
  <c r="BH365" i="7"/>
  <c r="BI365" i="7"/>
  <c r="BJ365" i="7"/>
  <c r="Z366" i="7"/>
  <c r="AA366" i="7" s="1"/>
  <c r="AB366" i="7"/>
  <c r="AC366" i="7"/>
  <c r="AD366" i="7"/>
  <c r="AE366" i="7"/>
  <c r="AF366" i="7"/>
  <c r="AG366" i="7"/>
  <c r="AH366" i="7"/>
  <c r="AI366" i="7"/>
  <c r="AJ366" i="7"/>
  <c r="AK366" i="7"/>
  <c r="AL366" i="7"/>
  <c r="AO366" i="7"/>
  <c r="AP366" i="7"/>
  <c r="AQ366" i="7"/>
  <c r="AR366" i="7"/>
  <c r="AS366" i="7"/>
  <c r="AT366" i="7" s="1"/>
  <c r="AU366" i="7"/>
  <c r="AV366" i="7" s="1"/>
  <c r="AW366" i="7"/>
  <c r="AX366" i="7" s="1"/>
  <c r="AY366" i="7"/>
  <c r="AZ366" i="7" s="1"/>
  <c r="BB366" i="7"/>
  <c r="BC366" i="7"/>
  <c r="BD366" i="7"/>
  <c r="BE366" i="7"/>
  <c r="BF366" i="7"/>
  <c r="BG366" i="7"/>
  <c r="BH366" i="7"/>
  <c r="BI366" i="7"/>
  <c r="BJ366" i="7"/>
  <c r="Z367" i="7"/>
  <c r="AA367" i="7" s="1"/>
  <c r="AB367" i="7"/>
  <c r="AC367" i="7"/>
  <c r="AD367" i="7"/>
  <c r="AE367" i="7"/>
  <c r="AF367" i="7"/>
  <c r="AG367" i="7"/>
  <c r="AH367" i="7"/>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AB368" i="7"/>
  <c r="AC368" i="7"/>
  <c r="AD368" i="7"/>
  <c r="AE368" i="7"/>
  <c r="AF368" i="7"/>
  <c r="AG368" i="7"/>
  <c r="AH368" i="7" s="1"/>
  <c r="AI368" i="7"/>
  <c r="AJ368" i="7"/>
  <c r="AM368" i="7" s="1"/>
  <c r="AN368" i="7" s="1"/>
  <c r="AK368" i="7"/>
  <c r="AL368" i="7"/>
  <c r="AO368" i="7"/>
  <c r="AP368" i="7" s="1"/>
  <c r="AQ368" i="7"/>
  <c r="AR368" i="7"/>
  <c r="AS368" i="7"/>
  <c r="AT368" i="7" s="1"/>
  <c r="AU368" i="7"/>
  <c r="AV368" i="7" s="1"/>
  <c r="AW368" i="7"/>
  <c r="AX368" i="7"/>
  <c r="AY368" i="7"/>
  <c r="AZ368" i="7"/>
  <c r="BB368" i="7"/>
  <c r="BC368" i="7"/>
  <c r="BD368" i="7"/>
  <c r="BE368" i="7"/>
  <c r="BF368" i="7"/>
  <c r="BG368" i="7"/>
  <c r="BH368" i="7"/>
  <c r="BI368" i="7"/>
  <c r="BJ368" i="7"/>
  <c r="Z369" i="7"/>
  <c r="AA369" i="7" s="1"/>
  <c r="AB369" i="7"/>
  <c r="AC369" i="7"/>
  <c r="AD369" i="7"/>
  <c r="AE369" i="7"/>
  <c r="AF369" i="7"/>
  <c r="AG369" i="7"/>
  <c r="AH369" i="7"/>
  <c r="AI369" i="7"/>
  <c r="AJ369" i="7"/>
  <c r="AK369" i="7"/>
  <c r="AL369" i="7"/>
  <c r="AO369" i="7"/>
  <c r="AP369" i="7" s="1"/>
  <c r="AQ369" i="7"/>
  <c r="AR369" i="7"/>
  <c r="AS369" i="7"/>
  <c r="AT369" i="7" s="1"/>
  <c r="AU369" i="7"/>
  <c r="AV369" i="7" s="1"/>
  <c r="AW369" i="7"/>
  <c r="AX369" i="7" s="1"/>
  <c r="AY369" i="7"/>
  <c r="AZ369" i="7" s="1"/>
  <c r="BB369" i="7"/>
  <c r="BC369" i="7"/>
  <c r="BD369" i="7"/>
  <c r="BE369" i="7"/>
  <c r="BF369" i="7"/>
  <c r="BG369" i="7"/>
  <c r="BH369" i="7"/>
  <c r="BI369" i="7"/>
  <c r="BJ369" i="7"/>
  <c r="Z370" i="7"/>
  <c r="AA370" i="7" s="1"/>
  <c r="AB370" i="7"/>
  <c r="AC370" i="7"/>
  <c r="AD370" i="7"/>
  <c r="AE370" i="7"/>
  <c r="AF370" i="7"/>
  <c r="AG370" i="7"/>
  <c r="AH370" i="7" s="1"/>
  <c r="AI370" i="7"/>
  <c r="AJ370" i="7"/>
  <c r="AK370" i="7"/>
  <c r="AL370" i="7"/>
  <c r="AO370" i="7"/>
  <c r="AP370" i="7" s="1"/>
  <c r="AQ370" i="7"/>
  <c r="AR370" i="7"/>
  <c r="AS370" i="7"/>
  <c r="AT370" i="7"/>
  <c r="AU370" i="7"/>
  <c r="AV370" i="7" s="1"/>
  <c r="AW370" i="7"/>
  <c r="AX370" i="7" s="1"/>
  <c r="AY370" i="7"/>
  <c r="AZ370" i="7" s="1"/>
  <c r="BB370" i="7"/>
  <c r="BC370" i="7"/>
  <c r="BD370" i="7"/>
  <c r="BE370" i="7"/>
  <c r="BF370" i="7"/>
  <c r="BG370" i="7"/>
  <c r="BH370" i="7"/>
  <c r="BI370" i="7"/>
  <c r="BJ370" i="7"/>
  <c r="Z371" i="7"/>
  <c r="AA371" i="7" s="1"/>
  <c r="AB371" i="7"/>
  <c r="AC371" i="7"/>
  <c r="AD371" i="7"/>
  <c r="AE371" i="7"/>
  <c r="AF371" i="7"/>
  <c r="AG371" i="7"/>
  <c r="AH371" i="7" s="1"/>
  <c r="AI371" i="7"/>
  <c r="AJ371" i="7"/>
  <c r="AK371" i="7"/>
  <c r="AL371" i="7"/>
  <c r="AO371" i="7"/>
  <c r="AP371" i="7" s="1"/>
  <c r="AQ371" i="7"/>
  <c r="AR371" i="7"/>
  <c r="AS371" i="7"/>
  <c r="AT371" i="7" s="1"/>
  <c r="AU371" i="7"/>
  <c r="AV371" i="7"/>
  <c r="AW371" i="7"/>
  <c r="AX371" i="7" s="1"/>
  <c r="AY371" i="7"/>
  <c r="AZ371" i="7" s="1"/>
  <c r="BB371" i="7"/>
  <c r="BC371" i="7"/>
  <c r="BD371" i="7"/>
  <c r="BE371" i="7"/>
  <c r="BF371" i="7"/>
  <c r="BG371" i="7"/>
  <c r="BH371" i="7"/>
  <c r="BI371" i="7"/>
  <c r="BJ371" i="7"/>
  <c r="Z372" i="7"/>
  <c r="AA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B372" i="7"/>
  <c r="BC372" i="7"/>
  <c r="BD372" i="7"/>
  <c r="BE372" i="7"/>
  <c r="BF372" i="7"/>
  <c r="BG372" i="7"/>
  <c r="BH372" i="7"/>
  <c r="BI372" i="7"/>
  <c r="BJ372" i="7"/>
  <c r="Z373" i="7"/>
  <c r="AA373" i="7" s="1"/>
  <c r="AB373" i="7"/>
  <c r="AC373" i="7"/>
  <c r="AD373" i="7"/>
  <c r="AE373" i="7"/>
  <c r="AF373" i="7"/>
  <c r="AG373" i="7"/>
  <c r="AH373" i="7"/>
  <c r="AI373" i="7"/>
  <c r="AJ373" i="7"/>
  <c r="AK373" i="7"/>
  <c r="AL373" i="7"/>
  <c r="AO373" i="7"/>
  <c r="AP373" i="7" s="1"/>
  <c r="AQ373" i="7"/>
  <c r="AR373" i="7"/>
  <c r="AS373" i="7"/>
  <c r="AT373" i="7" s="1"/>
  <c r="AU373" i="7"/>
  <c r="AV373" i="7" s="1"/>
  <c r="AW373" i="7"/>
  <c r="AX373" i="7" s="1"/>
  <c r="AY373" i="7"/>
  <c r="AZ373" i="7" s="1"/>
  <c r="BB373" i="7"/>
  <c r="BC373" i="7"/>
  <c r="BD373" i="7"/>
  <c r="BE373" i="7"/>
  <c r="BF373" i="7"/>
  <c r="BG373" i="7"/>
  <c r="BH373" i="7"/>
  <c r="BI373" i="7"/>
  <c r="BJ373" i="7"/>
  <c r="Z374" i="7"/>
  <c r="AA374" i="7"/>
  <c r="AB374" i="7"/>
  <c r="AC374" i="7"/>
  <c r="AD374" i="7"/>
  <c r="AE374" i="7"/>
  <c r="AF374" i="7"/>
  <c r="AG374" i="7"/>
  <c r="AH374" i="7" s="1"/>
  <c r="AI374" i="7"/>
  <c r="AJ374" i="7"/>
  <c r="AK374" i="7"/>
  <c r="AL374" i="7"/>
  <c r="AO374" i="7"/>
  <c r="AP374" i="7" s="1"/>
  <c r="AQ374" i="7"/>
  <c r="AR374" i="7"/>
  <c r="AS374" i="7"/>
  <c r="AT374" i="7" s="1"/>
  <c r="AU374" i="7"/>
  <c r="AV374" i="7" s="1"/>
  <c r="AW374" i="7"/>
  <c r="AX374" i="7" s="1"/>
  <c r="AY374" i="7"/>
  <c r="AZ374" i="7" s="1"/>
  <c r="BB374" i="7"/>
  <c r="BC374" i="7"/>
  <c r="BD374" i="7"/>
  <c r="BE374" i="7"/>
  <c r="BF374" i="7"/>
  <c r="BG374" i="7"/>
  <c r="BH374" i="7"/>
  <c r="BI374" i="7"/>
  <c r="BJ374" i="7"/>
  <c r="Z375" i="7"/>
  <c r="AA375" i="7"/>
  <c r="AB375" i="7"/>
  <c r="AC375" i="7"/>
  <c r="AD375" i="7"/>
  <c r="AE375" i="7"/>
  <c r="AF375" i="7"/>
  <c r="AG375" i="7"/>
  <c r="AH375" i="7" s="1"/>
  <c r="AI375" i="7"/>
  <c r="AJ375" i="7"/>
  <c r="AK375" i="7"/>
  <c r="AL375" i="7"/>
  <c r="AO375" i="7"/>
  <c r="AP375" i="7"/>
  <c r="AQ375" i="7"/>
  <c r="AR375" i="7"/>
  <c r="AS375" i="7"/>
  <c r="AT375" i="7"/>
  <c r="AU375" i="7"/>
  <c r="AV375" i="7" s="1"/>
  <c r="AW375" i="7"/>
  <c r="AX375" i="7" s="1"/>
  <c r="AY375" i="7"/>
  <c r="AZ375" i="7"/>
  <c r="BB375" i="7"/>
  <c r="BC375" i="7"/>
  <c r="BD375" i="7"/>
  <c r="BE375" i="7"/>
  <c r="BF375" i="7"/>
  <c r="BG375" i="7"/>
  <c r="BH375" i="7"/>
  <c r="BI375" i="7"/>
  <c r="BJ375" i="7"/>
  <c r="Z376" i="7"/>
  <c r="AA376" i="7" s="1"/>
  <c r="AB376" i="7"/>
  <c r="AC376" i="7"/>
  <c r="AD376" i="7"/>
  <c r="AE376" i="7"/>
  <c r="AF376" i="7"/>
  <c r="AG376" i="7"/>
  <c r="AH376" i="7" s="1"/>
  <c r="AI376" i="7"/>
  <c r="AJ376" i="7"/>
  <c r="AK376" i="7"/>
  <c r="AM376" i="7" s="1"/>
  <c r="AN376" i="7" s="1"/>
  <c r="AL376" i="7"/>
  <c r="AO376" i="7"/>
  <c r="AP376" i="7"/>
  <c r="AQ376" i="7"/>
  <c r="AR376" i="7"/>
  <c r="AS376" i="7"/>
  <c r="AT376" i="7" s="1"/>
  <c r="AU376" i="7"/>
  <c r="AV376" i="7" s="1"/>
  <c r="AW376" i="7"/>
  <c r="AX376" i="7" s="1"/>
  <c r="AY376" i="7"/>
  <c r="AZ376" i="7" s="1"/>
  <c r="BB376" i="7"/>
  <c r="BC376" i="7"/>
  <c r="BD376" i="7"/>
  <c r="BE376" i="7"/>
  <c r="BF376" i="7"/>
  <c r="BG376" i="7"/>
  <c r="BH376" i="7"/>
  <c r="BI376" i="7"/>
  <c r="BJ376" i="7"/>
  <c r="Z377" i="7"/>
  <c r="AA377" i="7" s="1"/>
  <c r="AB377" i="7"/>
  <c r="AC377" i="7"/>
  <c r="AD377" i="7"/>
  <c r="AE377" i="7"/>
  <c r="AF377" i="7"/>
  <c r="AG377" i="7"/>
  <c r="AH377" i="7" s="1"/>
  <c r="AI377" i="7"/>
  <c r="AJ377" i="7"/>
  <c r="AK377" i="7"/>
  <c r="AM377" i="7" s="1"/>
  <c r="AN377" i="7" s="1"/>
  <c r="AL377" i="7"/>
  <c r="AO377" i="7"/>
  <c r="AP377" i="7" s="1"/>
  <c r="AQ377" i="7"/>
  <c r="AR377" i="7"/>
  <c r="AS377" i="7"/>
  <c r="AT377" i="7" s="1"/>
  <c r="AU377" i="7"/>
  <c r="AV377" i="7"/>
  <c r="AW377" i="7"/>
  <c r="AX377" i="7" s="1"/>
  <c r="AY377" i="7"/>
  <c r="AZ377" i="7" s="1"/>
  <c r="BB377" i="7"/>
  <c r="BC377" i="7"/>
  <c r="BD377" i="7"/>
  <c r="BE377" i="7"/>
  <c r="BF377" i="7"/>
  <c r="BG377" i="7"/>
  <c r="BH377" i="7"/>
  <c r="BI377" i="7"/>
  <c r="BJ377" i="7"/>
  <c r="Z378" i="7"/>
  <c r="AA378" i="7" s="1"/>
  <c r="AB378" i="7"/>
  <c r="AC378" i="7"/>
  <c r="AD378" i="7"/>
  <c r="AE378" i="7"/>
  <c r="AF378" i="7"/>
  <c r="AG378" i="7"/>
  <c r="AH378" i="7" s="1"/>
  <c r="AI378" i="7"/>
  <c r="AJ378" i="7"/>
  <c r="AK378" i="7"/>
  <c r="AL378" i="7"/>
  <c r="AO378" i="7"/>
  <c r="AP378" i="7" s="1"/>
  <c r="AQ378" i="7"/>
  <c r="AR378" i="7"/>
  <c r="AS378" i="7"/>
  <c r="AT378" i="7"/>
  <c r="AU378" i="7"/>
  <c r="AV378" i="7"/>
  <c r="AW378" i="7"/>
  <c r="AX378" i="7" s="1"/>
  <c r="AY378" i="7"/>
  <c r="AZ378" i="7" s="1"/>
  <c r="BB378" i="7"/>
  <c r="BC378" i="7"/>
  <c r="BD378" i="7"/>
  <c r="BE378" i="7"/>
  <c r="BF378" i="7"/>
  <c r="BG378" i="7"/>
  <c r="BH378" i="7"/>
  <c r="BI378" i="7"/>
  <c r="BJ378" i="7"/>
  <c r="Z379" i="7"/>
  <c r="AA379" i="7" s="1"/>
  <c r="AB379" i="7"/>
  <c r="AC379" i="7"/>
  <c r="AD379" i="7"/>
  <c r="AE379" i="7"/>
  <c r="AF379" i="7"/>
  <c r="AG379" i="7"/>
  <c r="AH379" i="7"/>
  <c r="AI379" i="7"/>
  <c r="AJ379" i="7"/>
  <c r="AK379" i="7"/>
  <c r="AL379" i="7"/>
  <c r="AO379" i="7"/>
  <c r="AP379" i="7" s="1"/>
  <c r="AQ379" i="7"/>
  <c r="AR379" i="7"/>
  <c r="AS379" i="7"/>
  <c r="AT379" i="7" s="1"/>
  <c r="AU379" i="7"/>
  <c r="AV379" i="7" s="1"/>
  <c r="AW379" i="7"/>
  <c r="AX379" i="7"/>
  <c r="AY379" i="7"/>
  <c r="AZ379" i="7" s="1"/>
  <c r="BB379" i="7"/>
  <c r="BC379" i="7"/>
  <c r="BD379" i="7"/>
  <c r="BE379" i="7"/>
  <c r="BF379" i="7"/>
  <c r="BG379" i="7"/>
  <c r="BH379" i="7"/>
  <c r="BI379" i="7"/>
  <c r="BJ379" i="7"/>
  <c r="Z380" i="7"/>
  <c r="AA380" i="7"/>
  <c r="AB380" i="7"/>
  <c r="AC380" i="7"/>
  <c r="AD380" i="7"/>
  <c r="AE380" i="7"/>
  <c r="AF380" i="7"/>
  <c r="AG380" i="7"/>
  <c r="AH380" i="7" s="1"/>
  <c r="AI380" i="7"/>
  <c r="AJ380" i="7"/>
  <c r="AK380" i="7"/>
  <c r="AM380" i="7" s="1"/>
  <c r="AN380" i="7" s="1"/>
  <c r="AL380" i="7"/>
  <c r="AO380" i="7"/>
  <c r="AP380" i="7" s="1"/>
  <c r="AQ380" i="7"/>
  <c r="AR380" i="7"/>
  <c r="AS380" i="7"/>
  <c r="AT380" i="7"/>
  <c r="AU380" i="7"/>
  <c r="AV380" i="7"/>
  <c r="AW380" i="7"/>
  <c r="AX380" i="7"/>
  <c r="AY380" i="7"/>
  <c r="AZ380" i="7" s="1"/>
  <c r="BB380" i="7"/>
  <c r="BC380" i="7"/>
  <c r="BD380" i="7"/>
  <c r="BE380" i="7"/>
  <c r="BF380" i="7"/>
  <c r="BG380" i="7"/>
  <c r="BH380" i="7"/>
  <c r="BI380" i="7"/>
  <c r="BJ380" i="7"/>
  <c r="Z381" i="7"/>
  <c r="AA381" i="7" s="1"/>
  <c r="AB381" i="7"/>
  <c r="AC381" i="7"/>
  <c r="AD381" i="7"/>
  <c r="AE381" i="7"/>
  <c r="AF381" i="7"/>
  <c r="AG381" i="7"/>
  <c r="AH381" i="7" s="1"/>
  <c r="AI381" i="7"/>
  <c r="AJ381" i="7"/>
  <c r="AK381" i="7"/>
  <c r="AL381" i="7"/>
  <c r="AO381" i="7"/>
  <c r="AP381" i="7"/>
  <c r="AQ381" i="7"/>
  <c r="AR381" i="7"/>
  <c r="AS381" i="7"/>
  <c r="AT381" i="7" s="1"/>
  <c r="AU381" i="7"/>
  <c r="AV381" i="7"/>
  <c r="AW381" i="7"/>
  <c r="AX381" i="7" s="1"/>
  <c r="AY381" i="7"/>
  <c r="AZ381" i="7"/>
  <c r="BB381" i="7"/>
  <c r="BC381" i="7"/>
  <c r="BD381" i="7"/>
  <c r="BE381" i="7"/>
  <c r="BF381" i="7"/>
  <c r="BG381" i="7"/>
  <c r="BH381" i="7"/>
  <c r="BI381" i="7"/>
  <c r="BJ381" i="7"/>
  <c r="Z382" i="7"/>
  <c r="AA382" i="7" s="1"/>
  <c r="AB382" i="7"/>
  <c r="AC382" i="7"/>
  <c r="AD382" i="7"/>
  <c r="AE382" i="7"/>
  <c r="AF382" i="7"/>
  <c r="AG382" i="7"/>
  <c r="AH382" i="7" s="1"/>
  <c r="AI382" i="7"/>
  <c r="AJ382" i="7"/>
  <c r="AM382" i="7" s="1"/>
  <c r="AN382" i="7" s="1"/>
  <c r="AK382" i="7"/>
  <c r="AL382" i="7"/>
  <c r="AO382" i="7"/>
  <c r="AP382" i="7" s="1"/>
  <c r="AQ382" i="7"/>
  <c r="AR382" i="7"/>
  <c r="AS382" i="7"/>
  <c r="AT382" i="7" s="1"/>
  <c r="AU382" i="7"/>
  <c r="AV382" i="7"/>
  <c r="AW382" i="7"/>
  <c r="AX382" i="7"/>
  <c r="AY382" i="7"/>
  <c r="AZ382" i="7" s="1"/>
  <c r="BB382" i="7"/>
  <c r="BC382" i="7"/>
  <c r="BD382" i="7"/>
  <c r="BE382" i="7"/>
  <c r="BF382" i="7"/>
  <c r="BG382" i="7"/>
  <c r="BH382" i="7"/>
  <c r="BI382" i="7"/>
  <c r="BJ382" i="7"/>
  <c r="Z383" i="7"/>
  <c r="AA383" i="7"/>
  <c r="AB383" i="7"/>
  <c r="AC383" i="7"/>
  <c r="AD383" i="7"/>
  <c r="AE383" i="7"/>
  <c r="AF383" i="7"/>
  <c r="AG383" i="7"/>
  <c r="AH383" i="7" s="1"/>
  <c r="AI383" i="7"/>
  <c r="AJ383" i="7"/>
  <c r="AK383" i="7"/>
  <c r="AL383" i="7"/>
  <c r="AO383" i="7"/>
  <c r="AP383" i="7" s="1"/>
  <c r="AQ383" i="7"/>
  <c r="AR383" i="7"/>
  <c r="AS383" i="7"/>
  <c r="AT383" i="7"/>
  <c r="AU383" i="7"/>
  <c r="AV383" i="7"/>
  <c r="AW383" i="7"/>
  <c r="AX383" i="7" s="1"/>
  <c r="AY383" i="7"/>
  <c r="AZ383" i="7" s="1"/>
  <c r="BB383" i="7"/>
  <c r="BC383" i="7"/>
  <c r="BD383" i="7"/>
  <c r="BE383" i="7"/>
  <c r="BF383" i="7"/>
  <c r="BG383" i="7"/>
  <c r="BH383" i="7"/>
  <c r="BI383" i="7"/>
  <c r="BJ383" i="7"/>
  <c r="Z384" i="7"/>
  <c r="AA384" i="7" s="1"/>
  <c r="AB384" i="7"/>
  <c r="AC384" i="7"/>
  <c r="AD384" i="7"/>
  <c r="AE384" i="7"/>
  <c r="AF384" i="7"/>
  <c r="AG384" i="7"/>
  <c r="AH384" i="7"/>
  <c r="AI384" i="7"/>
  <c r="AJ384" i="7"/>
  <c r="AK384" i="7"/>
  <c r="AL384" i="7"/>
  <c r="AO384" i="7"/>
  <c r="AP384" i="7" s="1"/>
  <c r="AQ384" i="7"/>
  <c r="AR384" i="7"/>
  <c r="AS384" i="7"/>
  <c r="AT384" i="7" s="1"/>
  <c r="AU384" i="7"/>
  <c r="AV384" i="7" s="1"/>
  <c r="AW384" i="7"/>
  <c r="AX384" i="7" s="1"/>
  <c r="AY384" i="7"/>
  <c r="AZ384" i="7" s="1"/>
  <c r="BB384" i="7"/>
  <c r="BC384" i="7"/>
  <c r="BD384" i="7"/>
  <c r="BE384" i="7"/>
  <c r="BF384" i="7"/>
  <c r="BG384" i="7"/>
  <c r="BH384" i="7"/>
  <c r="BI384" i="7"/>
  <c r="BJ384" i="7"/>
  <c r="Z385" i="7"/>
  <c r="AA385" i="7"/>
  <c r="AB385" i="7"/>
  <c r="AC385" i="7"/>
  <c r="AD385" i="7"/>
  <c r="AE385" i="7"/>
  <c r="AF385" i="7"/>
  <c r="AG385" i="7"/>
  <c r="AH385" i="7"/>
  <c r="AI385" i="7"/>
  <c r="AJ385" i="7"/>
  <c r="AK385" i="7"/>
  <c r="AL385" i="7"/>
  <c r="AO385" i="7"/>
  <c r="AP385" i="7" s="1"/>
  <c r="AQ385" i="7"/>
  <c r="AR385" i="7"/>
  <c r="AS385" i="7"/>
  <c r="AT385" i="7"/>
  <c r="AU385" i="7"/>
  <c r="AV385" i="7" s="1"/>
  <c r="AW385" i="7"/>
  <c r="AX385" i="7"/>
  <c r="AY385" i="7"/>
  <c r="AZ385" i="7"/>
  <c r="BB385" i="7"/>
  <c r="BC385" i="7"/>
  <c r="BD385" i="7"/>
  <c r="BE385" i="7"/>
  <c r="BF385" i="7"/>
  <c r="BG385" i="7"/>
  <c r="BH385" i="7"/>
  <c r="BI385" i="7"/>
  <c r="BJ385" i="7"/>
  <c r="Z386" i="7"/>
  <c r="AA386" i="7" s="1"/>
  <c r="AB386" i="7"/>
  <c r="AC386" i="7"/>
  <c r="AD386" i="7"/>
  <c r="AE386" i="7"/>
  <c r="AF386" i="7"/>
  <c r="AG386" i="7"/>
  <c r="AH386" i="7" s="1"/>
  <c r="AI386" i="7"/>
  <c r="AJ386" i="7"/>
  <c r="AK386" i="7"/>
  <c r="AL386" i="7"/>
  <c r="AO386" i="7"/>
  <c r="AP386" i="7" s="1"/>
  <c r="AQ386" i="7"/>
  <c r="AR386" i="7"/>
  <c r="AS386" i="7"/>
  <c r="AT386" i="7" s="1"/>
  <c r="AU386" i="7"/>
  <c r="AV386" i="7" s="1"/>
  <c r="AW386" i="7"/>
  <c r="AX386" i="7" s="1"/>
  <c r="AY386" i="7"/>
  <c r="AZ386" i="7" s="1"/>
  <c r="BB386" i="7"/>
  <c r="BC386" i="7"/>
  <c r="BD386" i="7"/>
  <c r="BE386" i="7"/>
  <c r="BF386" i="7"/>
  <c r="BG386" i="7"/>
  <c r="BH386" i="7"/>
  <c r="BI386" i="7"/>
  <c r="BJ386" i="7"/>
  <c r="Z387" i="7"/>
  <c r="AA387" i="7" s="1"/>
  <c r="AB387" i="7"/>
  <c r="AC387" i="7"/>
  <c r="AD387" i="7"/>
  <c r="AE387" i="7"/>
  <c r="AF387" i="7"/>
  <c r="AG387" i="7"/>
  <c r="AH387" i="7" s="1"/>
  <c r="AI387" i="7"/>
  <c r="AJ387" i="7"/>
  <c r="AM387" i="7" s="1"/>
  <c r="AN387" i="7" s="1"/>
  <c r="AK387" i="7"/>
  <c r="AL387" i="7"/>
  <c r="AO387" i="7"/>
  <c r="AP387" i="7"/>
  <c r="AQ387" i="7"/>
  <c r="AR387" i="7"/>
  <c r="AS387" i="7"/>
  <c r="AT387" i="7" s="1"/>
  <c r="AU387" i="7"/>
  <c r="AV387" i="7" s="1"/>
  <c r="AW387" i="7"/>
  <c r="AX387" i="7" s="1"/>
  <c r="AY387" i="7"/>
  <c r="AZ387" i="7" s="1"/>
  <c r="BB387" i="7"/>
  <c r="BC387" i="7"/>
  <c r="BD387" i="7"/>
  <c r="BE387" i="7"/>
  <c r="BF387" i="7"/>
  <c r="BG387" i="7"/>
  <c r="BH387" i="7"/>
  <c r="BI387" i="7"/>
  <c r="BJ387" i="7"/>
  <c r="Z388" i="7"/>
  <c r="AA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B388" i="7"/>
  <c r="BC388" i="7"/>
  <c r="BD388" i="7"/>
  <c r="BE388" i="7"/>
  <c r="BF388" i="7"/>
  <c r="BG388" i="7"/>
  <c r="BH388" i="7"/>
  <c r="BI388" i="7"/>
  <c r="BJ388" i="7"/>
  <c r="Z389" i="7"/>
  <c r="AA389" i="7" s="1"/>
  <c r="AB389" i="7"/>
  <c r="AC389" i="7"/>
  <c r="AD389" i="7"/>
  <c r="AE389" i="7"/>
  <c r="AF389" i="7"/>
  <c r="AG389" i="7"/>
  <c r="AH389" i="7"/>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B390" i="7"/>
  <c r="BC390" i="7"/>
  <c r="BD390" i="7"/>
  <c r="BE390" i="7"/>
  <c r="BF390" i="7"/>
  <c r="BG390" i="7"/>
  <c r="BH390" i="7"/>
  <c r="BI390" i="7"/>
  <c r="BJ390" i="7"/>
  <c r="Z391" i="7"/>
  <c r="AA391" i="7" s="1"/>
  <c r="AB391" i="7"/>
  <c r="AC391" i="7"/>
  <c r="AD391" i="7"/>
  <c r="AE391" i="7"/>
  <c r="AF391" i="7"/>
  <c r="AG391" i="7"/>
  <c r="AH391" i="7" s="1"/>
  <c r="AI391" i="7"/>
  <c r="AJ391" i="7"/>
  <c r="AK391" i="7"/>
  <c r="AL391" i="7"/>
  <c r="AO391" i="7"/>
  <c r="AP391" i="7" s="1"/>
  <c r="AQ391" i="7"/>
  <c r="AR391" i="7"/>
  <c r="AS391" i="7"/>
  <c r="AT391" i="7" s="1"/>
  <c r="AU391" i="7"/>
  <c r="AV391" i="7" s="1"/>
  <c r="AW391" i="7"/>
  <c r="AX391" i="7" s="1"/>
  <c r="AY391" i="7"/>
  <c r="AZ391" i="7" s="1"/>
  <c r="BB391" i="7"/>
  <c r="BC391" i="7"/>
  <c r="BD391" i="7"/>
  <c r="BE391" i="7"/>
  <c r="BF391" i="7"/>
  <c r="BG391" i="7"/>
  <c r="BH391" i="7"/>
  <c r="BI391" i="7"/>
  <c r="BJ391" i="7"/>
  <c r="Z392" i="7"/>
  <c r="AA392" i="7" s="1"/>
  <c r="AB392" i="7"/>
  <c r="AC392" i="7"/>
  <c r="AD392" i="7"/>
  <c r="AE392" i="7"/>
  <c r="AF392" i="7"/>
  <c r="AG392" i="7"/>
  <c r="AH392" i="7" s="1"/>
  <c r="AI392" i="7"/>
  <c r="AJ392" i="7"/>
  <c r="AK392" i="7"/>
  <c r="AL392" i="7"/>
  <c r="AM392" i="7" s="1"/>
  <c r="AN392" i="7" s="1"/>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AB393" i="7"/>
  <c r="AC393" i="7"/>
  <c r="AD393" i="7"/>
  <c r="AE393" i="7"/>
  <c r="AF393" i="7"/>
  <c r="AG393" i="7"/>
  <c r="AH393" i="7" s="1"/>
  <c r="AI393" i="7"/>
  <c r="AJ393" i="7"/>
  <c r="AK393" i="7"/>
  <c r="AL393" i="7"/>
  <c r="AM393" i="7" s="1"/>
  <c r="AN393" i="7" s="1"/>
  <c r="AO393" i="7"/>
  <c r="AP393" i="7" s="1"/>
  <c r="AQ393" i="7"/>
  <c r="AR393" i="7"/>
  <c r="AS393" i="7"/>
  <c r="AT393" i="7" s="1"/>
  <c r="AU393" i="7"/>
  <c r="AV393" i="7"/>
  <c r="AW393" i="7"/>
  <c r="AX393" i="7" s="1"/>
  <c r="AY393" i="7"/>
  <c r="AZ393" i="7" s="1"/>
  <c r="BB393" i="7"/>
  <c r="BC393" i="7"/>
  <c r="BD393" i="7"/>
  <c r="BE393" i="7"/>
  <c r="BF393" i="7"/>
  <c r="BG393" i="7"/>
  <c r="BH393" i="7"/>
  <c r="BI393" i="7"/>
  <c r="BJ393" i="7"/>
  <c r="Z394" i="7"/>
  <c r="AA394" i="7" s="1"/>
  <c r="AB394" i="7"/>
  <c r="AC394" i="7"/>
  <c r="AD394" i="7"/>
  <c r="AE394" i="7"/>
  <c r="AF394" i="7"/>
  <c r="AG394" i="7"/>
  <c r="AH394" i="7" s="1"/>
  <c r="AI394" i="7"/>
  <c r="AJ394" i="7"/>
  <c r="AK394" i="7"/>
  <c r="AL394" i="7"/>
  <c r="AM394" i="7" s="1"/>
  <c r="AN394" i="7" s="1"/>
  <c r="AO394" i="7"/>
  <c r="AP394" i="7" s="1"/>
  <c r="AQ394" i="7"/>
  <c r="AR394" i="7"/>
  <c r="AS394" i="7"/>
  <c r="AT394" i="7"/>
  <c r="AU394" i="7"/>
  <c r="AV394" i="7"/>
  <c r="AW394" i="7"/>
  <c r="AX394" i="7" s="1"/>
  <c r="AY394" i="7"/>
  <c r="AZ394" i="7" s="1"/>
  <c r="BB394" i="7"/>
  <c r="BC394" i="7"/>
  <c r="BD394" i="7"/>
  <c r="BE394" i="7"/>
  <c r="BF394" i="7"/>
  <c r="BG394" i="7"/>
  <c r="BH394" i="7"/>
  <c r="BI394" i="7"/>
  <c r="BJ394" i="7"/>
  <c r="Z395" i="7"/>
  <c r="AA395" i="7" s="1"/>
  <c r="AB395" i="7"/>
  <c r="AC395" i="7"/>
  <c r="AD395" i="7"/>
  <c r="AE395" i="7"/>
  <c r="AF395" i="7"/>
  <c r="AG395" i="7"/>
  <c r="AH395" i="7" s="1"/>
  <c r="AI395" i="7"/>
  <c r="AJ395" i="7"/>
  <c r="AK395" i="7"/>
  <c r="AL395" i="7"/>
  <c r="AO395" i="7"/>
  <c r="AP395" i="7" s="1"/>
  <c r="AQ395" i="7"/>
  <c r="AR395" i="7"/>
  <c r="AS395" i="7"/>
  <c r="AT395" i="7" s="1"/>
  <c r="AU395" i="7"/>
  <c r="AV395" i="7"/>
  <c r="AW395" i="7"/>
  <c r="AX395" i="7" s="1"/>
  <c r="AY395" i="7"/>
  <c r="AZ395" i="7" s="1"/>
  <c r="BB395" i="7"/>
  <c r="BC395" i="7"/>
  <c r="BD395" i="7"/>
  <c r="BE395" i="7"/>
  <c r="BF395" i="7"/>
  <c r="BG395" i="7"/>
  <c r="BH395" i="7"/>
  <c r="BI395" i="7"/>
  <c r="BJ395" i="7"/>
  <c r="Z396" i="7"/>
  <c r="AA396" i="7"/>
  <c r="AB396" i="7"/>
  <c r="AC396" i="7"/>
  <c r="AD396" i="7"/>
  <c r="AE396" i="7"/>
  <c r="AF396" i="7"/>
  <c r="AG396" i="7"/>
  <c r="AH396" i="7"/>
  <c r="AI396" i="7"/>
  <c r="AJ396" i="7"/>
  <c r="AK396" i="7"/>
  <c r="AL396" i="7"/>
  <c r="AO396" i="7"/>
  <c r="AP396" i="7" s="1"/>
  <c r="AQ396" i="7"/>
  <c r="AR396" i="7"/>
  <c r="AS396" i="7"/>
  <c r="AT396" i="7"/>
  <c r="AU396" i="7"/>
  <c r="AV396" i="7" s="1"/>
  <c r="AW396" i="7"/>
  <c r="AX396" i="7" s="1"/>
  <c r="AY396" i="7"/>
  <c r="AZ396" i="7" s="1"/>
  <c r="BB396" i="7"/>
  <c r="BC396" i="7"/>
  <c r="BD396" i="7"/>
  <c r="BE396" i="7"/>
  <c r="BF396" i="7"/>
  <c r="BG396" i="7"/>
  <c r="BH396" i="7"/>
  <c r="BI396" i="7"/>
  <c r="BJ396" i="7"/>
  <c r="Z397" i="7"/>
  <c r="AA397" i="7"/>
  <c r="AB397" i="7"/>
  <c r="AC397" i="7"/>
  <c r="AD397" i="7"/>
  <c r="AE397" i="7"/>
  <c r="AF397" i="7"/>
  <c r="AG397" i="7"/>
  <c r="AH397" i="7" s="1"/>
  <c r="AI397" i="7"/>
  <c r="AJ397" i="7"/>
  <c r="AK397" i="7"/>
  <c r="AL397" i="7"/>
  <c r="AO397" i="7"/>
  <c r="AP397" i="7"/>
  <c r="AQ397" i="7"/>
  <c r="AR397" i="7"/>
  <c r="AS397" i="7"/>
  <c r="AT397" i="7"/>
  <c r="AU397" i="7"/>
  <c r="AV397" i="7"/>
  <c r="AW397" i="7"/>
  <c r="AX397" i="7" s="1"/>
  <c r="AY397" i="7"/>
  <c r="AZ397" i="7" s="1"/>
  <c r="BB397" i="7"/>
  <c r="BC397" i="7"/>
  <c r="BD397" i="7"/>
  <c r="BE397" i="7"/>
  <c r="BF397" i="7"/>
  <c r="BG397" i="7"/>
  <c r="BH397" i="7"/>
  <c r="BI397" i="7"/>
  <c r="BJ397" i="7"/>
  <c r="Z398" i="7"/>
  <c r="AA398" i="7" s="1"/>
  <c r="AB398" i="7"/>
  <c r="AC398" i="7"/>
  <c r="AD398" i="7"/>
  <c r="AE398" i="7"/>
  <c r="AF398" i="7"/>
  <c r="AG398" i="7"/>
  <c r="AH398" i="7"/>
  <c r="AI398" i="7"/>
  <c r="AJ398" i="7"/>
  <c r="AM398" i="7" s="1"/>
  <c r="AN398" i="7" s="1"/>
  <c r="AK398" i="7"/>
  <c r="AL398" i="7"/>
  <c r="AO398" i="7"/>
  <c r="AP398" i="7"/>
  <c r="AQ398" i="7"/>
  <c r="AR398" i="7"/>
  <c r="AS398" i="7"/>
  <c r="AT398" i="7" s="1"/>
  <c r="AU398" i="7"/>
  <c r="AV398" i="7" s="1"/>
  <c r="AW398" i="7"/>
  <c r="AX398" i="7" s="1"/>
  <c r="AY398" i="7"/>
  <c r="AZ398" i="7" s="1"/>
  <c r="BB398" i="7"/>
  <c r="BC398" i="7"/>
  <c r="BD398" i="7"/>
  <c r="BE398" i="7"/>
  <c r="BF398" i="7"/>
  <c r="BG398" i="7"/>
  <c r="BH398" i="7"/>
  <c r="BI398" i="7"/>
  <c r="BJ398" i="7"/>
  <c r="Z399" i="7"/>
  <c r="AA399" i="7" s="1"/>
  <c r="AB399" i="7"/>
  <c r="AC399" i="7"/>
  <c r="AD399" i="7"/>
  <c r="AE399" i="7"/>
  <c r="AF399" i="7"/>
  <c r="AG399" i="7"/>
  <c r="AH399" i="7"/>
  <c r="AI399" i="7"/>
  <c r="AJ399" i="7"/>
  <c r="AK399" i="7"/>
  <c r="AL399" i="7"/>
  <c r="AO399" i="7"/>
  <c r="AP399" i="7" s="1"/>
  <c r="AQ399" i="7"/>
  <c r="AR399" i="7"/>
  <c r="AS399" i="7"/>
  <c r="AT399" i="7" s="1"/>
  <c r="AU399" i="7"/>
  <c r="AV399" i="7" s="1"/>
  <c r="AW399" i="7"/>
  <c r="AX399" i="7" s="1"/>
  <c r="AY399" i="7"/>
  <c r="AZ399" i="7" s="1"/>
  <c r="BB399" i="7"/>
  <c r="BC399" i="7"/>
  <c r="BD399" i="7"/>
  <c r="BE399" i="7"/>
  <c r="BF399" i="7"/>
  <c r="BG399" i="7"/>
  <c r="BH399" i="7"/>
  <c r="BI399" i="7"/>
  <c r="BJ399" i="7"/>
  <c r="Z400" i="7"/>
  <c r="AA400" i="7" s="1"/>
  <c r="AB400" i="7"/>
  <c r="AC400" i="7"/>
  <c r="AD400" i="7"/>
  <c r="AE400" i="7"/>
  <c r="AF400" i="7"/>
  <c r="AG400" i="7"/>
  <c r="AH400" i="7" s="1"/>
  <c r="AI400" i="7"/>
  <c r="AJ400" i="7"/>
  <c r="AK400" i="7"/>
  <c r="AL400" i="7"/>
  <c r="AM400" i="7" s="1"/>
  <c r="AN400" i="7" s="1"/>
  <c r="AO400" i="7"/>
  <c r="AP400" i="7"/>
  <c r="AQ400" i="7"/>
  <c r="AR400" i="7"/>
  <c r="AS400" i="7"/>
  <c r="AT400" i="7" s="1"/>
  <c r="AU400" i="7"/>
  <c r="AV400" i="7" s="1"/>
  <c r="AW400" i="7"/>
  <c r="AX400" i="7" s="1"/>
  <c r="AY400" i="7"/>
  <c r="AZ400" i="7"/>
  <c r="BB400" i="7"/>
  <c r="BC400" i="7"/>
  <c r="BD400" i="7"/>
  <c r="BE400" i="7"/>
  <c r="BF400" i="7"/>
  <c r="BG400" i="7"/>
  <c r="BH400" i="7"/>
  <c r="BI400" i="7"/>
  <c r="BJ400" i="7"/>
  <c r="Z401" i="7"/>
  <c r="AA401" i="7"/>
  <c r="AB401" i="7"/>
  <c r="AC401" i="7"/>
  <c r="AD401" i="7"/>
  <c r="AE401" i="7"/>
  <c r="AF401" i="7"/>
  <c r="AG401" i="7"/>
  <c r="AH401" i="7" s="1"/>
  <c r="AI401" i="7"/>
  <c r="AJ401" i="7"/>
  <c r="AK401" i="7"/>
  <c r="AL401" i="7"/>
  <c r="AO401" i="7"/>
  <c r="AP401" i="7" s="1"/>
  <c r="AQ401" i="7"/>
  <c r="AR401" i="7"/>
  <c r="AS401" i="7"/>
  <c r="AT401" i="7"/>
  <c r="AU401" i="7"/>
  <c r="AV401" i="7" s="1"/>
  <c r="AW401" i="7"/>
  <c r="AX401" i="7"/>
  <c r="AY401" i="7"/>
  <c r="AZ401" i="7" s="1"/>
  <c r="BB401" i="7"/>
  <c r="BC401" i="7"/>
  <c r="BD401" i="7"/>
  <c r="BE401" i="7"/>
  <c r="BF401" i="7"/>
  <c r="BG401" i="7"/>
  <c r="BH401" i="7"/>
  <c r="BI401" i="7"/>
  <c r="BJ401" i="7"/>
  <c r="Z402" i="7"/>
  <c r="AA402" i="7" s="1"/>
  <c r="AB402" i="7"/>
  <c r="AC402" i="7"/>
  <c r="AD402" i="7"/>
  <c r="AE402" i="7"/>
  <c r="AF402" i="7"/>
  <c r="AG402" i="7"/>
  <c r="AH402" i="7" s="1"/>
  <c r="AI402" i="7"/>
  <c r="AJ402" i="7"/>
  <c r="AK402" i="7"/>
  <c r="AL402" i="7"/>
  <c r="AO402" i="7"/>
  <c r="AP402" i="7" s="1"/>
  <c r="AQ402" i="7"/>
  <c r="AR402" i="7"/>
  <c r="AS402" i="7"/>
  <c r="AT402" i="7"/>
  <c r="AU402" i="7"/>
  <c r="AV402" i="7" s="1"/>
  <c r="AW402" i="7"/>
  <c r="AX402" i="7" s="1"/>
  <c r="AY402" i="7"/>
  <c r="AZ402" i="7"/>
  <c r="BB402" i="7"/>
  <c r="BC402" i="7"/>
  <c r="BD402" i="7"/>
  <c r="BE402" i="7"/>
  <c r="BF402" i="7"/>
  <c r="BG402" i="7"/>
  <c r="BH402" i="7"/>
  <c r="BI402" i="7"/>
  <c r="BJ402" i="7"/>
  <c r="Z403" i="7"/>
  <c r="AA403" i="7" s="1"/>
  <c r="AB403" i="7"/>
  <c r="AC403" i="7"/>
  <c r="AD403" i="7"/>
  <c r="AE403" i="7"/>
  <c r="AF403" i="7"/>
  <c r="AG403" i="7"/>
  <c r="AH403" i="7"/>
  <c r="AI403" i="7"/>
  <c r="AJ403" i="7"/>
  <c r="AK403" i="7"/>
  <c r="AL403" i="7"/>
  <c r="AO403" i="7"/>
  <c r="AP403" i="7"/>
  <c r="AQ403" i="7"/>
  <c r="AR403" i="7"/>
  <c r="AS403" i="7"/>
  <c r="AT403" i="7" s="1"/>
  <c r="AU403" i="7"/>
  <c r="AV403" i="7" s="1"/>
  <c r="AW403" i="7"/>
  <c r="AX403" i="7" s="1"/>
  <c r="AY403" i="7"/>
  <c r="AZ403" i="7"/>
  <c r="BB403" i="7"/>
  <c r="BC403" i="7"/>
  <c r="BD403" i="7"/>
  <c r="BE403" i="7"/>
  <c r="BF403" i="7"/>
  <c r="BG403" i="7"/>
  <c r="BH403" i="7"/>
  <c r="BI403" i="7"/>
  <c r="BJ403" i="7"/>
  <c r="Z404" i="7"/>
  <c r="AA404" i="7" s="1"/>
  <c r="AB404" i="7"/>
  <c r="AC404" i="7"/>
  <c r="AD404" i="7"/>
  <c r="AE404" i="7"/>
  <c r="AF404" i="7"/>
  <c r="AG404" i="7"/>
  <c r="AH404" i="7" s="1"/>
  <c r="AI404" i="7"/>
  <c r="AJ404" i="7"/>
  <c r="AK404" i="7"/>
  <c r="AL404" i="7"/>
  <c r="AO404" i="7"/>
  <c r="AP404" i="7" s="1"/>
  <c r="AQ404" i="7"/>
  <c r="AR404" i="7"/>
  <c r="AS404" i="7"/>
  <c r="AT404" i="7" s="1"/>
  <c r="AU404" i="7"/>
  <c r="AV404" i="7"/>
  <c r="AW404" i="7"/>
  <c r="AX404" i="7" s="1"/>
  <c r="AY404" i="7"/>
  <c r="AZ404" i="7" s="1"/>
  <c r="BB404" i="7"/>
  <c r="BC404" i="7"/>
  <c r="BD404" i="7"/>
  <c r="BE404" i="7"/>
  <c r="BF404" i="7"/>
  <c r="BG404" i="7"/>
  <c r="BH404" i="7"/>
  <c r="BI404" i="7"/>
  <c r="BJ404" i="7"/>
  <c r="Z405" i="7"/>
  <c r="AA405" i="7" s="1"/>
  <c r="AB405" i="7"/>
  <c r="AC405" i="7"/>
  <c r="AD405" i="7"/>
  <c r="AE405" i="7"/>
  <c r="AF405" i="7"/>
  <c r="AG405" i="7"/>
  <c r="AH405" i="7"/>
  <c r="AI405" i="7"/>
  <c r="AJ405" i="7"/>
  <c r="AK405" i="7"/>
  <c r="AL405" i="7"/>
  <c r="AO405" i="7"/>
  <c r="AP405" i="7"/>
  <c r="AQ405" i="7"/>
  <c r="AR405" i="7"/>
  <c r="AS405" i="7"/>
  <c r="AT405" i="7" s="1"/>
  <c r="AU405" i="7"/>
  <c r="AV405" i="7" s="1"/>
  <c r="AW405" i="7"/>
  <c r="AX405" i="7"/>
  <c r="AY405" i="7"/>
  <c r="AZ405" i="7" s="1"/>
  <c r="BB405" i="7"/>
  <c r="BC405" i="7"/>
  <c r="BD405" i="7"/>
  <c r="BE405" i="7"/>
  <c r="BF405" i="7"/>
  <c r="BG405" i="7"/>
  <c r="BH405" i="7"/>
  <c r="BI405" i="7"/>
  <c r="BJ405" i="7"/>
  <c r="Z406" i="7"/>
  <c r="AA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B406" i="7"/>
  <c r="BC406" i="7"/>
  <c r="BD406" i="7"/>
  <c r="BE406" i="7"/>
  <c r="BF406" i="7"/>
  <c r="BG406" i="7"/>
  <c r="BH406" i="7"/>
  <c r="BI406" i="7"/>
  <c r="BJ406" i="7"/>
  <c r="Z407" i="7"/>
  <c r="AA407" i="7" s="1"/>
  <c r="AB407" i="7"/>
  <c r="AC407" i="7"/>
  <c r="AD407" i="7"/>
  <c r="AE407" i="7"/>
  <c r="AF407" i="7"/>
  <c r="AG407" i="7"/>
  <c r="AH407" i="7" s="1"/>
  <c r="AI407" i="7"/>
  <c r="AJ407" i="7"/>
  <c r="AK407" i="7"/>
  <c r="AL407" i="7"/>
  <c r="AO407" i="7"/>
  <c r="AP407" i="7"/>
  <c r="AQ407" i="7"/>
  <c r="AR407" i="7"/>
  <c r="AS407" i="7"/>
  <c r="AT407" i="7" s="1"/>
  <c r="AU407" i="7"/>
  <c r="AV407" i="7" s="1"/>
  <c r="AW407" i="7"/>
  <c r="AX407" i="7" s="1"/>
  <c r="AY407" i="7"/>
  <c r="AZ407" i="7" s="1"/>
  <c r="BB407" i="7"/>
  <c r="BC407" i="7"/>
  <c r="BD407" i="7"/>
  <c r="BE407" i="7"/>
  <c r="BF407" i="7"/>
  <c r="BG407" i="7"/>
  <c r="BH407" i="7"/>
  <c r="BI407" i="7"/>
  <c r="BJ407" i="7"/>
  <c r="Z408" i="7"/>
  <c r="AA408" i="7" s="1"/>
  <c r="AB408" i="7"/>
  <c r="AC408" i="7"/>
  <c r="AD408" i="7"/>
  <c r="AE408" i="7"/>
  <c r="AF408" i="7"/>
  <c r="AG408" i="7"/>
  <c r="AH408" i="7" s="1"/>
  <c r="AI408" i="7"/>
  <c r="AJ408" i="7"/>
  <c r="AM408" i="7" s="1"/>
  <c r="AN408" i="7" s="1"/>
  <c r="AK408" i="7"/>
  <c r="AL408" i="7"/>
  <c r="AO408" i="7"/>
  <c r="AP408" i="7"/>
  <c r="AQ408" i="7"/>
  <c r="AR408" i="7"/>
  <c r="AS408" i="7"/>
  <c r="AT408" i="7" s="1"/>
  <c r="AU408" i="7"/>
  <c r="AV408" i="7" s="1"/>
  <c r="AW408" i="7"/>
  <c r="AX408" i="7" s="1"/>
  <c r="AY408" i="7"/>
  <c r="AZ408" i="7" s="1"/>
  <c r="BB408" i="7"/>
  <c r="BC408" i="7"/>
  <c r="BD408" i="7"/>
  <c r="BE408" i="7"/>
  <c r="BF408" i="7"/>
  <c r="BG408" i="7"/>
  <c r="BH408" i="7"/>
  <c r="BI408" i="7"/>
  <c r="BJ408" i="7"/>
  <c r="Z409" i="7"/>
  <c r="AA409" i="7" s="1"/>
  <c r="AB409" i="7"/>
  <c r="AC409" i="7"/>
  <c r="AD409" i="7"/>
  <c r="AE409" i="7"/>
  <c r="AF409" i="7"/>
  <c r="AG409" i="7"/>
  <c r="AH409" i="7" s="1"/>
  <c r="AI409" i="7"/>
  <c r="AJ409" i="7"/>
  <c r="AM409" i="7" s="1"/>
  <c r="AN409" i="7" s="1"/>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AB410" i="7"/>
  <c r="AC410" i="7"/>
  <c r="AD410" i="7"/>
  <c r="AE410" i="7"/>
  <c r="AF410" i="7"/>
  <c r="AG410" i="7"/>
  <c r="AH410" i="7" s="1"/>
  <c r="AI410" i="7"/>
  <c r="AJ410" i="7"/>
  <c r="AK410" i="7"/>
  <c r="AL410" i="7"/>
  <c r="AO410" i="7"/>
  <c r="AP410" i="7" s="1"/>
  <c r="AQ410" i="7"/>
  <c r="AR410" i="7"/>
  <c r="AS410" i="7"/>
  <c r="AT410" i="7" s="1"/>
  <c r="AU410" i="7"/>
  <c r="AV410" i="7" s="1"/>
  <c r="AW410" i="7"/>
  <c r="AX410" i="7" s="1"/>
  <c r="AY410" i="7"/>
  <c r="AZ410" i="7" s="1"/>
  <c r="BB410" i="7"/>
  <c r="BC410" i="7"/>
  <c r="BD410" i="7"/>
  <c r="BE410" i="7"/>
  <c r="BF410" i="7"/>
  <c r="BG410" i="7"/>
  <c r="BH410" i="7"/>
  <c r="BI410" i="7"/>
  <c r="BJ410" i="7"/>
  <c r="Z411" i="7"/>
  <c r="AA411" i="7" s="1"/>
  <c r="AB411" i="7"/>
  <c r="AC411" i="7"/>
  <c r="AD411" i="7"/>
  <c r="AE411" i="7"/>
  <c r="AF411" i="7"/>
  <c r="AG411" i="7"/>
  <c r="AH411" i="7" s="1"/>
  <c r="AI411" i="7"/>
  <c r="AJ411" i="7"/>
  <c r="AK411" i="7"/>
  <c r="AM411" i="7" s="1"/>
  <c r="AN411" i="7" s="1"/>
  <c r="AL411" i="7"/>
  <c r="AO411" i="7"/>
  <c r="AP411" i="7" s="1"/>
  <c r="AQ411" i="7"/>
  <c r="AR411" i="7"/>
  <c r="AS411" i="7"/>
  <c r="AT411" i="7" s="1"/>
  <c r="AU411" i="7"/>
  <c r="AV411" i="7" s="1"/>
  <c r="AW411" i="7"/>
  <c r="AX411" i="7"/>
  <c r="AY411" i="7"/>
  <c r="AZ411" i="7" s="1"/>
  <c r="BB411" i="7"/>
  <c r="BC411" i="7"/>
  <c r="BD411" i="7"/>
  <c r="BE411" i="7"/>
  <c r="BF411" i="7"/>
  <c r="BG411" i="7"/>
  <c r="BH411" i="7"/>
  <c r="BI411" i="7"/>
  <c r="BJ411" i="7"/>
  <c r="Z412" i="7"/>
  <c r="AA412" i="7"/>
  <c r="AB412" i="7"/>
  <c r="AC412" i="7"/>
  <c r="AD412" i="7"/>
  <c r="AE412" i="7"/>
  <c r="AF412" i="7"/>
  <c r="AG412" i="7"/>
  <c r="AH412" i="7" s="1"/>
  <c r="AI412" i="7"/>
  <c r="AJ412" i="7"/>
  <c r="AK412" i="7"/>
  <c r="AM412" i="7" s="1"/>
  <c r="AL412" i="7"/>
  <c r="AN412" i="7"/>
  <c r="AO412" i="7"/>
  <c r="AP412" i="7" s="1"/>
  <c r="AQ412" i="7"/>
  <c r="AR412" i="7"/>
  <c r="AS412" i="7"/>
  <c r="AT412" i="7" s="1"/>
  <c r="AU412" i="7"/>
  <c r="AV412" i="7" s="1"/>
  <c r="AW412" i="7"/>
  <c r="AX412" i="7" s="1"/>
  <c r="AY412" i="7"/>
  <c r="AZ412" i="7" s="1"/>
  <c r="BB412" i="7"/>
  <c r="BC412" i="7"/>
  <c r="BD412" i="7"/>
  <c r="BE412" i="7"/>
  <c r="BF412" i="7"/>
  <c r="BG412" i="7"/>
  <c r="BH412" i="7"/>
  <c r="BI412" i="7"/>
  <c r="BJ412" i="7"/>
  <c r="Z413" i="7"/>
  <c r="AA413" i="7"/>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c r="BB413" i="7"/>
  <c r="BC413" i="7"/>
  <c r="BD413" i="7"/>
  <c r="BE413" i="7"/>
  <c r="BF413" i="7"/>
  <c r="BG413" i="7"/>
  <c r="BH413" i="7"/>
  <c r="BI413" i="7"/>
  <c r="BJ413" i="7"/>
  <c r="Z414" i="7"/>
  <c r="AA414" i="7"/>
  <c r="AB414" i="7"/>
  <c r="AC414" i="7"/>
  <c r="AD414" i="7"/>
  <c r="AE414" i="7"/>
  <c r="AF414" i="7"/>
  <c r="AG414" i="7"/>
  <c r="AH414" i="7" s="1"/>
  <c r="AI414" i="7"/>
  <c r="AJ414" i="7"/>
  <c r="AK414" i="7"/>
  <c r="AL414" i="7"/>
  <c r="AO414" i="7"/>
  <c r="AP414" i="7" s="1"/>
  <c r="AQ414" i="7"/>
  <c r="AR414" i="7"/>
  <c r="AS414" i="7"/>
  <c r="AT414" i="7" s="1"/>
  <c r="AU414" i="7"/>
  <c r="AV414" i="7"/>
  <c r="AW414" i="7"/>
  <c r="AX414" i="7"/>
  <c r="AY414" i="7"/>
  <c r="AZ414" i="7"/>
  <c r="BB414" i="7"/>
  <c r="BC414" i="7"/>
  <c r="BD414" i="7"/>
  <c r="BE414" i="7"/>
  <c r="BF414" i="7"/>
  <c r="BG414" i="7"/>
  <c r="BH414" i="7"/>
  <c r="BI414" i="7"/>
  <c r="BJ414" i="7"/>
  <c r="Z415" i="7"/>
  <c r="AA415" i="7"/>
  <c r="AB415" i="7"/>
  <c r="AC415" i="7"/>
  <c r="AD415" i="7"/>
  <c r="AE415" i="7"/>
  <c r="AF415" i="7"/>
  <c r="AG415" i="7"/>
  <c r="AH415" i="7"/>
  <c r="AI415" i="7"/>
  <c r="AJ415" i="7"/>
  <c r="AK415" i="7"/>
  <c r="AL415" i="7"/>
  <c r="AO415" i="7"/>
  <c r="AP415" i="7" s="1"/>
  <c r="AQ415" i="7"/>
  <c r="AR415" i="7"/>
  <c r="AS415" i="7"/>
  <c r="AT415" i="7"/>
  <c r="AU415" i="7"/>
  <c r="AV415" i="7"/>
  <c r="AW415" i="7"/>
  <c r="AX415" i="7"/>
  <c r="AY415" i="7"/>
  <c r="AZ415" i="7"/>
  <c r="BB415" i="7"/>
  <c r="BC415" i="7"/>
  <c r="BD415" i="7"/>
  <c r="BE415" i="7"/>
  <c r="BF415" i="7"/>
  <c r="BG415" i="7"/>
  <c r="BH415" i="7"/>
  <c r="BI415" i="7"/>
  <c r="BJ415" i="7"/>
  <c r="Z416" i="7"/>
  <c r="AA416" i="7"/>
  <c r="AB416" i="7"/>
  <c r="AC416" i="7"/>
  <c r="AD416" i="7"/>
  <c r="AE416" i="7"/>
  <c r="AF416" i="7"/>
  <c r="AG416" i="7"/>
  <c r="AH416" i="7" s="1"/>
  <c r="AI416" i="7"/>
  <c r="AJ416" i="7"/>
  <c r="AK416" i="7"/>
  <c r="AL416" i="7"/>
  <c r="AM416" i="7"/>
  <c r="AN416" i="7" s="1"/>
  <c r="AO416" i="7"/>
  <c r="AP416" i="7" s="1"/>
  <c r="AQ416" i="7"/>
  <c r="AR416" i="7"/>
  <c r="AS416" i="7"/>
  <c r="AT416" i="7" s="1"/>
  <c r="AU416" i="7"/>
  <c r="AV416" i="7" s="1"/>
  <c r="AW416" i="7"/>
  <c r="AX416" i="7"/>
  <c r="AY416" i="7"/>
  <c r="AZ416" i="7"/>
  <c r="BB416" i="7"/>
  <c r="BC416" i="7"/>
  <c r="BD416" i="7"/>
  <c r="BE416" i="7"/>
  <c r="BF416" i="7"/>
  <c r="BG416" i="7"/>
  <c r="BH416" i="7"/>
  <c r="BI416" i="7"/>
  <c r="BJ416" i="7"/>
  <c r="Z417" i="7"/>
  <c r="AA417" i="7" s="1"/>
  <c r="AB417" i="7"/>
  <c r="AC417" i="7"/>
  <c r="AD417" i="7"/>
  <c r="AE417" i="7"/>
  <c r="AF417" i="7"/>
  <c r="AG417" i="7"/>
  <c r="AH417" i="7"/>
  <c r="AI417" i="7"/>
  <c r="AJ417" i="7"/>
  <c r="AK417" i="7"/>
  <c r="AL417" i="7"/>
  <c r="AO417" i="7"/>
  <c r="AP417" i="7" s="1"/>
  <c r="AQ417" i="7"/>
  <c r="AR417" i="7"/>
  <c r="AS417" i="7"/>
  <c r="AT417" i="7" s="1"/>
  <c r="AU417" i="7"/>
  <c r="AV417" i="7"/>
  <c r="AW417" i="7"/>
  <c r="AX417" i="7" s="1"/>
  <c r="AY417" i="7"/>
  <c r="AZ417" i="7" s="1"/>
  <c r="BB417" i="7"/>
  <c r="BC417" i="7"/>
  <c r="BD417" i="7"/>
  <c r="BE417" i="7"/>
  <c r="BF417" i="7"/>
  <c r="BG417" i="7"/>
  <c r="BH417" i="7"/>
  <c r="BI417" i="7"/>
  <c r="BJ417" i="7"/>
  <c r="Z418" i="7"/>
  <c r="AA418" i="7"/>
  <c r="AB418" i="7"/>
  <c r="AC418" i="7"/>
  <c r="AD418" i="7"/>
  <c r="AE418" i="7"/>
  <c r="AF418" i="7"/>
  <c r="AG418" i="7"/>
  <c r="AH418" i="7" s="1"/>
  <c r="AI418" i="7"/>
  <c r="AJ418" i="7"/>
  <c r="AK418" i="7"/>
  <c r="AL418" i="7"/>
  <c r="AO418" i="7"/>
  <c r="AP418" i="7" s="1"/>
  <c r="AQ418" i="7"/>
  <c r="AR418" i="7"/>
  <c r="AS418" i="7"/>
  <c r="AT418" i="7"/>
  <c r="AU418" i="7"/>
  <c r="AV418" i="7" s="1"/>
  <c r="AW418" i="7"/>
  <c r="AX418" i="7" s="1"/>
  <c r="AY418" i="7"/>
  <c r="AZ418" i="7"/>
  <c r="BB418" i="7"/>
  <c r="BC418" i="7"/>
  <c r="BD418" i="7"/>
  <c r="BE418" i="7"/>
  <c r="BF418" i="7"/>
  <c r="BG418" i="7"/>
  <c r="BH418" i="7"/>
  <c r="BI418" i="7"/>
  <c r="BJ418" i="7"/>
  <c r="Z419" i="7"/>
  <c r="AA419" i="7" s="1"/>
  <c r="AB419" i="7"/>
  <c r="AC419" i="7"/>
  <c r="AD419" i="7"/>
  <c r="AE419" i="7"/>
  <c r="AF419" i="7"/>
  <c r="AG419" i="7"/>
  <c r="AH419" i="7" s="1"/>
  <c r="AI419" i="7"/>
  <c r="AJ419" i="7"/>
  <c r="AK419" i="7"/>
  <c r="AM419" i="7" s="1"/>
  <c r="AN419" i="7" s="1"/>
  <c r="AL419" i="7"/>
  <c r="AO419" i="7"/>
  <c r="AP419" i="7" s="1"/>
  <c r="AQ419" i="7"/>
  <c r="AR419" i="7"/>
  <c r="AS419" i="7"/>
  <c r="AT419" i="7" s="1"/>
  <c r="AU419" i="7"/>
  <c r="AV419" i="7"/>
  <c r="AW419" i="7"/>
  <c r="AX419" i="7" s="1"/>
  <c r="AY419" i="7"/>
  <c r="AZ419" i="7" s="1"/>
  <c r="BB419" i="7"/>
  <c r="BC419" i="7"/>
  <c r="BD419" i="7"/>
  <c r="BE419" i="7"/>
  <c r="BF419" i="7"/>
  <c r="BG419" i="7"/>
  <c r="BH419" i="7"/>
  <c r="BI419" i="7"/>
  <c r="BJ419" i="7"/>
  <c r="Z420" i="7"/>
  <c r="AA420" i="7" s="1"/>
  <c r="AB420" i="7"/>
  <c r="AC420" i="7"/>
  <c r="AD420" i="7"/>
  <c r="AE420" i="7"/>
  <c r="AF420" i="7"/>
  <c r="AG420" i="7"/>
  <c r="AH420" i="7" s="1"/>
  <c r="AI420" i="7"/>
  <c r="AJ420" i="7"/>
  <c r="AK420" i="7"/>
  <c r="AL420" i="7"/>
  <c r="AO420" i="7"/>
  <c r="AP420" i="7" s="1"/>
  <c r="AQ420" i="7"/>
  <c r="AR420" i="7"/>
  <c r="AS420" i="7"/>
  <c r="AT420" i="7" s="1"/>
  <c r="AU420" i="7"/>
  <c r="AV420" i="7"/>
  <c r="AW420" i="7"/>
  <c r="AX420" i="7"/>
  <c r="AY420" i="7"/>
  <c r="AZ420" i="7" s="1"/>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c r="AY421" i="7"/>
  <c r="AZ421" i="7"/>
  <c r="BB421" i="7"/>
  <c r="BC421" i="7"/>
  <c r="BD421" i="7"/>
  <c r="BE421" i="7"/>
  <c r="BF421" i="7"/>
  <c r="BG421" i="7"/>
  <c r="BH421" i="7"/>
  <c r="BI421" i="7"/>
  <c r="BJ421" i="7"/>
  <c r="Z422" i="7"/>
  <c r="AA422" i="7"/>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c r="AB423" i="7"/>
  <c r="AC423" i="7"/>
  <c r="AD423" i="7"/>
  <c r="AE423" i="7"/>
  <c r="AF423" i="7"/>
  <c r="AG423" i="7"/>
  <c r="AH423" i="7" s="1"/>
  <c r="AI423" i="7"/>
  <c r="AJ423" i="7"/>
  <c r="AK423" i="7"/>
  <c r="AL423" i="7"/>
  <c r="AO423" i="7"/>
  <c r="AP423" i="7"/>
  <c r="AQ423" i="7"/>
  <c r="AR423" i="7"/>
  <c r="AS423" i="7"/>
  <c r="AT423" i="7"/>
  <c r="AU423" i="7"/>
  <c r="AV423" i="7" s="1"/>
  <c r="AW423" i="7"/>
  <c r="AX423" i="7" s="1"/>
  <c r="AY423" i="7"/>
  <c r="AZ423" i="7"/>
  <c r="BB423" i="7"/>
  <c r="BC423" i="7"/>
  <c r="BD423" i="7"/>
  <c r="BE423" i="7"/>
  <c r="BF423" i="7"/>
  <c r="BG423" i="7"/>
  <c r="BH423" i="7"/>
  <c r="BI423" i="7"/>
  <c r="BJ423" i="7"/>
  <c r="Z424" i="7"/>
  <c r="AA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AB425" i="7"/>
  <c r="AC425" i="7"/>
  <c r="AD425" i="7"/>
  <c r="AE425" i="7"/>
  <c r="AF425" i="7"/>
  <c r="AG425" i="7"/>
  <c r="AH425" i="7" s="1"/>
  <c r="AI425" i="7"/>
  <c r="AJ425" i="7"/>
  <c r="AK425" i="7"/>
  <c r="AL425" i="7"/>
  <c r="AM425" i="7" s="1"/>
  <c r="AN425" i="7" s="1"/>
  <c r="AO425" i="7"/>
  <c r="AP425" i="7"/>
  <c r="AQ425" i="7"/>
  <c r="AR425" i="7"/>
  <c r="AS425" i="7"/>
  <c r="AT425" i="7" s="1"/>
  <c r="AU425" i="7"/>
  <c r="AV425" i="7" s="1"/>
  <c r="AW425" i="7"/>
  <c r="AX425" i="7" s="1"/>
  <c r="AY425" i="7"/>
  <c r="AZ425" i="7" s="1"/>
  <c r="BB425" i="7"/>
  <c r="BC425" i="7"/>
  <c r="BD425" i="7"/>
  <c r="BE425" i="7"/>
  <c r="BF425" i="7"/>
  <c r="BG425" i="7"/>
  <c r="BH425" i="7"/>
  <c r="BI425" i="7"/>
  <c r="BJ425" i="7"/>
  <c r="Z426" i="7"/>
  <c r="AA426" i="7" s="1"/>
  <c r="AB426" i="7"/>
  <c r="AC426" i="7"/>
  <c r="AD426" i="7"/>
  <c r="AE426" i="7"/>
  <c r="AF426" i="7"/>
  <c r="AG426" i="7"/>
  <c r="AH426" i="7" s="1"/>
  <c r="AI426" i="7"/>
  <c r="AJ426" i="7"/>
  <c r="AM426" i="7" s="1"/>
  <c r="AN426" i="7" s="1"/>
  <c r="AK426" i="7"/>
  <c r="AL426" i="7"/>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AB427" i="7"/>
  <c r="AC427" i="7"/>
  <c r="AD427" i="7"/>
  <c r="AE427" i="7"/>
  <c r="AF427" i="7"/>
  <c r="AG427" i="7"/>
  <c r="AH427" i="7" s="1"/>
  <c r="AI427" i="7"/>
  <c r="AJ427" i="7"/>
  <c r="AK427" i="7"/>
  <c r="AM427" i="7" s="1"/>
  <c r="AN427" i="7" s="1"/>
  <c r="AL427" i="7"/>
  <c r="AO427" i="7"/>
  <c r="AP427" i="7"/>
  <c r="AQ427" i="7"/>
  <c r="AR427" i="7"/>
  <c r="AS427" i="7"/>
  <c r="AT427" i="7"/>
  <c r="AU427" i="7"/>
  <c r="AV427" i="7" s="1"/>
  <c r="AW427" i="7"/>
  <c r="AX427" i="7" s="1"/>
  <c r="AY427" i="7"/>
  <c r="AZ427" i="7" s="1"/>
  <c r="BB427" i="7"/>
  <c r="BC427" i="7"/>
  <c r="BD427" i="7"/>
  <c r="BE427" i="7"/>
  <c r="BF427" i="7"/>
  <c r="BG427" i="7"/>
  <c r="BH427" i="7"/>
  <c r="BI427" i="7"/>
  <c r="BJ427" i="7"/>
  <c r="Z428" i="7"/>
  <c r="AA428" i="7"/>
  <c r="AB428" i="7"/>
  <c r="AC428" i="7"/>
  <c r="AD428" i="7"/>
  <c r="AE428" i="7"/>
  <c r="AF428" i="7"/>
  <c r="AG428" i="7"/>
  <c r="AH428" i="7" s="1"/>
  <c r="AI428" i="7"/>
  <c r="AJ428" i="7"/>
  <c r="AK428" i="7"/>
  <c r="AL428" i="7"/>
  <c r="AM428" i="7"/>
  <c r="AN428" i="7" s="1"/>
  <c r="AO428" i="7"/>
  <c r="AP428" i="7" s="1"/>
  <c r="AQ428" i="7"/>
  <c r="AR428" i="7"/>
  <c r="AS428" i="7"/>
  <c r="AT428" i="7" s="1"/>
  <c r="AU428" i="7"/>
  <c r="AV428" i="7" s="1"/>
  <c r="AW428" i="7"/>
  <c r="AX428" i="7"/>
  <c r="AY428" i="7"/>
  <c r="AZ428" i="7" s="1"/>
  <c r="BB428" i="7"/>
  <c r="BC428" i="7"/>
  <c r="BD428" i="7"/>
  <c r="BE428" i="7"/>
  <c r="BF428" i="7"/>
  <c r="BG428" i="7"/>
  <c r="BH428" i="7"/>
  <c r="BI428" i="7"/>
  <c r="BJ428" i="7"/>
  <c r="Y122" i="7" l="1"/>
  <c r="Y121" i="7"/>
  <c r="Y292" i="7"/>
  <c r="Y294" i="7"/>
  <c r="Y412" i="7"/>
  <c r="Y308" i="7"/>
  <c r="AM359" i="7"/>
  <c r="AN359" i="7" s="1"/>
  <c r="AM357" i="7"/>
  <c r="AN357" i="7" s="1"/>
  <c r="Y357" i="7" s="1"/>
  <c r="AM337" i="7"/>
  <c r="AN337" i="7" s="1"/>
  <c r="Y332" i="7"/>
  <c r="AM320" i="7"/>
  <c r="AN320" i="7" s="1"/>
  <c r="AM296" i="7"/>
  <c r="AN296" i="7" s="1"/>
  <c r="Y296" i="7" s="1"/>
  <c r="AM295" i="7"/>
  <c r="AN295" i="7" s="1"/>
  <c r="Y295" i="7" s="1"/>
  <c r="AM281" i="7"/>
  <c r="AN281" i="7" s="1"/>
  <c r="Y281" i="7" s="1"/>
  <c r="AM277" i="7"/>
  <c r="AN277" i="7" s="1"/>
  <c r="AM255" i="7"/>
  <c r="AN255" i="7" s="1"/>
  <c r="AM254" i="7"/>
  <c r="AN254" i="7" s="1"/>
  <c r="AM211" i="7"/>
  <c r="AN211" i="7" s="1"/>
  <c r="Y203" i="7"/>
  <c r="AM165" i="7"/>
  <c r="AN165" i="7" s="1"/>
  <c r="AM164" i="7"/>
  <c r="AN164" i="7" s="1"/>
  <c r="AM413" i="7"/>
  <c r="AN413" i="7" s="1"/>
  <c r="AM404" i="7"/>
  <c r="AN404" i="7" s="1"/>
  <c r="AM353" i="7"/>
  <c r="AN353" i="7" s="1"/>
  <c r="AM327" i="7"/>
  <c r="AN327" i="7" s="1"/>
  <c r="AM100" i="7"/>
  <c r="AN100" i="7" s="1"/>
  <c r="AM406" i="7"/>
  <c r="AN406" i="7" s="1"/>
  <c r="AM405" i="7"/>
  <c r="AN405" i="7" s="1"/>
  <c r="AM386" i="7"/>
  <c r="AN386" i="7" s="1"/>
  <c r="AM384" i="7"/>
  <c r="AN384" i="7" s="1"/>
  <c r="Y384" i="7" s="1"/>
  <c r="Y380" i="7"/>
  <c r="AM329" i="7"/>
  <c r="AN329" i="7" s="1"/>
  <c r="AM306" i="7"/>
  <c r="AN306" i="7" s="1"/>
  <c r="Y306" i="7" s="1"/>
  <c r="AM298" i="7"/>
  <c r="AN298" i="7" s="1"/>
  <c r="AM266" i="7"/>
  <c r="AN266" i="7" s="1"/>
  <c r="AM139" i="7"/>
  <c r="AN139" i="7" s="1"/>
  <c r="AM84" i="7"/>
  <c r="AN84" i="7" s="1"/>
  <c r="Y303" i="7"/>
  <c r="AM402" i="7"/>
  <c r="AN402" i="7" s="1"/>
  <c r="AM403" i="7"/>
  <c r="AN403" i="7" s="1"/>
  <c r="AM410" i="7"/>
  <c r="AN410" i="7" s="1"/>
  <c r="Y410" i="7" s="1"/>
  <c r="AM388" i="7"/>
  <c r="AN388" i="7" s="1"/>
  <c r="AM346" i="7"/>
  <c r="AN346" i="7" s="1"/>
  <c r="AM328" i="7"/>
  <c r="AN328" i="7" s="1"/>
  <c r="AM305" i="7"/>
  <c r="AN305" i="7" s="1"/>
  <c r="Y168" i="7"/>
  <c r="AM348" i="7"/>
  <c r="AN348" i="7" s="1"/>
  <c r="AM347" i="7"/>
  <c r="AN347" i="7" s="1"/>
  <c r="AM330" i="7"/>
  <c r="AN330" i="7" s="1"/>
  <c r="Y330" i="7" s="1"/>
  <c r="AM291" i="7"/>
  <c r="AN291" i="7" s="1"/>
  <c r="Y276" i="7"/>
  <c r="Y179" i="7"/>
  <c r="Y129" i="7"/>
  <c r="AM52" i="7"/>
  <c r="AN52" i="7" s="1"/>
  <c r="Y310" i="7"/>
  <c r="AM319" i="7"/>
  <c r="AN319" i="7" s="1"/>
  <c r="Y319" i="7" s="1"/>
  <c r="Y135" i="7"/>
  <c r="AM396" i="7"/>
  <c r="AN396" i="7" s="1"/>
  <c r="Y396" i="7" s="1"/>
  <c r="Y395" i="7"/>
  <c r="Y394" i="7"/>
  <c r="AM372" i="7"/>
  <c r="AN372" i="7" s="1"/>
  <c r="AM371" i="7"/>
  <c r="AN371" i="7" s="1"/>
  <c r="AM370" i="7"/>
  <c r="AN370" i="7" s="1"/>
  <c r="Y370" i="7" s="1"/>
  <c r="AM351" i="7"/>
  <c r="AN351" i="7" s="1"/>
  <c r="AM349" i="7"/>
  <c r="AN349" i="7" s="1"/>
  <c r="AM345" i="7"/>
  <c r="AN345" i="7" s="1"/>
  <c r="AM343" i="7"/>
  <c r="AN343" i="7" s="1"/>
  <c r="AM299" i="7"/>
  <c r="AN299" i="7" s="1"/>
  <c r="AM150" i="7"/>
  <c r="AN150" i="7" s="1"/>
  <c r="AM136" i="7"/>
  <c r="AN136" i="7" s="1"/>
  <c r="AM417" i="7"/>
  <c r="AN417" i="7" s="1"/>
  <c r="Y416" i="7"/>
  <c r="AM397" i="7"/>
  <c r="AN397" i="7" s="1"/>
  <c r="Y339" i="7"/>
  <c r="AM311" i="7"/>
  <c r="AN311" i="7" s="1"/>
  <c r="Y311" i="7" s="1"/>
  <c r="AM269" i="7"/>
  <c r="AN269" i="7" s="1"/>
  <c r="Y269" i="7" s="1"/>
  <c r="Y263" i="7"/>
  <c r="AM240" i="7"/>
  <c r="AN240" i="7" s="1"/>
  <c r="Y240" i="7" s="1"/>
  <c r="AM239" i="7"/>
  <c r="AN239" i="7" s="1"/>
  <c r="Y239" i="7" s="1"/>
  <c r="AM172" i="7"/>
  <c r="AN172" i="7" s="1"/>
  <c r="AM360" i="7"/>
  <c r="AN360" i="7" s="1"/>
  <c r="AM422" i="7"/>
  <c r="AN422" i="7" s="1"/>
  <c r="AM418" i="7"/>
  <c r="AN418" i="7" s="1"/>
  <c r="AM395" i="7"/>
  <c r="AN395" i="7" s="1"/>
  <c r="AM378" i="7"/>
  <c r="AN378" i="7" s="1"/>
  <c r="AM313" i="7"/>
  <c r="AN313" i="7" s="1"/>
  <c r="AM286" i="7"/>
  <c r="AN286" i="7" s="1"/>
  <c r="AM228" i="7"/>
  <c r="AN228" i="7" s="1"/>
  <c r="AM187" i="7"/>
  <c r="AN187" i="7" s="1"/>
  <c r="Y400" i="7"/>
  <c r="Y279" i="7"/>
  <c r="AM424" i="7"/>
  <c r="AN424" i="7" s="1"/>
  <c r="AM381" i="7"/>
  <c r="AN381" i="7" s="1"/>
  <c r="AM379" i="7"/>
  <c r="AN379" i="7" s="1"/>
  <c r="Y364" i="7"/>
  <c r="AM323" i="7"/>
  <c r="AN323" i="7" s="1"/>
  <c r="Y323" i="7" s="1"/>
  <c r="AM314" i="7"/>
  <c r="AN314" i="7" s="1"/>
  <c r="AM226" i="7"/>
  <c r="AN226" i="7" s="1"/>
  <c r="Y69" i="7"/>
  <c r="Y64" i="7"/>
  <c r="AM340" i="7"/>
  <c r="AN340" i="7" s="1"/>
  <c r="AM322" i="7"/>
  <c r="AN322" i="7" s="1"/>
  <c r="Y322" i="7" s="1"/>
  <c r="Y215" i="7"/>
  <c r="AM282" i="7"/>
  <c r="AN282" i="7" s="1"/>
  <c r="Y419" i="7"/>
  <c r="Y378" i="7"/>
  <c r="AM366" i="7"/>
  <c r="AN366" i="7" s="1"/>
  <c r="Y366" i="7" s="1"/>
  <c r="Y223" i="7"/>
  <c r="AM414" i="7"/>
  <c r="AN414" i="7" s="1"/>
  <c r="AM365" i="7"/>
  <c r="AN365" i="7" s="1"/>
  <c r="AM317" i="7"/>
  <c r="AN317" i="7" s="1"/>
  <c r="Y317" i="7" s="1"/>
  <c r="AM207" i="7"/>
  <c r="AN207" i="7" s="1"/>
  <c r="Y207" i="7" s="1"/>
  <c r="AM114" i="7"/>
  <c r="AN114" i="7" s="1"/>
  <c r="AM97" i="7"/>
  <c r="AN97" i="7" s="1"/>
  <c r="AM61" i="7"/>
  <c r="AN61" i="7" s="1"/>
  <c r="AM30" i="7"/>
  <c r="AN30" i="7" s="1"/>
  <c r="AM11" i="7"/>
  <c r="AN11" i="7" s="1"/>
  <c r="AM130" i="7"/>
  <c r="AN130" i="7" s="1"/>
  <c r="AM109" i="7"/>
  <c r="AN109" i="7" s="1"/>
  <c r="AM108" i="7"/>
  <c r="AN108" i="7" s="1"/>
  <c r="AM104" i="7"/>
  <c r="AN104" i="7" s="1"/>
  <c r="AM256" i="7"/>
  <c r="AN256" i="7" s="1"/>
  <c r="Y256" i="7" s="1"/>
  <c r="AM213" i="7"/>
  <c r="AN213" i="7" s="1"/>
  <c r="Y213" i="7" s="1"/>
  <c r="AM198" i="7"/>
  <c r="AN198" i="7" s="1"/>
  <c r="AM157" i="7"/>
  <c r="AN157" i="7" s="1"/>
  <c r="AM153" i="7"/>
  <c r="AN153" i="7" s="1"/>
  <c r="Y153" i="7" s="1"/>
  <c r="AM113" i="7"/>
  <c r="AN113" i="7" s="1"/>
  <c r="AM110" i="7"/>
  <c r="AN110" i="7" s="1"/>
  <c r="Y38" i="7"/>
  <c r="AM37" i="7"/>
  <c r="AN37" i="7" s="1"/>
  <c r="AM24" i="7"/>
  <c r="AN24" i="7" s="1"/>
  <c r="AM13" i="7"/>
  <c r="AN13" i="7" s="1"/>
  <c r="AM12" i="7"/>
  <c r="AN12" i="7" s="1"/>
  <c r="AM7" i="7"/>
  <c r="AN7" i="7" s="1"/>
  <c r="AM197" i="7"/>
  <c r="AN197" i="7" s="1"/>
  <c r="Y197" i="7" s="1"/>
  <c r="AM183" i="7"/>
  <c r="AN183" i="7" s="1"/>
  <c r="Y183" i="7" s="1"/>
  <c r="AM163" i="7"/>
  <c r="AN163" i="7" s="1"/>
  <c r="AM160" i="7"/>
  <c r="AN160" i="7" s="1"/>
  <c r="Y160" i="7" s="1"/>
  <c r="AM156" i="7"/>
  <c r="AN156" i="7" s="1"/>
  <c r="Y36" i="7"/>
  <c r="Y62" i="7"/>
  <c r="AM233" i="7"/>
  <c r="AN233" i="7" s="1"/>
  <c r="AM212" i="7"/>
  <c r="AN212" i="7" s="1"/>
  <c r="AM182" i="7"/>
  <c r="AN182" i="7" s="1"/>
  <c r="AM161" i="7"/>
  <c r="AN161" i="7" s="1"/>
  <c r="Y161" i="7" s="1"/>
  <c r="AM152" i="7"/>
  <c r="AN152" i="7" s="1"/>
  <c r="AM99" i="7"/>
  <c r="AN99" i="7" s="1"/>
  <c r="AM5" i="7"/>
  <c r="AN5" i="7" s="1"/>
  <c r="AM68" i="7"/>
  <c r="AN68" i="7" s="1"/>
  <c r="Y68" i="7" s="1"/>
  <c r="AM176" i="7"/>
  <c r="AN176" i="7" s="1"/>
  <c r="AM175" i="7"/>
  <c r="AN175" i="7" s="1"/>
  <c r="AM149" i="7"/>
  <c r="AN149" i="7" s="1"/>
  <c r="AM140" i="7"/>
  <c r="AN140" i="7" s="1"/>
  <c r="AM134" i="7"/>
  <c r="AN134" i="7" s="1"/>
  <c r="AM115" i="7"/>
  <c r="AN115" i="7" s="1"/>
  <c r="AM93" i="7"/>
  <c r="AN93" i="7" s="1"/>
  <c r="AM83" i="7"/>
  <c r="AN83" i="7" s="1"/>
  <c r="AM82" i="7"/>
  <c r="AN82" i="7" s="1"/>
  <c r="AM66" i="7"/>
  <c r="AN66" i="7" s="1"/>
  <c r="AM51" i="7"/>
  <c r="AN51" i="7" s="1"/>
  <c r="Y118" i="7"/>
  <c r="Y91" i="7"/>
  <c r="Y18" i="7"/>
  <c r="Y7" i="7"/>
  <c r="AM208" i="7"/>
  <c r="AN208" i="7" s="1"/>
  <c r="Y208" i="7" s="1"/>
  <c r="AM192" i="7"/>
  <c r="AN192" i="7" s="1"/>
  <c r="AM180" i="7"/>
  <c r="AN180" i="7" s="1"/>
  <c r="AM177" i="7"/>
  <c r="AN177" i="7" s="1"/>
  <c r="AM116" i="7"/>
  <c r="AN116" i="7" s="1"/>
  <c r="AM92" i="7"/>
  <c r="AN92" i="7" s="1"/>
  <c r="AM77" i="7"/>
  <c r="AN77" i="7" s="1"/>
  <c r="AM65" i="7"/>
  <c r="AN65" i="7" s="1"/>
  <c r="AM48" i="7"/>
  <c r="AN48" i="7" s="1"/>
  <c r="AM41" i="7"/>
  <c r="AN41" i="7" s="1"/>
  <c r="Y41" i="7" s="1"/>
  <c r="AM40" i="7"/>
  <c r="AN40" i="7" s="1"/>
  <c r="AM35" i="7"/>
  <c r="AN35" i="7" s="1"/>
  <c r="AM34" i="7"/>
  <c r="AN34" i="7" s="1"/>
  <c r="AM289" i="7"/>
  <c r="AN289" i="7" s="1"/>
  <c r="Y289" i="7" s="1"/>
  <c r="AM276" i="7"/>
  <c r="AN276" i="7" s="1"/>
  <c r="Y253" i="7"/>
  <c r="AM216" i="7"/>
  <c r="AN216" i="7" s="1"/>
  <c r="Y216" i="7" s="1"/>
  <c r="AM178" i="7"/>
  <c r="AN178" i="7" s="1"/>
  <c r="Y178" i="7" s="1"/>
  <c r="AM168" i="7"/>
  <c r="AN168" i="7" s="1"/>
  <c r="AM133" i="7"/>
  <c r="AN133" i="7" s="1"/>
  <c r="AM88" i="7"/>
  <c r="AN88" i="7" s="1"/>
  <c r="Y55" i="7"/>
  <c r="AM49" i="7"/>
  <c r="AN49" i="7" s="1"/>
  <c r="AM45" i="7"/>
  <c r="AN45" i="7" s="1"/>
  <c r="Y45" i="7" s="1"/>
  <c r="AM39" i="7"/>
  <c r="AN39" i="7" s="1"/>
  <c r="AM288" i="7"/>
  <c r="AN288" i="7" s="1"/>
  <c r="Y288" i="7" s="1"/>
  <c r="AM275" i="7"/>
  <c r="AN275" i="7" s="1"/>
  <c r="AM262" i="7"/>
  <c r="AN262" i="7" s="1"/>
  <c r="AM205" i="7"/>
  <c r="AN205" i="7" s="1"/>
  <c r="AM185" i="7"/>
  <c r="AN185" i="7" s="1"/>
  <c r="AM166" i="7"/>
  <c r="AN166" i="7" s="1"/>
  <c r="AM146" i="7"/>
  <c r="AN146"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382" i="7"/>
  <c r="Y341" i="7"/>
  <c r="Y404" i="7"/>
  <c r="Y405" i="7"/>
  <c r="Y379" i="7"/>
  <c r="Y428" i="7"/>
  <c r="Y373" i="7"/>
  <c r="Y411" i="7"/>
  <c r="Y355" i="7"/>
  <c r="Y354" i="7"/>
  <c r="Y414" i="7"/>
  <c r="AM423" i="7"/>
  <c r="AN423" i="7" s="1"/>
  <c r="Y377" i="7"/>
  <c r="AM369" i="7"/>
  <c r="AN369" i="7" s="1"/>
  <c r="Y369" i="7" s="1"/>
  <c r="Y346" i="7"/>
  <c r="Y328" i="7"/>
  <c r="Y327" i="7"/>
  <c r="Y376" i="7"/>
  <c r="Y318" i="7"/>
  <c r="Y352" i="7"/>
  <c r="Y427" i="7"/>
  <c r="Y409" i="7"/>
  <c r="Y392" i="7"/>
  <c r="AM385" i="7"/>
  <c r="AN385" i="7" s="1"/>
  <c r="Y408" i="7"/>
  <c r="Y388" i="7"/>
  <c r="Y426" i="7"/>
  <c r="AM421" i="7"/>
  <c r="AN421" i="7" s="1"/>
  <c r="Y421" i="7" s="1"/>
  <c r="Y406" i="7"/>
  <c r="AM401" i="7"/>
  <c r="AN401" i="7" s="1"/>
  <c r="Y401" i="7" s="1"/>
  <c r="AM367" i="7"/>
  <c r="AN367" i="7" s="1"/>
  <c r="Y367" i="7" s="1"/>
  <c r="AM342" i="7"/>
  <c r="AN342" i="7" s="1"/>
  <c r="Y325" i="7"/>
  <c r="Y371" i="7"/>
  <c r="Y348" i="7"/>
  <c r="Y309" i="7"/>
  <c r="Y293" i="7"/>
  <c r="Y349" i="7"/>
  <c r="Y347" i="7"/>
  <c r="Y343" i="7"/>
  <c r="Y338" i="7"/>
  <c r="Y270" i="7"/>
  <c r="Y234" i="7"/>
  <c r="AM420" i="7"/>
  <c r="AN420" i="7" s="1"/>
  <c r="Y420" i="7" s="1"/>
  <c r="Y387" i="7"/>
  <c r="Y381" i="7"/>
  <c r="Y398" i="7"/>
  <c r="Y350" i="7"/>
  <c r="Y418" i="7"/>
  <c r="Y403" i="7"/>
  <c r="AM383" i="7"/>
  <c r="AN383" i="7" s="1"/>
  <c r="AM375" i="7"/>
  <c r="AN375" i="7" s="1"/>
  <c r="Y375" i="7" s="1"/>
  <c r="AM374" i="7"/>
  <c r="AN374" i="7" s="1"/>
  <c r="Y374" i="7" s="1"/>
  <c r="Y345" i="7"/>
  <c r="Y342" i="7"/>
  <c r="Y335" i="7"/>
  <c r="Y393" i="7"/>
  <c r="AM415" i="7"/>
  <c r="AN415" i="7" s="1"/>
  <c r="Y415" i="7" s="1"/>
  <c r="Y397" i="7"/>
  <c r="Y386" i="7"/>
  <c r="AM373" i="7"/>
  <c r="AN373" i="7" s="1"/>
  <c r="Y363" i="7"/>
  <c r="Y362" i="7"/>
  <c r="Y337" i="7"/>
  <c r="Y27" i="7"/>
  <c r="Y425" i="7"/>
  <c r="Y423" i="7"/>
  <c r="Y422" i="7"/>
  <c r="Y413" i="7"/>
  <c r="Y402" i="7"/>
  <c r="AM399" i="7"/>
  <c r="AN399" i="7" s="1"/>
  <c r="Y399" i="7" s="1"/>
  <c r="AM391" i="7"/>
  <c r="AN391" i="7" s="1"/>
  <c r="Y391" i="7" s="1"/>
  <c r="AM390" i="7"/>
  <c r="AN390" i="7" s="1"/>
  <c r="Y390" i="7" s="1"/>
  <c r="Y368" i="7"/>
  <c r="Y361" i="7"/>
  <c r="Y359" i="7"/>
  <c r="Y358" i="7"/>
  <c r="Y356" i="7"/>
  <c r="Y353" i="7"/>
  <c r="Y344" i="7"/>
  <c r="Y324" i="7"/>
  <c r="Y314" i="7"/>
  <c r="Y243" i="7"/>
  <c r="Y372" i="7"/>
  <c r="AM407" i="7"/>
  <c r="AN407" i="7" s="1"/>
  <c r="Y407" i="7" s="1"/>
  <c r="AM389" i="7"/>
  <c r="AN389" i="7" s="1"/>
  <c r="Y389" i="7" s="1"/>
  <c r="Y360" i="7"/>
  <c r="Y326" i="7"/>
  <c r="Y424" i="7"/>
  <c r="Y417" i="7"/>
  <c r="Y385" i="7"/>
  <c r="Y383" i="7"/>
  <c r="Y336" i="7"/>
  <c r="Y321" i="7"/>
  <c r="Y304" i="7"/>
  <c r="Y261" i="7"/>
  <c r="Y248" i="7"/>
  <c r="Y333" i="7"/>
  <c r="Y222" i="7"/>
  <c r="Y217" i="7"/>
  <c r="Y302" i="7"/>
  <c r="Y275" i="7"/>
  <c r="Y265" i="7"/>
  <c r="Y176" i="7"/>
  <c r="AM284" i="7"/>
  <c r="AN284" i="7" s="1"/>
  <c r="Y284" i="7" s="1"/>
  <c r="Y266" i="7"/>
  <c r="Y244" i="7"/>
  <c r="Y236" i="7"/>
  <c r="Y228" i="7"/>
  <c r="AM312" i="7"/>
  <c r="AN312" i="7" s="1"/>
  <c r="Y312" i="7" s="1"/>
  <c r="AM283" i="7"/>
  <c r="AN283" i="7" s="1"/>
  <c r="Y283" i="7" s="1"/>
  <c r="AM280" i="7"/>
  <c r="AN280" i="7" s="1"/>
  <c r="Y280" i="7" s="1"/>
  <c r="Y250" i="7"/>
  <c r="AM237" i="7"/>
  <c r="AN237" i="7" s="1"/>
  <c r="Y237" i="7" s="1"/>
  <c r="Y227" i="7"/>
  <c r="Y205" i="7"/>
  <c r="Y307" i="7"/>
  <c r="Y301" i="7"/>
  <c r="Y274" i="7"/>
  <c r="AM259" i="7"/>
  <c r="AN259" i="7" s="1"/>
  <c r="Y259" i="7" s="1"/>
  <c r="Y299" i="7"/>
  <c r="Y298" i="7"/>
  <c r="Y287" i="7"/>
  <c r="Y278" i="7"/>
  <c r="AM260" i="7"/>
  <c r="AN260" i="7" s="1"/>
  <c r="Y233" i="7"/>
  <c r="Y232" i="7"/>
  <c r="Y109" i="7"/>
  <c r="Y286" i="7"/>
  <c r="Y224" i="7"/>
  <c r="AM268" i="7"/>
  <c r="AN268" i="7" s="1"/>
  <c r="Y268" i="7" s="1"/>
  <c r="Y255" i="7"/>
  <c r="Y131" i="7"/>
  <c r="Y202" i="7"/>
  <c r="Y329" i="7"/>
  <c r="Y320" i="7"/>
  <c r="AM316" i="7"/>
  <c r="AN316" i="7" s="1"/>
  <c r="Y316" i="7" s="1"/>
  <c r="Y313" i="7"/>
  <c r="Y277" i="7"/>
  <c r="Y272" i="7"/>
  <c r="AM267" i="7"/>
  <c r="AN267" i="7" s="1"/>
  <c r="Y267" i="7" s="1"/>
  <c r="AM264" i="7"/>
  <c r="AN264" i="7" s="1"/>
  <c r="Y264" i="7" s="1"/>
  <c r="AM249" i="7"/>
  <c r="AN249" i="7" s="1"/>
  <c r="Y249" i="7" s="1"/>
  <c r="Y195" i="7"/>
  <c r="Y340" i="7"/>
  <c r="Y334" i="7"/>
  <c r="Y291" i="7"/>
  <c r="Y285" i="7"/>
  <c r="Y257" i="7"/>
  <c r="AM251" i="7"/>
  <c r="AN251" i="7" s="1"/>
  <c r="Y251" i="7" s="1"/>
  <c r="Y365" i="7"/>
  <c r="Y351" i="7"/>
  <c r="AM300" i="7"/>
  <c r="AN300" i="7" s="1"/>
  <c r="Y300" i="7" s="1"/>
  <c r="Y282" i="7"/>
  <c r="Y271" i="7"/>
  <c r="Y262" i="7"/>
  <c r="AM331" i="7"/>
  <c r="AN331" i="7" s="1"/>
  <c r="Y331" i="7" s="1"/>
  <c r="AM315" i="7"/>
  <c r="AN315" i="7" s="1"/>
  <c r="Y315" i="7" s="1"/>
  <c r="Y305" i="7"/>
  <c r="AM297" i="7"/>
  <c r="AN297" i="7" s="1"/>
  <c r="Y297" i="7" s="1"/>
  <c r="AM273" i="7"/>
  <c r="AN273" i="7" s="1"/>
  <c r="Y273" i="7" s="1"/>
  <c r="Y254" i="7"/>
  <c r="Y173" i="7"/>
  <c r="Y260" i="7"/>
  <c r="Y226" i="7"/>
  <c r="Y290" i="7"/>
  <c r="Y245" i="7"/>
  <c r="Y230" i="7"/>
  <c r="Y221" i="7"/>
  <c r="Y220" i="7"/>
  <c r="AM199" i="7"/>
  <c r="AN199" i="7" s="1"/>
  <c r="Y192" i="7"/>
  <c r="Y184" i="7"/>
  <c r="Y174" i="7"/>
  <c r="Y172" i="7"/>
  <c r="Y164" i="7"/>
  <c r="AM218" i="7"/>
  <c r="AN218" i="7" s="1"/>
  <c r="Y218" i="7" s="1"/>
  <c r="Y177" i="7"/>
  <c r="Y155" i="7"/>
  <c r="Y130" i="7"/>
  <c r="Y94" i="7"/>
  <c r="Y87" i="7"/>
  <c r="Y77" i="7"/>
  <c r="Y75" i="7"/>
  <c r="Y21" i="7"/>
  <c r="AM209" i="7"/>
  <c r="AN209" i="7" s="1"/>
  <c r="Y209" i="7" s="1"/>
  <c r="Y125" i="7"/>
  <c r="Y16" i="7"/>
  <c r="Y189" i="7"/>
  <c r="Y93" i="7"/>
  <c r="Y79" i="7"/>
  <c r="Y78" i="7"/>
  <c r="Y212" i="7"/>
  <c r="Y206" i="7"/>
  <c r="Y194" i="7"/>
  <c r="Y190" i="7"/>
  <c r="Y111" i="7"/>
  <c r="Y72" i="7"/>
  <c r="Y201" i="7"/>
  <c r="Y188" i="7"/>
  <c r="Y187" i="7"/>
  <c r="Y169" i="7"/>
  <c r="Y165" i="7"/>
  <c r="Y151" i="7"/>
  <c r="Y117" i="7"/>
  <c r="Y112" i="7"/>
  <c r="AM247" i="7"/>
  <c r="AN247" i="7" s="1"/>
  <c r="Y247" i="7" s="1"/>
  <c r="AM229" i="7"/>
  <c r="AN229" i="7" s="1"/>
  <c r="Y229" i="7" s="1"/>
  <c r="AM225" i="7"/>
  <c r="AN225" i="7" s="1"/>
  <c r="Y225" i="7" s="1"/>
  <c r="Y211" i="7"/>
  <c r="AM196" i="7"/>
  <c r="AN196" i="7" s="1"/>
  <c r="Y196" i="7" s="1"/>
  <c r="AM191" i="7"/>
  <c r="AN191" i="7" s="1"/>
  <c r="Y191" i="7" s="1"/>
  <c r="Y182" i="7"/>
  <c r="AM158" i="7"/>
  <c r="AN158" i="7" s="1"/>
  <c r="Y158" i="7" s="1"/>
  <c r="Y149" i="7"/>
  <c r="Y102" i="7"/>
  <c r="Y219" i="7"/>
  <c r="Y186" i="7"/>
  <c r="Y141" i="7"/>
  <c r="Y136" i="7"/>
  <c r="Y231" i="7"/>
  <c r="Y200" i="7"/>
  <c r="Y199" i="7"/>
  <c r="Y162" i="7"/>
  <c r="Y100" i="7"/>
  <c r="AM242" i="7"/>
  <c r="AN242" i="7" s="1"/>
  <c r="Y242" i="7" s="1"/>
  <c r="Y241" i="7"/>
  <c r="Y214" i="7"/>
  <c r="Y210" i="7"/>
  <c r="Y181" i="7"/>
  <c r="Y97" i="7"/>
  <c r="Y238" i="7"/>
  <c r="Y167" i="7"/>
  <c r="Y166" i="7"/>
  <c r="AM126" i="7"/>
  <c r="AN126" i="7" s="1"/>
  <c r="Y126" i="7" s="1"/>
  <c r="AM258" i="7"/>
  <c r="AN258" i="7" s="1"/>
  <c r="Y258" i="7" s="1"/>
  <c r="Y235" i="7"/>
  <c r="Y198" i="7"/>
  <c r="Y185" i="7"/>
  <c r="Y128" i="7"/>
  <c r="Y159" i="7"/>
  <c r="Y152" i="7"/>
  <c r="Y146" i="7"/>
  <c r="AM219" i="7"/>
  <c r="AN219" i="7" s="1"/>
  <c r="Y180" i="7"/>
  <c r="Y175" i="7"/>
  <c r="Y157" i="7"/>
  <c r="Y147" i="7"/>
  <c r="Y115" i="7"/>
  <c r="AM85" i="7"/>
  <c r="AN85" i="7" s="1"/>
  <c r="Y85" i="7" s="1"/>
  <c r="AM186" i="7"/>
  <c r="AN186" i="7" s="1"/>
  <c r="AM171" i="7"/>
  <c r="AN171" i="7" s="1"/>
  <c r="Y171" i="7" s="1"/>
  <c r="Y140" i="7"/>
  <c r="Y139" i="7"/>
  <c r="Y104" i="7"/>
  <c r="Y84" i="7"/>
  <c r="Y76" i="7"/>
  <c r="Y116" i="7"/>
  <c r="Y66" i="7"/>
  <c r="Y25" i="7"/>
  <c r="AM154" i="7"/>
  <c r="AN154" i="7" s="1"/>
  <c r="Y154" i="7" s="1"/>
  <c r="AM80" i="7"/>
  <c r="AN80" i="7" s="1"/>
  <c r="AM53" i="7"/>
  <c r="AN53" i="7" s="1"/>
  <c r="Y53" i="7" s="1"/>
  <c r="AM33" i="7"/>
  <c r="AN33" i="7" s="1"/>
  <c r="Y33" i="7" s="1"/>
  <c r="Y24" i="7"/>
  <c r="AM170" i="7"/>
  <c r="AN170" i="7" s="1"/>
  <c r="Y170" i="7" s="1"/>
  <c r="Y156" i="7"/>
  <c r="Y137" i="7"/>
  <c r="Y119" i="7"/>
  <c r="Y101" i="7"/>
  <c r="Y70" i="7"/>
  <c r="Y12" i="7"/>
  <c r="Y150" i="7"/>
  <c r="Y134" i="7"/>
  <c r="AM123" i="7"/>
  <c r="AN123" i="7" s="1"/>
  <c r="Y123" i="7" s="1"/>
  <c r="Y71" i="7"/>
  <c r="Y59" i="7"/>
  <c r="Y48" i="7"/>
  <c r="Y23" i="7"/>
  <c r="Y82" i="7"/>
  <c r="Y61" i="7"/>
  <c r="Y56" i="7"/>
  <c r="Y49" i="7"/>
  <c r="Y14" i="7"/>
  <c r="Y13" i="7"/>
  <c r="Y204" i="7"/>
  <c r="Y163" i="7"/>
  <c r="Y144" i="7"/>
  <c r="Y133" i="7"/>
  <c r="Y127" i="7"/>
  <c r="Y114" i="7"/>
  <c r="AM103" i="7"/>
  <c r="AN103" i="7" s="1"/>
  <c r="Y103" i="7" s="1"/>
  <c r="Y50" i="7"/>
  <c r="Y22" i="7"/>
  <c r="Y143" i="7"/>
  <c r="Y107" i="7"/>
  <c r="Y43" i="7"/>
  <c r="Y142" i="7"/>
  <c r="Y113" i="7"/>
  <c r="Y108" i="7"/>
  <c r="Y57" i="7"/>
  <c r="AM25" i="7"/>
  <c r="AN25" i="7" s="1"/>
  <c r="AM98" i="7"/>
  <c r="AN98" i="7" s="1"/>
  <c r="Y98" i="7" s="1"/>
  <c r="Y96" i="7"/>
  <c r="AM73" i="7"/>
  <c r="AN73" i="7" s="1"/>
  <c r="Y73" i="7" s="1"/>
  <c r="Y54" i="7"/>
  <c r="Y46" i="7"/>
  <c r="Y132" i="7"/>
  <c r="Y95" i="7"/>
  <c r="Y39" i="7"/>
  <c r="Y89" i="7"/>
  <c r="Y80" i="7"/>
  <c r="Y37" i="7"/>
  <c r="Y32" i="7"/>
  <c r="AM145" i="7"/>
  <c r="AN145" i="7" s="1"/>
  <c r="Y145" i="7" s="1"/>
  <c r="Y110" i="7"/>
  <c r="Y34" i="7"/>
  <c r="Y29" i="7"/>
  <c r="Y63" i="7"/>
  <c r="Y28" i="7"/>
  <c r="Y31" i="7"/>
  <c r="AM120" i="7"/>
  <c r="AN120" i="7" s="1"/>
  <c r="Y120" i="7" s="1"/>
  <c r="AM42" i="7"/>
  <c r="AN42" i="7" s="1"/>
  <c r="Y52" i="7"/>
  <c r="Y40" i="7"/>
  <c r="Y11" i="7"/>
  <c r="Y86" i="7"/>
  <c r="Y65" i="7"/>
  <c r="Y20" i="7"/>
  <c r="AM138" i="7"/>
  <c r="AN138" i="7" s="1"/>
  <c r="Y138" i="7" s="1"/>
  <c r="AM90" i="7"/>
  <c r="AN90" i="7" s="1"/>
  <c r="Y90" i="7" s="1"/>
  <c r="Y30" i="7"/>
  <c r="Y5" i="7"/>
  <c r="Y4" i="7"/>
  <c r="AM124" i="7"/>
  <c r="AN124" i="7" s="1"/>
  <c r="Y124" i="7" s="1"/>
  <c r="Y92" i="7"/>
  <c r="AM81" i="7"/>
  <c r="AN81" i="7" s="1"/>
  <c r="Y81" i="7" s="1"/>
  <c r="AM58" i="7"/>
  <c r="AN58" i="7" s="1"/>
  <c r="Y58" i="7" s="1"/>
  <c r="Y47" i="7"/>
  <c r="Y9" i="7"/>
  <c r="Y88" i="7"/>
  <c r="AM17" i="7"/>
  <c r="AN17" i="7" s="1"/>
  <c r="Y17" i="7" s="1"/>
  <c r="Y15" i="7"/>
  <c r="Y8" i="7"/>
  <c r="Y106" i="7"/>
  <c r="Y60" i="7"/>
  <c r="AM74" i="7"/>
  <c r="AN74" i="7" s="1"/>
  <c r="Y74" i="7" s="1"/>
  <c r="AM26" i="7"/>
  <c r="AN26" i="7" s="1"/>
  <c r="Y26" i="7" s="1"/>
  <c r="AM10" i="7"/>
  <c r="AN10" i="7" s="1"/>
  <c r="Y3" i="7"/>
  <c r="Y6" i="7"/>
  <c r="Y42" i="7"/>
  <c r="Y10" i="7"/>
  <c r="Y99" i="7"/>
  <c r="Y83" i="7"/>
  <c r="Y67" i="7"/>
  <c r="Y51" i="7"/>
  <c r="Y35" i="7"/>
  <c r="Y19"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3"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<sst xmlns="http://schemas.openxmlformats.org/spreadsheetml/2006/main" count="8704" uniqueCount="3837">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</sst>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9"/>
  <sheetViews>
    <sheetView zoomScaleNormal="100" workbookViewId="0">
      <pane xSplit="3" ySplit="1" topLeftCell="X39" activePane="bottomRight" state="frozen"/>
      <selection pane="topRight" activeCell="B1" sqref="B1"/>
      <selection pane="bottomLeft" activeCell="A2" sqref="A2"/>
      <selection pane="bottomRight" activeCell="X54" sqref="X54"/>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0" si="50">CONCATENATE(AA67,AC67,AD67,BA67,BJ67," -- ",C67,AE67)</f>
        <v xml:space="preserve"> [66] = {["ID"] = 1879071628; }; -- Beloved</v>
      </c>
      <c r="Y67" s="1" t="str">
        <f t="shared" ref="Y67:Y132"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2" si="52">CONCATENATE(REPT(" ",3-LEN(Z67)),"[",Z67,"] = {")</f>
        <v xml:space="preserve"> [66] = {</v>
      </c>
      <c r="AB67" t="str">
        <f t="shared" ref="AB67:AB132" si="53">IF(LEN(A67)&gt;0,CONCATENATE("[""ID""] = ",A67,"; "),"                     ")</f>
        <v xml:space="preserve">["ID"] = 1879071628; </v>
      </c>
      <c r="AC67" t="str">
        <f t="shared" ref="AC67:AC132" si="54">IF(LEN(A67)&gt;0,CONCATENATE("[""ID""] = ",A67,"; "),"")</f>
        <v xml:space="preserve">["ID"] = 1879071628; </v>
      </c>
      <c r="AD67" t="str">
        <f t="shared" ref="AD67:AD132" si="55">IF(LEN(V67)&gt;0,CONCATENATE("[""CAT_ID""] = ",V67,"; "),"")</f>
        <v/>
      </c>
      <c r="AE67" t="str">
        <f t="shared" ref="AE67:AE132" si="56">IF(LEN(E67)&gt;0,CONCATENATE(" (",E67,")"),IF(LEN(J67)&gt;0,CONCATENATE(" (",J67,")"),""))</f>
        <v/>
      </c>
      <c r="AF67" s="1" t="str">
        <f t="shared" ref="AF67:AF132" si="57">IF(LEN(B67)&gt;0,CONCATENATE("[""SAVE_INDEX""] = ",REPT(" ",3-LEN(B67)),B67,"; "),"                      ")</f>
        <v xml:space="preserve">["SAVE_INDEX"] =  48; </v>
      </c>
      <c r="AG67">
        <f>VLOOKUP(D67,Type!A$2:B$16,2,FALSE)</f>
        <v>7</v>
      </c>
      <c r="AH67" t="str">
        <f t="shared" ref="AH67:AH132" si="58">CONCATENATE("[""TYPE""] = ",REPT(" ",2-LEN(AG67)),AG67,"; ")</f>
        <v xml:space="preserve">["TYPE"] =  7; </v>
      </c>
      <c r="AI67" t="str">
        <f t="shared" ref="AI67:AI132"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0">IF(
  LEN(AJ67)=0,
  IF(
    LEN(AK67)=0,
    IF(
      LEN(AL67)=0,
      "  0",
      CONCATENATE(REPT(" ",3-LEN(AL67)),AL67)
    ),
    CONCATENATE(REPT(" ",3-LEN(AK67)),AK67)
  ),
  CONCATENATE(REPT(" ",3-LEN(AJ67)),AJ67)
)</f>
        <v xml:space="preserve">  0</v>
      </c>
      <c r="AN67" t="str">
        <f t="shared" ref="AN67:AN132" si="61">CONCATENATE("[""SUBTYPE""] = ",AM67,"; ")</f>
        <v xml:space="preserve">["SUBTYPE"] =   0; </v>
      </c>
      <c r="AO67" t="str">
        <f>IF(NOT(ISBLANK(G67)),VLOOKUP(G67,Type!D$2:E$6,2,FALSE),"")</f>
        <v/>
      </c>
      <c r="AP67" t="str">
        <f t="shared" ref="AP67:AP132" si="62">IF(NOT(ISBLANK(G67)),CONCATENATE("[""NA""] = ",AO67,"; "),"            ")</f>
        <v xml:space="preserve">            </v>
      </c>
      <c r="AQ67" t="str">
        <f t="shared" ref="AQ67:AQ132" si="63">IF(NOT(ISBLANK(I67)),"[""LEGENDARY""] = true; ","                      ")</f>
        <v xml:space="preserve">                      </v>
      </c>
      <c r="AR67" t="str">
        <f t="shared" ref="AR67:AR132" si="64">IF(LEN(J67)&gt;0,CONCATENATE("[""MOUNT""] = """,J67,"""; "),"")</f>
        <v/>
      </c>
      <c r="AS67" t="str">
        <f t="shared" ref="AS67:AS132" si="65">TEXT(L67,0)</f>
        <v>0</v>
      </c>
      <c r="AT67" t="str">
        <f t="shared" ref="AT67:AT132" si="66">CONCATENATE("[""VXP""] = ",REPT(" ",4-LEN(AS67)),TEXT(AS67,"0"),"; ")</f>
        <v xml:space="preserve">["VXP"] =    0; </v>
      </c>
      <c r="AU67" t="str">
        <f t="shared" ref="AU67:AU132" si="67">TEXT(N67,0)</f>
        <v>0</v>
      </c>
      <c r="AV67" t="str">
        <f t="shared" ref="AV67:AV132" si="68">CONCATENATE("[""LP""] = ",REPT(" ",2-LEN(AU67)),TEXT(AU67,"0"),"; ")</f>
        <v xml:space="preserve">["LP"] =  0; </v>
      </c>
      <c r="AW67" t="str">
        <f t="shared" ref="AW67:AW132" si="69">TEXT(O67,0)</f>
        <v>0</v>
      </c>
      <c r="AX67" t="str">
        <f t="shared" ref="AX67:AX132" si="70">CONCATENATE("[""REP""] = ",REPT(" ",5-LEN(AW67)),TEXT(AW67,"0"),"; ")</f>
        <v xml:space="preserve">["REP"] =     0; </v>
      </c>
      <c r="AY67">
        <f>IF(LEN(P67)&gt;0,VLOOKUP(P67,Faction!A$2:B$77,2,FALSE),1)</f>
        <v>1</v>
      </c>
      <c r="AZ67" t="str">
        <f t="shared" ref="AZ67:AZ132" si="71">CONCATENATE("[""FACTION""] = ",REPT(" ",2-LEN(AY67)),TEXT(AY67,"0"),"; ")</f>
        <v xml:space="preserve">["FACTION"] =  1; </v>
      </c>
      <c r="BA67" t="str">
        <f t="shared" ref="BA67:BA130" si="72">IF(S67&gt;0,CONCATENATE("[""TIER""] = ",TEXT(S67,"0"),"; "),"")</f>
        <v/>
      </c>
      <c r="BB67" t="str">
        <f t="shared" ref="BB67:BB132" si="73">IF(LEN(T67)&gt;0,CONCATENATE("[""MIN_LVL""] = ",REPT(" ",3-LEN(T67)),"""",T67,"""; "),"                     ")</f>
        <v xml:space="preserve">                     </v>
      </c>
      <c r="BC67" t="str">
        <f t="shared" ref="BC67:BC132" si="74">IF(LEN(U67)&gt;0,CONCATENATE("[""MAX_LVL""] = ",REPT(" ",2-LEN(U67)),U67,"; "),"                  ")</f>
        <v xml:space="preserve">                  </v>
      </c>
      <c r="BD67" t="str">
        <f t="shared" ref="BD67:BD132" si="75">CONCATENATE("[""NAME""] = { [""EN""] = """,C67,"""; }; ")</f>
        <v xml:space="preserve">["NAME"] = { ["EN"] = "Beloved"; }; </v>
      </c>
      <c r="BE67" t="str">
        <f t="shared" ref="BE67:BE132" si="76">IF(LEN(R67)&gt;0,CONCATENATE("[""LORE""] = { [""EN""] = """,R67,"""; }; "),"")</f>
        <v xml:space="preserve">["LORE"] = { ["EN"] = "Many are those who seek true love -- few are those who find it."; }; </v>
      </c>
      <c r="BF67" t="str">
        <f t="shared" ref="BF67:BF132" si="77">IF(LEN(Q67)&gt;0,CONCATENATE("[""SUMMARY""] = { [""EN""] = """,Q67,"""; }; "),"")</f>
        <v xml:space="preserve">["SUMMARY"] = { ["EN"] = "Receive 100 /kiss emotes. This can only be incremented 5 times per day."; }; </v>
      </c>
      <c r="BG67" t="str">
        <f t="shared" ref="BG67:BG132" si="78">IF(LEN(M67)&gt;0,CONCATENATE("[""TITLE""] = { [""EN""] = """,M67,"""; }; "),"")</f>
        <v xml:space="preserve">["TITLE"] = { ["EN"] = "the Beloved"; }; </v>
      </c>
      <c r="BH67" t="str">
        <f t="shared" ref="BH67:BH132" si="79">IF(LEN(H67)&gt;0,CONCATENATE("[""NOTE""] = { [""EN""] = """,H67,"""; }; "),"")</f>
        <v/>
      </c>
      <c r="BI67" t="str">
        <f t="shared" ref="BI67:BI132"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7"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7"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C123" s="2" t="s">
        <v>728</v>
      </c>
      <c r="D123" s="2" t="s">
        <v>812</v>
      </c>
      <c r="S123">
        <v>0</v>
      </c>
      <c r="V123">
        <v>134</v>
      </c>
      <c r="X123" t="str">
        <f t="shared" si="50"/>
        <v>[122] = {["CAT_ID"] = 134; }; -- Farmers Faire</v>
      </c>
      <c r="Y123" s="1" t="str">
        <f t="shared" si="51"/>
        <v>[122] = {                                           ["TYPE"] = 14;                       ["SUBTYPE"] =   0;                                   ["VXP"] =    0; ["LP"] =  0; ["REP"] =     0; ["FACTION"] =  1;                                        ["NAME"] = { ["EN"] = "Farmers Faire"; }; };</v>
      </c>
      <c r="Z123">
        <f t="shared" si="81"/>
        <v>122</v>
      </c>
      <c r="AA123" t="str">
        <f t="shared" si="52"/>
        <v>[122] = {</v>
      </c>
      <c r="AB123" t="str">
        <f t="shared" si="53"/>
        <v xml:space="preserve">                     </v>
      </c>
      <c r="AC123" t="str">
        <f t="shared" si="54"/>
        <v/>
      </c>
      <c r="AD123" t="str">
        <f t="shared" si="55"/>
        <v xml:space="preserve">["CAT_ID"] = 134; </v>
      </c>
      <c r="AE123" t="str">
        <f t="shared" si="56"/>
        <v/>
      </c>
      <c r="AF123" s="1" t="str">
        <f t="shared" si="57"/>
        <v xml:space="preserve">                      </v>
      </c>
      <c r="AG123">
        <f>VLOOKUP(D123,Type!A$2:B$16,2,FALSE)</f>
        <v>14</v>
      </c>
      <c r="AH123" t="str">
        <f t="shared" si="58"/>
        <v xml:space="preserve">["TYPE"] = 14; </v>
      </c>
      <c r="AI123" t="str">
        <f t="shared" si="59"/>
        <v xml:space="preserve">                      </v>
      </c>
      <c r="AJ123" t="str">
        <f>IF(AND(F123="Class",NOT(ISBLANK(E123))),VLOOKUP(E123,Class!A$1:B$12,2,FALSE),"")</f>
        <v/>
      </c>
      <c r="AK123" t="str">
        <f>IF(AND(F123="Vocation",NOT(ISBLANK(E123))),VLOOKUP(E123,Vocation!A$1:B$8,2,FALSE),"")</f>
        <v/>
      </c>
      <c r="AL123" t="str">
        <f>IF(AND(F123="Race",NOT(ISBLANK(E123))),VLOOKUP(E123,Race!A$1:B$9,2,),"")</f>
        <v/>
      </c>
      <c r="AM123" t="str">
        <f t="shared" si="60"/>
        <v xml:space="preserve">  0</v>
      </c>
      <c r="AN123" t="str">
        <f t="shared" si="61"/>
        <v xml:space="preserve">["SUBTYPE"] =   0; </v>
      </c>
      <c r="AO123" t="str">
        <f>IF(NOT(ISBLANK(G123)),VLOOKUP(G123,Type!D$2:E$6,2,FALSE),"")</f>
        <v/>
      </c>
      <c r="AP123" t="str">
        <f t="shared" si="62"/>
        <v xml:space="preserve">            </v>
      </c>
      <c r="AQ123" t="str">
        <f t="shared" si="63"/>
        <v xml:space="preserve">                      </v>
      </c>
      <c r="AR123" t="str">
        <f t="shared" si="64"/>
        <v/>
      </c>
      <c r="AS123" t="str">
        <f t="shared" si="65"/>
        <v>0</v>
      </c>
      <c r="AT123" t="str">
        <f t="shared" si="66"/>
        <v xml:space="preserve">["VXP"] =    0; </v>
      </c>
      <c r="AU123" t="str">
        <f t="shared" si="67"/>
        <v>0</v>
      </c>
      <c r="AV123" t="str">
        <f t="shared" si="68"/>
        <v xml:space="preserve">["LP"] =  0; </v>
      </c>
      <c r="AW123" t="str">
        <f t="shared" si="69"/>
        <v>0</v>
      </c>
      <c r="AX123" t="str">
        <f t="shared" si="70"/>
        <v xml:space="preserve">["REP"] =     0; </v>
      </c>
      <c r="AY123">
        <f>IF(LEN(P123)&gt;0,VLOOKUP(P123,Faction!A$2:B$77,2,FALSE),1)</f>
        <v>1</v>
      </c>
      <c r="AZ123" t="str">
        <f t="shared" si="71"/>
        <v xml:space="preserve">["FACTION"] =  1; </v>
      </c>
      <c r="BA123" t="str">
        <f t="shared" si="72"/>
        <v/>
      </c>
      <c r="BB123" t="str">
        <f t="shared" si="73"/>
        <v xml:space="preserve">                     </v>
      </c>
      <c r="BC123" t="str">
        <f t="shared" si="74"/>
        <v xml:space="preserve">                  </v>
      </c>
      <c r="BD123" t="str">
        <f t="shared" si="75"/>
        <v xml:space="preserve">["NAME"] = { ["EN"] = "Farmers Faire"; }; </v>
      </c>
      <c r="BE123" t="str">
        <f t="shared" si="76"/>
        <v/>
      </c>
      <c r="BF123" t="str">
        <f t="shared" si="77"/>
        <v/>
      </c>
      <c r="BG123" t="str">
        <f t="shared" si="78"/>
        <v/>
      </c>
      <c r="BH123" t="str">
        <f t="shared" si="79"/>
        <v/>
      </c>
      <c r="BI123" t="str">
        <f t="shared" si="80"/>
        <v/>
      </c>
      <c r="BJ123" t="str">
        <f t="shared" si="82"/>
        <v>};</v>
      </c>
    </row>
    <row r="124" spans="1:62" x14ac:dyDescent="0.25">
      <c r="A124">
        <v>1879206840</v>
      </c>
      <c r="B124">
        <v>100</v>
      </c>
      <c r="C124" t="s">
        <v>730</v>
      </c>
      <c r="D124" t="s">
        <v>24</v>
      </c>
      <c r="E124" t="s">
        <v>728</v>
      </c>
      <c r="M124" t="s">
        <v>731</v>
      </c>
      <c r="Q124" t="s">
        <v>735</v>
      </c>
      <c r="R124" t="s">
        <v>2152</v>
      </c>
      <c r="S124">
        <v>0</v>
      </c>
      <c r="X124" t="str">
        <f t="shared" si="50"/>
        <v>[123] = {["ID"] = 1879206840; }; -- Too Much of Everything (Farmers Faire)</v>
      </c>
      <c r="Y124" s="1" t="str">
        <f t="shared" si="51"/>
        <v>[123] = {["ID"] = 1879206840; ["SAVE_INDEX"] = 100; ["TYPE"] = 12;                       ["SUBTYPE"] =   0;                                   ["VXP"] =    0; ["LP"] =  0; ["REP"] =     0; ["FACTION"] =  1;                                        ["NAME"] = { ["EN"] = "Too Much of Everything"; }; ["LORE"] = { ["EN"] = "So many races to win!"; }; ["SUMMARY"] = { ["EN"] = "Complete 2 deeds"; }; ["TITLE"] = { ["EN"] = "Picky Picker"; }; };</v>
      </c>
      <c r="Z124">
        <f t="shared" si="81"/>
        <v>123</v>
      </c>
      <c r="AA124" t="str">
        <f t="shared" si="52"/>
        <v>[123] = {</v>
      </c>
      <c r="AB124" t="str">
        <f t="shared" si="53"/>
        <v xml:space="preserve">["ID"] = 1879206840; </v>
      </c>
      <c r="AC124" t="str">
        <f t="shared" si="54"/>
        <v xml:space="preserve">["ID"] = 1879206840; </v>
      </c>
      <c r="AD124" t="str">
        <f t="shared" si="55"/>
        <v/>
      </c>
      <c r="AE124" t="str">
        <f t="shared" si="56"/>
        <v xml:space="preserve"> (Farmers Faire)</v>
      </c>
      <c r="AF124" s="1" t="str">
        <f t="shared" si="57"/>
        <v xml:space="preserve">["SAVE_INDEX"] = 100; </v>
      </c>
      <c r="AG124">
        <f>VLOOKUP(D124,Type!A$2:B$16,2,FALSE)</f>
        <v>12</v>
      </c>
      <c r="AH124" t="str">
        <f t="shared" si="58"/>
        <v xml:space="preserve">["TYPE"] = 12; </v>
      </c>
      <c r="AI124" t="str">
        <f t="shared" si="59"/>
        <v xml:space="preserve">                      </v>
      </c>
      <c r="AJ124" t="str">
        <f>IF(AND(F124="Class",NOT(ISBLANK(E124))),VLOOKUP(E124,Class!A$1:B$12,2,FALSE),"")</f>
        <v/>
      </c>
      <c r="AK124" t="str">
        <f>IF(AND(F124="Vocation",NOT(ISBLANK(E124))),VLOOKUP(E124,Vocation!A$1:B$8,2,FALSE),"")</f>
        <v/>
      </c>
      <c r="AL124" t="str">
        <f>IF(AND(F124="Race",NOT(ISBLANK(E124))),VLOOKUP(E124,Race!A$1:B$9,2,),"")</f>
        <v/>
      </c>
      <c r="AM124" t="str">
        <f t="shared" si="60"/>
        <v xml:space="preserve">  0</v>
      </c>
      <c r="AN124" t="str">
        <f t="shared" si="61"/>
        <v xml:space="preserve">["SUBTYPE"] =   0; </v>
      </c>
      <c r="AO124" t="str">
        <f>IF(NOT(ISBLANK(G124)),VLOOKUP(G124,Type!D$2:E$6,2,FALSE),"")</f>
        <v/>
      </c>
      <c r="AP124" t="str">
        <f t="shared" si="62"/>
        <v xml:space="preserve">            </v>
      </c>
      <c r="AQ124" t="str">
        <f t="shared" si="63"/>
        <v xml:space="preserve">                      </v>
      </c>
      <c r="AR124" t="str">
        <f t="shared" si="64"/>
        <v/>
      </c>
      <c r="AS124" t="str">
        <f t="shared" si="65"/>
        <v>0</v>
      </c>
      <c r="AT124" t="str">
        <f t="shared" si="66"/>
        <v xml:space="preserve">["VXP"] =    0; </v>
      </c>
      <c r="AU124" t="str">
        <f t="shared" si="67"/>
        <v>0</v>
      </c>
      <c r="AV124" t="str">
        <f t="shared" si="68"/>
        <v xml:space="preserve">["LP"] =  0; </v>
      </c>
      <c r="AW124" t="str">
        <f t="shared" si="69"/>
        <v>0</v>
      </c>
      <c r="AX124" t="str">
        <f t="shared" si="70"/>
        <v xml:space="preserve">["REP"] =     0; </v>
      </c>
      <c r="AY124">
        <f>IF(LEN(P124)&gt;0,VLOOKUP(P124,Faction!A$2:B$77,2,FALSE),1)</f>
        <v>1</v>
      </c>
      <c r="AZ124" t="str">
        <f t="shared" si="71"/>
        <v xml:space="preserve">["FACTION"] =  1; </v>
      </c>
      <c r="BA124" t="str">
        <f t="shared" si="72"/>
        <v/>
      </c>
      <c r="BB124" t="str">
        <f t="shared" si="73"/>
        <v xml:space="preserve">                     </v>
      </c>
      <c r="BC124" t="str">
        <f t="shared" si="74"/>
        <v xml:space="preserve">                  </v>
      </c>
      <c r="BD124" t="str">
        <f t="shared" si="75"/>
        <v xml:space="preserve">["NAME"] = { ["EN"] = "Too Much of Everything"; }; </v>
      </c>
      <c r="BE124" t="str">
        <f t="shared" si="76"/>
        <v xml:space="preserve">["LORE"] = { ["EN"] = "So many races to win!"; }; </v>
      </c>
      <c r="BF124" t="str">
        <f t="shared" si="77"/>
        <v xml:space="preserve">["SUMMARY"] = { ["EN"] = "Complete 2 deeds"; }; </v>
      </c>
      <c r="BG124" t="str">
        <f t="shared" si="78"/>
        <v xml:space="preserve">["TITLE"] = { ["EN"] = "Picky Picker"; }; </v>
      </c>
      <c r="BH124" t="str">
        <f t="shared" si="79"/>
        <v/>
      </c>
      <c r="BI124" t="str">
        <f t="shared" si="80"/>
        <v/>
      </c>
      <c r="BJ124" t="str">
        <f t="shared" si="82"/>
        <v>};</v>
      </c>
    </row>
    <row r="125" spans="1:62" x14ac:dyDescent="0.25">
      <c r="A125">
        <v>1879185390</v>
      </c>
      <c r="B125">
        <v>103</v>
      </c>
      <c r="C125" t="s">
        <v>727</v>
      </c>
      <c r="D125" t="s">
        <v>24</v>
      </c>
      <c r="E125" t="s">
        <v>728</v>
      </c>
      <c r="M125" t="s">
        <v>729</v>
      </c>
      <c r="R125" t="s">
        <v>732</v>
      </c>
      <c r="S125">
        <v>1</v>
      </c>
      <c r="X125" t="str">
        <f t="shared" si="50"/>
        <v>[124] = {["ID"] = 1879185390; ["TIER"] = 1; }; -- A Lucky Day at the Races (Farmers Faire)</v>
      </c>
      <c r="Y125" s="1" t="str">
        <f t="shared" si="51"/>
        <v>[124] = {["ID"] = 1879185390; ["SAVE_INDEX"] = 103; ["TYPE"] = 12;                       ["SUBTYPE"] =   0;                                   ["VXP"] =    0; ["LP"] =  0; ["REP"] =     0; ["FACTION"] =  1; ["TIER"] = 1;                                        ["NAME"] = { ["EN"] = "A Lucky Day at the Races"; }; ["LORE"] = { ["EN"] = "Win at each of the races taking place during the Summer Festival."; }; ["TITLE"] = { ["EN"] = "Lucky Duck"; }; };</v>
      </c>
      <c r="Z125">
        <f t="shared" si="81"/>
        <v>124</v>
      </c>
      <c r="AA125" t="str">
        <f t="shared" si="52"/>
        <v>[124] = {</v>
      </c>
      <c r="AB125" t="str">
        <f t="shared" si="53"/>
        <v xml:space="preserve">["ID"] = 1879185390; </v>
      </c>
      <c r="AC125" t="str">
        <f t="shared" si="54"/>
        <v xml:space="preserve">["ID"] = 1879185390; </v>
      </c>
      <c r="AD125" t="str">
        <f t="shared" si="55"/>
        <v/>
      </c>
      <c r="AE125" t="str">
        <f t="shared" si="56"/>
        <v xml:space="preserve"> (Farmers Faire)</v>
      </c>
      <c r="AF125" s="1" t="str">
        <f t="shared" si="57"/>
        <v xml:space="preserve">["SAVE_INDEX"] = 103;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xml:space="preserve">["TIER"] = 1; </v>
      </c>
      <c r="BB125" t="str">
        <f t="shared" si="73"/>
        <v xml:space="preserve">                     </v>
      </c>
      <c r="BC125" t="str">
        <f t="shared" si="74"/>
        <v xml:space="preserve">                  </v>
      </c>
      <c r="BD125" t="str">
        <f t="shared" si="75"/>
        <v xml:space="preserve">["NAME"] = { ["EN"] = "A Lucky Day at the Races"; }; </v>
      </c>
      <c r="BE125" t="str">
        <f t="shared" si="76"/>
        <v xml:space="preserve">["LORE"] = { ["EN"] = "Win at each of the races taking place during the Summer Festival."; }; </v>
      </c>
      <c r="BF125" t="str">
        <f t="shared" si="77"/>
        <v/>
      </c>
      <c r="BG125" t="str">
        <f t="shared" si="78"/>
        <v xml:space="preserve">["TITLE"] = { ["EN"] = "Lucky Duck"; }; </v>
      </c>
      <c r="BH125" t="str">
        <f t="shared" si="79"/>
        <v/>
      </c>
      <c r="BI125" t="str">
        <f t="shared" si="80"/>
        <v/>
      </c>
      <c r="BJ125" t="str">
        <f t="shared" si="82"/>
        <v>};</v>
      </c>
    </row>
    <row r="126" spans="1:62" x14ac:dyDescent="0.25">
      <c r="A126">
        <v>1879206838</v>
      </c>
      <c r="B126">
        <v>101</v>
      </c>
      <c r="C126" t="s">
        <v>733</v>
      </c>
      <c r="D126" t="s">
        <v>24</v>
      </c>
      <c r="E126" t="s">
        <v>728</v>
      </c>
      <c r="Q126" t="s">
        <v>2149</v>
      </c>
      <c r="R126" t="s">
        <v>2148</v>
      </c>
      <c r="S126">
        <v>1</v>
      </c>
      <c r="X126" t="str">
        <f t="shared" si="50"/>
        <v>[125] = {["ID"] = 1879206838; ["TIER"] = 1; }; -- Much Eating, Much Running (Farmers Faire)</v>
      </c>
      <c r="Y126" s="1" t="str">
        <f t="shared" si="51"/>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1"/>
        <v>125</v>
      </c>
      <c r="AA126" t="str">
        <f t="shared" si="52"/>
        <v>[125] = {</v>
      </c>
      <c r="AB126" t="str">
        <f t="shared" si="53"/>
        <v xml:space="preserve">["ID"] = 1879206838; </v>
      </c>
      <c r="AC126" t="str">
        <f t="shared" si="54"/>
        <v xml:space="preserve">["ID"] = 1879206838; </v>
      </c>
      <c r="AD126" t="str">
        <f t="shared" si="55"/>
        <v/>
      </c>
      <c r="AE126" t="str">
        <f t="shared" si="56"/>
        <v xml:space="preserve"> (Farmers Faire)</v>
      </c>
      <c r="AF126" s="1" t="str">
        <f t="shared" si="57"/>
        <v xml:space="preserve">["SAVE_INDEX"] = 101;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"Much Eating, Much Running"; }; </v>
      </c>
      <c r="BE126" t="str">
        <f t="shared" si="76"/>
        <v xml:space="preserve">["LORE"] = { ["EN"] = "To show true loyalty to the racing hobbits, you must select each of them as your favoured contestant many times and win."; }; </v>
      </c>
      <c r="BF126" t="str">
        <f t="shared" si="77"/>
        <v xml:space="preserve">["SUMMARY"] = { ["EN"] = "Select and win with Dashing Daffodilly, Bustle with Burdy, Gladdy's Gait, and Mudric's Momentum 3 times each."; }; </v>
      </c>
      <c r="BG126" t="str">
        <f t="shared" si="78"/>
        <v/>
      </c>
      <c r="BH126" t="str">
        <f t="shared" si="79"/>
        <v/>
      </c>
      <c r="BI126" t="str">
        <f t="shared" si="80"/>
        <v/>
      </c>
      <c r="BJ126" t="str">
        <f t="shared" si="82"/>
        <v>};</v>
      </c>
    </row>
    <row r="127" spans="1:62" x14ac:dyDescent="0.25">
      <c r="A127">
        <v>1879206839</v>
      </c>
      <c r="B127">
        <v>102</v>
      </c>
      <c r="C127" t="s">
        <v>734</v>
      </c>
      <c r="D127" t="s">
        <v>24</v>
      </c>
      <c r="E127" t="s">
        <v>728</v>
      </c>
      <c r="Q127" t="s">
        <v>2151</v>
      </c>
      <c r="R127" t="s">
        <v>2150</v>
      </c>
      <c r="S127">
        <v>1</v>
      </c>
      <c r="X127" t="str">
        <f t="shared" si="50"/>
        <v>[126] = {["ID"] = 1879206839; ["TIER"] = 1; }; -- Much Drinking, Much Running (Farmers Faire)</v>
      </c>
      <c r="Y127" s="1" t="str">
        <f t="shared" si="51"/>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1"/>
        <v>126</v>
      </c>
      <c r="AA127" t="str">
        <f t="shared" si="52"/>
        <v>[126] = {</v>
      </c>
      <c r="AB127" t="str">
        <f t="shared" si="53"/>
        <v xml:space="preserve">["ID"] = 1879206839; </v>
      </c>
      <c r="AC127" t="str">
        <f t="shared" si="54"/>
        <v xml:space="preserve">["ID"] = 1879206839; </v>
      </c>
      <c r="AD127" t="str">
        <f t="shared" si="55"/>
        <v/>
      </c>
      <c r="AE127" t="str">
        <f t="shared" si="56"/>
        <v xml:space="preserve"> (Farmers Faire)</v>
      </c>
      <c r="AF127" s="1" t="str">
        <f t="shared" si="57"/>
        <v xml:space="preserve">["SAVE_INDEX"] = 102;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Drinking, Much Running"; }; </v>
      </c>
      <c r="BE127" t="str">
        <f t="shared" si="76"/>
        <v xml:space="preserve">["LORE"] = { ["EN"] = "To show true loyalty to the racing dwarves, you must select each of them as your favoured contestant many times and win."; }; </v>
      </c>
      <c r="BF127" t="str">
        <f t="shared" si="77"/>
        <v xml:space="preserve">["SUMMARY"] = { ["EN"] = "Select and win with Kolmar's Credulity, Leg it, Lar, Signar's Swift Step, and Ottó the Outstanding 3 times each."; }; </v>
      </c>
      <c r="BG127" t="str">
        <f t="shared" si="78"/>
        <v/>
      </c>
      <c r="BH127" t="str">
        <f t="shared" si="79"/>
        <v/>
      </c>
      <c r="BI127" t="str">
        <f t="shared" si="80"/>
        <v/>
      </c>
      <c r="BJ127" t="str">
        <f t="shared" si="82"/>
        <v>};</v>
      </c>
    </row>
    <row r="128" spans="1:62" x14ac:dyDescent="0.25">
      <c r="A128">
        <v>1879208731</v>
      </c>
      <c r="B128">
        <v>104</v>
      </c>
      <c r="C128" t="s">
        <v>830</v>
      </c>
      <c r="D128" t="s">
        <v>24</v>
      </c>
      <c r="E128" t="s">
        <v>728</v>
      </c>
      <c r="Q128" t="s">
        <v>963</v>
      </c>
      <c r="R128" t="s">
        <v>2158</v>
      </c>
      <c r="S128">
        <v>0</v>
      </c>
      <c r="X128" t="str">
        <f t="shared" si="50"/>
        <v>[127] = {["ID"] = 1879208731; }; -- Consume Consumables: Essence of Toad (Farmers Faire)</v>
      </c>
      <c r="Y128" s="1" t="str">
        <f t="shared" si="51"/>
        <v>[127]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8">
        <f t="shared" si="81"/>
        <v>127</v>
      </c>
      <c r="AA128" t="str">
        <f t="shared" si="52"/>
        <v>[127] = {</v>
      </c>
      <c r="AB128" t="str">
        <f t="shared" si="53"/>
        <v xml:space="preserve">["ID"] = 1879208731; </v>
      </c>
      <c r="AC128" t="str">
        <f t="shared" si="54"/>
        <v xml:space="preserve">["ID"] = 1879208731; </v>
      </c>
      <c r="AD128" t="str">
        <f t="shared" si="55"/>
        <v/>
      </c>
      <c r="AE128" t="str">
        <f t="shared" si="56"/>
        <v xml:space="preserve"> (Farmers Faire)</v>
      </c>
      <c r="AF128" s="1" t="str">
        <f t="shared" si="57"/>
        <v xml:space="preserve">["SAVE_INDEX"] = 104;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c>
      <c r="BB128" t="str">
        <f t="shared" si="73"/>
        <v xml:space="preserve">                     </v>
      </c>
      <c r="BC128" t="str">
        <f t="shared" si="74"/>
        <v xml:space="preserve">                  </v>
      </c>
      <c r="BD128" t="str">
        <f t="shared" si="75"/>
        <v xml:space="preserve">["NAME"] = { ["EN"] = "Consume Consumables: Essence of Toad"; }; </v>
      </c>
      <c r="BE128" t="str">
        <f t="shared" si="76"/>
        <v xml:space="preserve">["LORE"] = { ["EN"] = "Essence of toad can be purchased during the Summer Festival. You should use essence of toad many times to accomplish this deed."; }; </v>
      </c>
      <c r="BF128" t="str">
        <f t="shared" si="77"/>
        <v xml:space="preserve">["SUMMARY"] = { ["EN"] = "Use Essence of Toad 300 times."; }; </v>
      </c>
      <c r="BG128" t="str">
        <f t="shared" si="78"/>
        <v/>
      </c>
      <c r="BH128" t="str">
        <f t="shared" si="79"/>
        <v/>
      </c>
      <c r="BI128" t="str">
        <f t="shared" si="80"/>
        <v/>
      </c>
      <c r="BJ128" t="str">
        <f t="shared" si="82"/>
        <v>};</v>
      </c>
    </row>
    <row r="129" spans="1:62" x14ac:dyDescent="0.25">
      <c r="A129">
        <v>1879208730</v>
      </c>
      <c r="B129">
        <v>105</v>
      </c>
      <c r="C129" t="s">
        <v>964</v>
      </c>
      <c r="D129" t="s">
        <v>24</v>
      </c>
      <c r="E129" t="s">
        <v>728</v>
      </c>
      <c r="Q129" t="s">
        <v>965</v>
      </c>
      <c r="R129" t="s">
        <v>2157</v>
      </c>
      <c r="S129">
        <v>0</v>
      </c>
      <c r="X129" t="str">
        <f t="shared" si="50"/>
        <v>[128] = {["ID"] = 1879208730; }; -- Consume Consumables: Fire-breathing (Farmers Faire)</v>
      </c>
      <c r="Y129" s="1" t="str">
        <f t="shared" si="51"/>
        <v>[128]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29">
        <f t="shared" si="81"/>
        <v>128</v>
      </c>
      <c r="AA129" t="str">
        <f t="shared" si="52"/>
        <v>[128] = {</v>
      </c>
      <c r="AB129" t="str">
        <f t="shared" si="53"/>
        <v xml:space="preserve">["ID"] = 1879208730; </v>
      </c>
      <c r="AC129" t="str">
        <f t="shared" si="54"/>
        <v xml:space="preserve">["ID"] = 1879208730; </v>
      </c>
      <c r="AD129" t="str">
        <f t="shared" si="55"/>
        <v/>
      </c>
      <c r="AE129" t="str">
        <f t="shared" si="56"/>
        <v xml:space="preserve"> (Farmers Faire)</v>
      </c>
      <c r="AF129" s="1" t="str">
        <f t="shared" si="57"/>
        <v xml:space="preserve">["SAVE_INDEX"] = 105;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Fire-breathing"; }; </v>
      </c>
      <c r="BE129" t="str">
        <f t="shared" si="76"/>
        <v xml:space="preserve">["LORE"] = { ["EN"] = "Fire-breathing potions can be purchased during the Summer Festival. You should use the fire-breathing potion many times to accomplish this deed."; }; </v>
      </c>
      <c r="BF129" t="str">
        <f t="shared" si="77"/>
        <v xml:space="preserve">["SUMMARY"] = { ["EN"] = "Use Fire-breathing Potion 300 times."; }; </v>
      </c>
      <c r="BG129" t="str">
        <f t="shared" si="78"/>
        <v/>
      </c>
      <c r="BH129" t="str">
        <f t="shared" si="79"/>
        <v/>
      </c>
      <c r="BI129" t="str">
        <f t="shared" si="80"/>
        <v/>
      </c>
      <c r="BJ129" t="str">
        <f t="shared" si="82"/>
        <v>};</v>
      </c>
    </row>
    <row r="130" spans="1:62" x14ac:dyDescent="0.25">
      <c r="A130">
        <v>1879208715</v>
      </c>
      <c r="B130">
        <v>106</v>
      </c>
      <c r="C130" t="s">
        <v>831</v>
      </c>
      <c r="D130" t="s">
        <v>24</v>
      </c>
      <c r="E130" t="s">
        <v>728</v>
      </c>
      <c r="Q130" t="s">
        <v>966</v>
      </c>
      <c r="R130" t="s">
        <v>2154</v>
      </c>
      <c r="S130">
        <v>0</v>
      </c>
      <c r="X130" t="str">
        <f t="shared" si="50"/>
        <v>[129] = {["ID"] = 1879208715; }; -- Consume Consumables: Foul Blast (Farmers Faire)</v>
      </c>
      <c r="Y130" s="1" t="str">
        <f t="shared" si="51"/>
        <v>[129]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0">
        <f t="shared" si="81"/>
        <v>129</v>
      </c>
      <c r="AA130" t="str">
        <f t="shared" si="52"/>
        <v>[129] = {</v>
      </c>
      <c r="AB130" t="str">
        <f t="shared" si="53"/>
        <v xml:space="preserve">["ID"] = 1879208715; </v>
      </c>
      <c r="AC130" t="str">
        <f t="shared" si="54"/>
        <v xml:space="preserve">["ID"] = 1879208715; </v>
      </c>
      <c r="AD130" t="str">
        <f t="shared" si="55"/>
        <v/>
      </c>
      <c r="AE130" t="str">
        <f t="shared" si="56"/>
        <v xml:space="preserve"> (Farmers Faire)</v>
      </c>
      <c r="AF130" s="1" t="str">
        <f t="shared" si="57"/>
        <v xml:space="preserve">["SAVE_INDEX"] = 106;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Foul Blast"; }; </v>
      </c>
      <c r="BE130" t="str">
        <f t="shared" si="76"/>
        <v xml:space="preserve">["LORE"] = { ["EN"] = "Foul blast can be purchased during the Summer Festival. You should use foul blast many times to accomplish this deed."; }; </v>
      </c>
      <c r="BF130" t="str">
        <f t="shared" si="77"/>
        <v xml:space="preserve">["SUMMARY"] = { ["EN"] = "Use Foul Blast 300 times."; }; </v>
      </c>
      <c r="BG130" t="str">
        <f t="shared" si="78"/>
        <v/>
      </c>
      <c r="BH130" t="str">
        <f t="shared" si="79"/>
        <v/>
      </c>
      <c r="BI130" t="str">
        <f t="shared" si="80"/>
        <v/>
      </c>
      <c r="BJ130" t="str">
        <f t="shared" si="82"/>
        <v>};</v>
      </c>
    </row>
    <row r="131" spans="1:62" x14ac:dyDescent="0.25">
      <c r="A131">
        <v>1879208729</v>
      </c>
      <c r="B131">
        <v>107</v>
      </c>
      <c r="C131" t="s">
        <v>833</v>
      </c>
      <c r="D131" t="s">
        <v>24</v>
      </c>
      <c r="E131" t="s">
        <v>728</v>
      </c>
      <c r="Q131" t="s">
        <v>974</v>
      </c>
      <c r="R131" t="s">
        <v>2156</v>
      </c>
      <c r="S131">
        <v>0</v>
      </c>
      <c r="X131" t="str">
        <f t="shared" ref="X131:X194" si="112">CONCATENATE(AA131,AC131,AD131,BA131,BJ131," -- ",C131,AE131)</f>
        <v>[130] = {["ID"] = 1879208729; }; -- Consume Consumables: Monster Fare (Farmers Faire)</v>
      </c>
      <c r="Y131" s="1" t="str">
        <f t="shared" si="51"/>
        <v>[130]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1">
        <f t="shared" si="81"/>
        <v>130</v>
      </c>
      <c r="AA131" t="str">
        <f t="shared" si="52"/>
        <v>[130] = {</v>
      </c>
      <c r="AB131" t="str">
        <f t="shared" si="53"/>
        <v xml:space="preserve">["ID"] = 1879208729; </v>
      </c>
      <c r="AC131" t="str">
        <f t="shared" si="54"/>
        <v xml:space="preserve">["ID"] = 1879208729; </v>
      </c>
      <c r="AD131" t="str">
        <f t="shared" si="55"/>
        <v/>
      </c>
      <c r="AE131" t="str">
        <f t="shared" si="56"/>
        <v xml:space="preserve"> (Farmers Faire)</v>
      </c>
      <c r="AF131" s="1" t="str">
        <f t="shared" si="57"/>
        <v xml:space="preserve">["SAVE_INDEX"] = 107;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ref="BA131:BA194" si="113">IF(S131&gt;0,CONCATENATE("[""TIER""] = ",TEXT(S131,"0"),"; "),"")</f>
        <v/>
      </c>
      <c r="BB131" t="str">
        <f t="shared" si="73"/>
        <v xml:space="preserve">                     </v>
      </c>
      <c r="BC131" t="str">
        <f t="shared" si="74"/>
        <v xml:space="preserve">                  </v>
      </c>
      <c r="BD131" t="str">
        <f t="shared" si="75"/>
        <v xml:space="preserve">["NAME"] = { ["EN"] = "Consume Consumables: Monster Fare"; }; </v>
      </c>
      <c r="BE131" t="str">
        <f t="shared" si="76"/>
        <v xml:space="preserve">["LORE"] = { ["EN"] = "Monster fare can be purchased during the Summer Festival. You should use monster fare many times to accomplish this deed."; }; </v>
      </c>
      <c r="BF131" t="str">
        <f t="shared" si="77"/>
        <v xml:space="preserve">["SUMMARY"] = { ["EN"] = "Use Monster Fare 300 times."; }; </v>
      </c>
      <c r="BG131" t="str">
        <f t="shared" si="78"/>
        <v/>
      </c>
      <c r="BH131" t="str">
        <f t="shared" si="79"/>
        <v/>
      </c>
      <c r="BI131" t="str">
        <f t="shared" si="80"/>
        <v/>
      </c>
      <c r="BJ131" t="str">
        <f t="shared" si="82"/>
        <v>};</v>
      </c>
    </row>
    <row r="132" spans="1:62" x14ac:dyDescent="0.25">
      <c r="A132">
        <v>1879208714</v>
      </c>
      <c r="B132">
        <v>108</v>
      </c>
      <c r="C132" t="s">
        <v>837</v>
      </c>
      <c r="D132" t="s">
        <v>24</v>
      </c>
      <c r="E132" t="s">
        <v>728</v>
      </c>
      <c r="Q132" t="s">
        <v>979</v>
      </c>
      <c r="R132" t="s">
        <v>2153</v>
      </c>
      <c r="S132">
        <v>0</v>
      </c>
      <c r="X132" t="str">
        <f t="shared" si="112"/>
        <v>[131] = {["ID"] = 1879208714; }; -- Consume Consumables: Saffron's Lipstick (Farmers Faire)</v>
      </c>
      <c r="Y132" s="1" t="str">
        <f t="shared" si="51"/>
        <v>[131]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2">
        <f t="shared" si="81"/>
        <v>131</v>
      </c>
      <c r="AA132" t="str">
        <f t="shared" si="52"/>
        <v>[131] = {</v>
      </c>
      <c r="AB132" t="str">
        <f t="shared" si="53"/>
        <v xml:space="preserve">["ID"] = 1879208714; </v>
      </c>
      <c r="AC132" t="str">
        <f t="shared" si="54"/>
        <v xml:space="preserve">["ID"] = 1879208714; </v>
      </c>
      <c r="AD132" t="str">
        <f t="shared" si="55"/>
        <v/>
      </c>
      <c r="AE132" t="str">
        <f t="shared" si="56"/>
        <v xml:space="preserve"> (Farmers Faire)</v>
      </c>
      <c r="AF132" s="1" t="str">
        <f t="shared" si="57"/>
        <v xml:space="preserve">["SAVE_INDEX"] = 108;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si="113"/>
        <v/>
      </c>
      <c r="BB132" t="str">
        <f t="shared" si="73"/>
        <v xml:space="preserve">                     </v>
      </c>
      <c r="BC132" t="str">
        <f t="shared" si="74"/>
        <v xml:space="preserve">                  </v>
      </c>
      <c r="BD132" t="str">
        <f t="shared" si="75"/>
        <v xml:space="preserve">["NAME"] = { ["EN"] = "Consume Consumables: Saffron's Lipstick"; }; </v>
      </c>
      <c r="BE132" t="str">
        <f t="shared" si="76"/>
        <v xml:space="preserve">["LORE"] = { ["EN"] = "Saffron's lipstick can be purchased during the Summer Festival. You should use Saffron's lipstick many times to accomplish this deed."; }; </v>
      </c>
      <c r="BF132" t="str">
        <f t="shared" si="77"/>
        <v xml:space="preserve">["SUMMARY"] = { ["EN"] = "Use Saffron's Lipstick 300 times."; }; </v>
      </c>
      <c r="BG132" t="str">
        <f t="shared" si="78"/>
        <v/>
      </c>
      <c r="BH132" t="str">
        <f t="shared" si="79"/>
        <v/>
      </c>
      <c r="BI132" t="str">
        <f t="shared" si="80"/>
        <v/>
      </c>
      <c r="BJ132" t="str">
        <f t="shared" si="82"/>
        <v>};</v>
      </c>
    </row>
    <row r="133" spans="1:62" x14ac:dyDescent="0.25">
      <c r="A133">
        <v>1879208716</v>
      </c>
      <c r="B133">
        <v>109</v>
      </c>
      <c r="C133" t="s">
        <v>839</v>
      </c>
      <c r="D133" t="s">
        <v>24</v>
      </c>
      <c r="E133" t="s">
        <v>728</v>
      </c>
      <c r="Q133" t="s">
        <v>984</v>
      </c>
      <c r="R133" t="s">
        <v>2155</v>
      </c>
      <c r="S133">
        <v>0</v>
      </c>
      <c r="X133" t="str">
        <f t="shared" si="112"/>
        <v>[132] = {["ID"] = 1879208716; }; -- Consume Consumables: Vile Vittles (Farmers Faire)</v>
      </c>
      <c r="Y133" s="1" t="str">
        <f t="shared" ref="Y133:Y196" si="114">CONCATENATE(AA133,AB133,AF133,AH133,AI133,AN133,AP133,AQ133,AR133,AT133,AV133,AX133,AZ133,BA133,BB133,BC133,BD133,BE133,BF133,BG133,BH133,BI133,BJ133)</f>
        <v>[132]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3">
        <f t="shared" si="81"/>
        <v>132</v>
      </c>
      <c r="AA133" t="str">
        <f t="shared" ref="AA133:AA196" si="115">CONCATENATE(REPT(" ",3-LEN(Z133)),"[",Z133,"] = {")</f>
        <v>[132] = {</v>
      </c>
      <c r="AB133" t="str">
        <f t="shared" ref="AB133:AB196" si="116">IF(LEN(A133)&gt;0,CONCATENATE("[""ID""] = ",A133,"; "),"                     ")</f>
        <v xml:space="preserve">["ID"] = 1879208716; </v>
      </c>
      <c r="AC133" t="str">
        <f t="shared" ref="AC133:AC196" si="117">IF(LEN(A133)&gt;0,CONCATENATE("[""ID""] = ",A133,"; "),"")</f>
        <v xml:space="preserve">["ID"] = 1879208716; </v>
      </c>
      <c r="AD133" t="str">
        <f t="shared" ref="AD133:AD196" si="118">IF(LEN(V133)&gt;0,CONCATENATE("[""CAT_ID""] = ",V133,"; "),"")</f>
        <v/>
      </c>
      <c r="AE133" t="str">
        <f t="shared" ref="AE133:AE196" si="119">IF(LEN(E133)&gt;0,CONCATENATE(" (",E133,")"),IF(LEN(J133)&gt;0,CONCATENATE(" (",J133,")"),""))</f>
        <v xml:space="preserve"> (Farmers Faire)</v>
      </c>
      <c r="AF133" s="1" t="str">
        <f t="shared" ref="AF133:AF196" si="120">IF(LEN(B133)&gt;0,CONCATENATE("[""SAVE_INDEX""] = ",REPT(" ",3-LEN(B133)),B133,"; "),"                      ")</f>
        <v xml:space="preserve">["SAVE_INDEX"] = 109; </v>
      </c>
      <c r="AG133">
        <f>VLOOKUP(D133,Type!A$2:B$16,2,FALSE)</f>
        <v>12</v>
      </c>
      <c r="AH133" t="str">
        <f t="shared" ref="AH133:AH196" si="121">CONCATENATE("[""TYPE""] = ",REPT(" ",2-LEN(AG133)),AG133,"; ")</f>
        <v xml:space="preserve">["TYPE"] = 12; </v>
      </c>
      <c r="AI133" t="str">
        <f t="shared" ref="AI133:AI196" si="122">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3">IF(
  LEN(AJ133)=0,
  IF(
    LEN(AK133)=0,
    IF(
      LEN(AL133)=0,
      "  0",
      CONCATENATE(REPT(" ",3-LEN(AL133)),AL133)
    ),
    CONCATENATE(REPT(" ",3-LEN(AK133)),AK133)
  ),
  CONCATENATE(REPT(" ",3-LEN(AJ133)),AJ133)
)</f>
        <v xml:space="preserve">  0</v>
      </c>
      <c r="AN133" t="str">
        <f t="shared" ref="AN133:AN196" si="124">CONCATENATE("[""SUBTYPE""] = ",AM133,"; ")</f>
        <v xml:space="preserve">["SUBTYPE"] =   0; </v>
      </c>
      <c r="AO133" t="str">
        <f>IF(NOT(ISBLANK(G133)),VLOOKUP(G133,Type!D$2:E$6,2,FALSE),"")</f>
        <v/>
      </c>
      <c r="AP133" t="str">
        <f t="shared" ref="AP133:AP196" si="125">IF(NOT(ISBLANK(G133)),CONCATENATE("[""NA""] = ",AO133,"; "),"            ")</f>
        <v xml:space="preserve">            </v>
      </c>
      <c r="AQ133" t="str">
        <f t="shared" ref="AQ133:AQ196" si="126">IF(NOT(ISBLANK(I133)),"[""LEGENDARY""] = true; ","                      ")</f>
        <v xml:space="preserve">                      </v>
      </c>
      <c r="AR133" t="str">
        <f t="shared" ref="AR133:AR196" si="127">IF(LEN(J133)&gt;0,CONCATENATE("[""MOUNT""] = """,J133,"""; "),"")</f>
        <v/>
      </c>
      <c r="AS133" t="str">
        <f t="shared" ref="AS133:AS196" si="128">TEXT(L133,0)</f>
        <v>0</v>
      </c>
      <c r="AT133" t="str">
        <f t="shared" ref="AT133:AT196" si="129">CONCATENATE("[""VXP""] = ",REPT(" ",4-LEN(AS133)),TEXT(AS133,"0"),"; ")</f>
        <v xml:space="preserve">["VXP"] =    0; </v>
      </c>
      <c r="AU133" t="str">
        <f t="shared" ref="AU133:AU196" si="130">TEXT(N133,0)</f>
        <v>0</v>
      </c>
      <c r="AV133" t="str">
        <f t="shared" ref="AV133:AV196" si="131">CONCATENATE("[""LP""] = ",REPT(" ",2-LEN(AU133)),TEXT(AU133,"0"),"; ")</f>
        <v xml:space="preserve">["LP"] =  0; </v>
      </c>
      <c r="AW133" t="str">
        <f t="shared" ref="AW133:AW196" si="132">TEXT(O133,0)</f>
        <v>0</v>
      </c>
      <c r="AX133" t="str">
        <f t="shared" ref="AX133:AX196" si="133">CONCATENATE("[""REP""] = ",REPT(" ",5-LEN(AW133)),TEXT(AW133,"0"),"; ")</f>
        <v xml:space="preserve">["REP"] =     0; </v>
      </c>
      <c r="AY133">
        <f>IF(LEN(P133)&gt;0,VLOOKUP(P133,Faction!A$2:B$77,2,FALSE),1)</f>
        <v>1</v>
      </c>
      <c r="AZ133" t="str">
        <f t="shared" ref="AZ133:AZ196" si="134">CONCATENATE("[""FACTION""] = ",REPT(" ",2-LEN(AY133)),TEXT(AY133,"0"),"; ")</f>
        <v xml:space="preserve">["FACTION"] =  1; </v>
      </c>
      <c r="BA133" t="str">
        <f t="shared" si="113"/>
        <v/>
      </c>
      <c r="BB133" t="str">
        <f t="shared" ref="BB133:BB196" si="135">IF(LEN(T133)&gt;0,CONCATENATE("[""MIN_LVL""] = ",REPT(" ",3-LEN(T133)),"""",T133,"""; "),"                     ")</f>
        <v xml:space="preserve">                     </v>
      </c>
      <c r="BC133" t="str">
        <f t="shared" ref="BC133:BC196" si="136">IF(LEN(U133)&gt;0,CONCATENATE("[""MAX_LVL""] = ",REPT(" ",2-LEN(U133)),U133,"; "),"                  ")</f>
        <v xml:space="preserve">                  </v>
      </c>
      <c r="BD133" t="str">
        <f t="shared" ref="BD133:BD196" si="137">CONCATENATE("[""NAME""] = { [""EN""] = """,C133,"""; }; ")</f>
        <v xml:space="preserve">["NAME"] = { ["EN"] = "Consume Consumables: Vile Vittles"; }; </v>
      </c>
      <c r="BE133" t="str">
        <f t="shared" ref="BE133:BE196" si="138">IF(LEN(R133)&gt;0,CONCATENATE("[""LORE""] = { [""EN""] = """,R133,"""; }; "),"")</f>
        <v xml:space="preserve">["LORE"] = { ["EN"] = "Vile vittles can be purchased during the Summer Festival. You should use vile vittles many times to accomplish this deed."; }; </v>
      </c>
      <c r="BF133" t="str">
        <f t="shared" ref="BF133:BF196" si="139">IF(LEN(Q133)&gt;0,CONCATENATE("[""SUMMARY""] = { [""EN""] = """,Q133,"""; }; "),"")</f>
        <v xml:space="preserve">["SUMMARY"] = { ["EN"] = "Use Vile Vittles 300 times."; }; </v>
      </c>
      <c r="BG133" t="str">
        <f t="shared" ref="BG133:BG196" si="140">IF(LEN(M133)&gt;0,CONCATENATE("[""TITLE""] = { [""EN""] = """,M133,"""; }; "),"")</f>
        <v/>
      </c>
      <c r="BH133" t="str">
        <f t="shared" ref="BH133:BH196" si="141">IF(LEN(H133)&gt;0,CONCATENATE("[""NOTE""] = { [""EN""] = """,H133,"""; }; "),"")</f>
        <v/>
      </c>
      <c r="BI133" t="str">
        <f t="shared" ref="BI133:BI196" si="142">IF(LEN(K133)&gt;0,CONCATENATE("[""PAIRED""] = { ",K133, " }; "),"")</f>
        <v/>
      </c>
      <c r="BJ133" t="str">
        <f t="shared" si="82"/>
        <v>};</v>
      </c>
    </row>
    <row r="134" spans="1:62" x14ac:dyDescent="0.25">
      <c r="A134">
        <v>1879226630</v>
      </c>
      <c r="B134">
        <v>110</v>
      </c>
      <c r="C134" t="s">
        <v>854</v>
      </c>
      <c r="D134" t="s">
        <v>24</v>
      </c>
      <c r="E134" t="s">
        <v>728</v>
      </c>
      <c r="M134" t="s">
        <v>1022</v>
      </c>
      <c r="Q134" t="s">
        <v>1021</v>
      </c>
      <c r="R134" t="s">
        <v>1020</v>
      </c>
      <c r="S134">
        <v>0</v>
      </c>
      <c r="X134" t="str">
        <f t="shared" si="112"/>
        <v>[133] = {["ID"] = 1879226630; }; -- Full of Farmers Faire (Farmers Faire)</v>
      </c>
      <c r="Y134" s="1" t="str">
        <f t="shared" si="114"/>
        <v>[133]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4">
        <f t="shared" si="81"/>
        <v>133</v>
      </c>
      <c r="AA134" t="str">
        <f t="shared" si="115"/>
        <v>[133] = {</v>
      </c>
      <c r="AB134" t="str">
        <f t="shared" si="116"/>
        <v xml:space="preserve">["ID"] = 1879226630; </v>
      </c>
      <c r="AC134" t="str">
        <f t="shared" si="117"/>
        <v xml:space="preserve">["ID"] = 1879226630; </v>
      </c>
      <c r="AD134" t="str">
        <f t="shared" si="118"/>
        <v/>
      </c>
      <c r="AE134" t="str">
        <f t="shared" si="119"/>
        <v xml:space="preserve"> (Farmers Faire)</v>
      </c>
      <c r="AF134" s="1" t="str">
        <f t="shared" si="120"/>
        <v xml:space="preserve">["SAVE_INDEX"] = 110; </v>
      </c>
      <c r="AG134">
        <f>VLOOKUP(D134,Type!A$2:B$16,2,FALSE)</f>
        <v>12</v>
      </c>
      <c r="AH134" t="str">
        <f t="shared" si="121"/>
        <v xml:space="preserve">["TYPE"] = 12; </v>
      </c>
      <c r="AI134" t="str">
        <f t="shared" si="122"/>
        <v xml:space="preserve">                      </v>
      </c>
      <c r="AJ134" t="str">
        <f>IF(AND(F134="Class",NOT(ISBLANK(E134))),VLOOKUP(E134,Class!A$1:B$12,2,FALSE),"")</f>
        <v/>
      </c>
      <c r="AK134" t="str">
        <f>IF(AND(F134="Vocation",NOT(ISBLANK(E134))),VLOOKUP(E134,Vocation!A$1:B$8,2,FALSE),"")</f>
        <v/>
      </c>
      <c r="AL134" t="str">
        <f>IF(AND(F134="Race",NOT(ISBLANK(E134))),VLOOKUP(E134,Race!A$1:B$9,2,),"")</f>
        <v/>
      </c>
      <c r="AM134" t="str">
        <f t="shared" si="123"/>
        <v xml:space="preserve">  0</v>
      </c>
      <c r="AN134" t="str">
        <f t="shared" si="124"/>
        <v xml:space="preserve">["SUBTYPE"] =   0; </v>
      </c>
      <c r="AO134" t="str">
        <f>IF(NOT(ISBLANK(G134)),VLOOKUP(G134,Type!D$2:E$6,2,FALSE),"")</f>
        <v/>
      </c>
      <c r="AP134" t="str">
        <f t="shared" si="125"/>
        <v xml:space="preserve">            </v>
      </c>
      <c r="AQ134" t="str">
        <f t="shared" si="126"/>
        <v xml:space="preserve">                      </v>
      </c>
      <c r="AR134" t="str">
        <f t="shared" si="127"/>
        <v/>
      </c>
      <c r="AS134" t="str">
        <f t="shared" si="128"/>
        <v>0</v>
      </c>
      <c r="AT134" t="str">
        <f t="shared" si="129"/>
        <v xml:space="preserve">["VXP"] =    0; </v>
      </c>
      <c r="AU134" t="str">
        <f t="shared" si="130"/>
        <v>0</v>
      </c>
      <c r="AV134" t="str">
        <f t="shared" si="131"/>
        <v xml:space="preserve">["LP"] =  0; </v>
      </c>
      <c r="AW134" t="str">
        <f t="shared" si="132"/>
        <v>0</v>
      </c>
      <c r="AX134" t="str">
        <f t="shared" si="133"/>
        <v xml:space="preserve">["REP"] =     0; </v>
      </c>
      <c r="AY134">
        <f>IF(LEN(P134)&gt;0,VLOOKUP(P134,Faction!A$2:B$77,2,FALSE),1)</f>
        <v>1</v>
      </c>
      <c r="AZ134" t="str">
        <f t="shared" si="134"/>
        <v xml:space="preserve">["FACTION"] =  1; </v>
      </c>
      <c r="BA134" t="str">
        <f t="shared" si="113"/>
        <v/>
      </c>
      <c r="BB134" t="str">
        <f t="shared" si="135"/>
        <v xml:space="preserve">                     </v>
      </c>
      <c r="BC134" t="str">
        <f t="shared" si="136"/>
        <v xml:space="preserve">                  </v>
      </c>
      <c r="BD134" t="str">
        <f t="shared" si="137"/>
        <v xml:space="preserve">["NAME"] = { ["EN"] = "Full of Farmers Faire"; }; </v>
      </c>
      <c r="BE134" t="str">
        <f t="shared" si="138"/>
        <v xml:space="preserve">["LORE"] = { ["EN"] = "There is so much to do at the Farmers Faire...it is hard to imagine finishing it all."; }; </v>
      </c>
      <c r="BF134" t="str">
        <f t="shared" si="139"/>
        <v xml:space="preserve">["SUMMARY"] = { ["EN"] = "Complete 5 deeds"; }; </v>
      </c>
      <c r="BG134" t="str">
        <f t="shared" si="140"/>
        <v xml:space="preserve">["TITLE"] = { ["EN"] = "Farmer-friend"; }; </v>
      </c>
      <c r="BH134" t="str">
        <f t="shared" si="141"/>
        <v/>
      </c>
      <c r="BI134" t="str">
        <f t="shared" si="142"/>
        <v/>
      </c>
      <c r="BJ134" t="str">
        <f t="shared" si="82"/>
        <v>};</v>
      </c>
    </row>
    <row r="135" spans="1:62" x14ac:dyDescent="0.25">
      <c r="A135">
        <v>1879226454</v>
      </c>
      <c r="B135">
        <v>111</v>
      </c>
      <c r="C135" t="s">
        <v>855</v>
      </c>
      <c r="D135" t="s">
        <v>24</v>
      </c>
      <c r="E135" t="s">
        <v>728</v>
      </c>
      <c r="M135" t="s">
        <v>855</v>
      </c>
      <c r="N135">
        <v>5</v>
      </c>
      <c r="Q135" t="s">
        <v>1024</v>
      </c>
      <c r="R135" t="s">
        <v>1023</v>
      </c>
      <c r="S135">
        <v>1</v>
      </c>
      <c r="X135" t="str">
        <f t="shared" si="112"/>
        <v>[134] = {["ID"] = 1879226454; ["TIER"] = 1; }; -- Helping Hand (Farmers Faire)</v>
      </c>
      <c r="Y135" s="1" t="str">
        <f t="shared" si="114"/>
        <v>[134] = {["ID"] = 1879226454; ["SAVE_INDEX"] = 111; ["TYPE"] = 12;                       ["SUBTYPE"] =   0;                                   ["VXP"] =    0; ["LP"] =  5; ["REP"] =     0; ["FACTION"] =  1; ["TIER"] = 1;                                        ["NAME"] = { ["EN"] = "Helping Hand"; }; ["LORE"] = { ["EN"] = "Many are the needs during the Farmers Faire."; }; ["SUMMARY"] = { ["EN"] = "Complete 8 quests"; }; ["TITLE"] = { ["EN"] = "Helping Hand"; }; };</v>
      </c>
      <c r="Z135">
        <f t="shared" si="81"/>
        <v>134</v>
      </c>
      <c r="AA135" t="str">
        <f t="shared" si="115"/>
        <v>[134] = {</v>
      </c>
      <c r="AB135" t="str">
        <f t="shared" si="116"/>
        <v xml:space="preserve">["ID"] = 1879226454; </v>
      </c>
      <c r="AC135" t="str">
        <f t="shared" si="117"/>
        <v xml:space="preserve">["ID"] = 1879226454; </v>
      </c>
      <c r="AD135" t="str">
        <f t="shared" si="118"/>
        <v/>
      </c>
      <c r="AE135" t="str">
        <f t="shared" si="119"/>
        <v xml:space="preserve"> (Farmers Faire)</v>
      </c>
      <c r="AF135" s="1" t="str">
        <f t="shared" si="120"/>
        <v xml:space="preserve">["SAVE_INDEX"] = 111; </v>
      </c>
      <c r="AG135">
        <f>VLOOKUP(D135,Type!A$2:B$16,2,FALSE)</f>
        <v>12</v>
      </c>
      <c r="AH135" t="str">
        <f t="shared" si="121"/>
        <v xml:space="preserve">["TYPE"] = 12; </v>
      </c>
      <c r="AI135" t="str">
        <f t="shared" si="122"/>
        <v xml:space="preserve">                      </v>
      </c>
      <c r="AJ135" t="str">
        <f>IF(AND(F135="Class",NOT(ISBLANK(E135))),VLOOKUP(E135,Class!A$1:B$12,2,FALSE),"")</f>
        <v/>
      </c>
      <c r="AK135" t="str">
        <f>IF(AND(F135="Vocation",NOT(ISBLANK(E135))),VLOOKUP(E135,Vocation!A$1:B$8,2,FALSE),"")</f>
        <v/>
      </c>
      <c r="AL135" t="str">
        <f>IF(AND(F135="Race",NOT(ISBLANK(E135))),VLOOKUP(E135,Race!A$1:B$9,2,),"")</f>
        <v/>
      </c>
      <c r="AM135" t="str">
        <f t="shared" si="123"/>
        <v xml:space="preserve">  0</v>
      </c>
      <c r="AN135" t="str">
        <f t="shared" si="124"/>
        <v xml:space="preserve">["SUBTYPE"] =   0; </v>
      </c>
      <c r="AO135" t="str">
        <f>IF(NOT(ISBLANK(G135)),VLOOKUP(G135,Type!D$2:E$6,2,FALSE),"")</f>
        <v/>
      </c>
      <c r="AP135" t="str">
        <f t="shared" si="125"/>
        <v xml:space="preserve">            </v>
      </c>
      <c r="AQ135" t="str">
        <f t="shared" si="126"/>
        <v xml:space="preserve">                      </v>
      </c>
      <c r="AR135" t="str">
        <f t="shared" si="127"/>
        <v/>
      </c>
      <c r="AS135" t="str">
        <f t="shared" si="128"/>
        <v>0</v>
      </c>
      <c r="AT135" t="str">
        <f t="shared" si="129"/>
        <v xml:space="preserve">["VXP"] =    0; </v>
      </c>
      <c r="AU135" t="str">
        <f t="shared" si="130"/>
        <v>5</v>
      </c>
      <c r="AV135" t="str">
        <f t="shared" si="131"/>
        <v xml:space="preserve">["LP"] =  5; </v>
      </c>
      <c r="AW135" t="str">
        <f t="shared" si="132"/>
        <v>0</v>
      </c>
      <c r="AX135" t="str">
        <f t="shared" si="133"/>
        <v xml:space="preserve">["REP"] =     0; </v>
      </c>
      <c r="AY135">
        <f>IF(LEN(P135)&gt;0,VLOOKUP(P135,Faction!A$2:B$77,2,FALSE),1)</f>
        <v>1</v>
      </c>
      <c r="AZ135" t="str">
        <f t="shared" si="134"/>
        <v xml:space="preserve">["FACTION"] =  1; </v>
      </c>
      <c r="BA135" t="str">
        <f t="shared" si="113"/>
        <v xml:space="preserve">["TIER"] = 1; </v>
      </c>
      <c r="BB135" t="str">
        <f t="shared" si="135"/>
        <v xml:space="preserve">                     </v>
      </c>
      <c r="BC135" t="str">
        <f t="shared" si="136"/>
        <v xml:space="preserve">                  </v>
      </c>
      <c r="BD135" t="str">
        <f t="shared" si="137"/>
        <v xml:space="preserve">["NAME"] = { ["EN"] = "Helping Hand"; }; </v>
      </c>
      <c r="BE135" t="str">
        <f t="shared" si="138"/>
        <v xml:space="preserve">["LORE"] = { ["EN"] = "Many are the needs during the Farmers Faire."; }; </v>
      </c>
      <c r="BF135" t="str">
        <f t="shared" si="139"/>
        <v xml:space="preserve">["SUMMARY"] = { ["EN"] = "Complete 8 quests"; }; </v>
      </c>
      <c r="BG135" t="str">
        <f t="shared" si="140"/>
        <v xml:space="preserve">["TITLE"] = { ["EN"] = "Helping Hand"; }; </v>
      </c>
      <c r="BH135" t="str">
        <f t="shared" si="141"/>
        <v/>
      </c>
      <c r="BI135" t="str">
        <f t="shared" si="142"/>
        <v/>
      </c>
      <c r="BJ135" t="str">
        <f t="shared" si="82"/>
        <v>};</v>
      </c>
    </row>
    <row r="136" spans="1:62" x14ac:dyDescent="0.25">
      <c r="A136">
        <v>1879226620</v>
      </c>
      <c r="B136">
        <v>112</v>
      </c>
      <c r="C136" t="s">
        <v>821</v>
      </c>
      <c r="D136" t="s">
        <v>24</v>
      </c>
      <c r="E136" t="s">
        <v>728</v>
      </c>
      <c r="Q136" t="s">
        <v>884</v>
      </c>
      <c r="R136" t="s">
        <v>885</v>
      </c>
      <c r="S136">
        <v>1</v>
      </c>
      <c r="X136" t="str">
        <f t="shared" si="112"/>
        <v>[135] = {["ID"] = 1879226620; ["TIER"] = 1; }; -- At the Farmers Faire (Farmers Faire)</v>
      </c>
      <c r="Y136" s="1" t="str">
        <f t="shared" si="114"/>
        <v>[135] = {["ID"] = 1879226620; ["SAVE_INDEX"] = 112; ["TYPE"] = 12;                       ["SUBTYPE"] =   0;                                   ["VXP"] =    0; ["LP"] =  0; ["REP"] =     0; ["FACTION"] =  1; ["TIER"] = 1;                                        ["NAME"] = { ["EN"] = "At the Farmers Faire"; }; ["LORE"] = { ["EN"] = "There is so much to do at the Farmers Faire!"; }; ["SUMMARY"] = { ["EN"] = "Complete many Farmers Faire quests"; }; };</v>
      </c>
      <c r="Z136">
        <f t="shared" si="81"/>
        <v>135</v>
      </c>
      <c r="AA136" t="str">
        <f t="shared" si="115"/>
        <v>[135] = {</v>
      </c>
      <c r="AB136" t="str">
        <f t="shared" si="116"/>
        <v xml:space="preserve">["ID"] = 1879226620; </v>
      </c>
      <c r="AC136" t="str">
        <f t="shared" si="117"/>
        <v xml:space="preserve">["ID"] = 1879226620; </v>
      </c>
      <c r="AD136" t="str">
        <f t="shared" si="118"/>
        <v/>
      </c>
      <c r="AE136" t="str">
        <f t="shared" si="119"/>
        <v xml:space="preserve"> (Farmers Faire)</v>
      </c>
      <c r="AF136" s="1" t="str">
        <f t="shared" si="120"/>
        <v xml:space="preserve">["SAVE_INDEX"] = 112; </v>
      </c>
      <c r="AG136">
        <f>VLOOKUP(D136,Type!A$2:B$16,2,FALSE)</f>
        <v>12</v>
      </c>
      <c r="AH136" t="str">
        <f t="shared" si="121"/>
        <v xml:space="preserve">["TYPE"] = 12; </v>
      </c>
      <c r="AI136" t="str">
        <f t="shared" si="122"/>
        <v xml:space="preserve">                      </v>
      </c>
      <c r="AJ136" t="str">
        <f>IF(AND(F136="Class",NOT(ISBLANK(E136))),VLOOKUP(E136,Class!A$1:B$12,2,FALSE),"")</f>
        <v/>
      </c>
      <c r="AK136" t="str">
        <f>IF(AND(F136="Vocation",NOT(ISBLANK(E136))),VLOOKUP(E136,Vocation!A$1:B$8,2,FALSE),"")</f>
        <v/>
      </c>
      <c r="AL136" t="str">
        <f>IF(AND(F136="Race",NOT(ISBLANK(E136))),VLOOKUP(E136,Race!A$1:B$9,2,),"")</f>
        <v/>
      </c>
      <c r="AM136" t="str">
        <f t="shared" si="123"/>
        <v xml:space="preserve">  0</v>
      </c>
      <c r="AN136" t="str">
        <f t="shared" si="124"/>
        <v xml:space="preserve">["SUBTYPE"] =   0; </v>
      </c>
      <c r="AO136" t="str">
        <f>IF(NOT(ISBLANK(G136)),VLOOKUP(G136,Type!D$2:E$6,2,FALSE),"")</f>
        <v/>
      </c>
      <c r="AP136" t="str">
        <f t="shared" si="125"/>
        <v xml:space="preserve">            </v>
      </c>
      <c r="AQ136" t="str">
        <f t="shared" si="126"/>
        <v xml:space="preserve">                      </v>
      </c>
      <c r="AR136" t="str">
        <f t="shared" si="127"/>
        <v/>
      </c>
      <c r="AS136" t="str">
        <f t="shared" si="128"/>
        <v>0</v>
      </c>
      <c r="AT136" t="str">
        <f t="shared" si="129"/>
        <v xml:space="preserve">["VXP"] =    0; </v>
      </c>
      <c r="AU136" t="str">
        <f t="shared" si="130"/>
        <v>0</v>
      </c>
      <c r="AV136" t="str">
        <f t="shared" si="131"/>
        <v xml:space="preserve">["LP"] =  0; </v>
      </c>
      <c r="AW136" t="str">
        <f t="shared" si="132"/>
        <v>0</v>
      </c>
      <c r="AX136" t="str">
        <f t="shared" si="133"/>
        <v xml:space="preserve">["REP"] =     0; </v>
      </c>
      <c r="AY136">
        <f>IF(LEN(P136)&gt;0,VLOOKUP(P136,Faction!A$2:B$77,2,FALSE),1)</f>
        <v>1</v>
      </c>
      <c r="AZ136" t="str">
        <f t="shared" si="134"/>
        <v xml:space="preserve">["FACTION"] =  1; </v>
      </c>
      <c r="BA136" t="str">
        <f t="shared" si="113"/>
        <v xml:space="preserve">["TIER"] = 1; </v>
      </c>
      <c r="BB136" t="str">
        <f t="shared" si="135"/>
        <v xml:space="preserve">                     </v>
      </c>
      <c r="BC136" t="str">
        <f t="shared" si="136"/>
        <v xml:space="preserve">                  </v>
      </c>
      <c r="BD136" t="str">
        <f t="shared" si="137"/>
        <v xml:space="preserve">["NAME"] = { ["EN"] = "At the Farmers Faire"; }; </v>
      </c>
      <c r="BE136" t="str">
        <f t="shared" si="138"/>
        <v xml:space="preserve">["LORE"] = { ["EN"] = "There is so much to do at the Farmers Faire!"; }; </v>
      </c>
      <c r="BF136" t="str">
        <f t="shared" si="139"/>
        <v xml:space="preserve">["SUMMARY"] = { ["EN"] = "Complete many Farmers Faire quests"; }; </v>
      </c>
      <c r="BG136" t="str">
        <f t="shared" si="140"/>
        <v/>
      </c>
      <c r="BH136" t="str">
        <f t="shared" si="141"/>
        <v/>
      </c>
      <c r="BI136" t="str">
        <f t="shared" si="142"/>
        <v/>
      </c>
      <c r="BJ136" t="str">
        <f t="shared" si="82"/>
        <v>};</v>
      </c>
    </row>
    <row r="137" spans="1:62" x14ac:dyDescent="0.25">
      <c r="A137">
        <v>1879226621</v>
      </c>
      <c r="B137">
        <v>113</v>
      </c>
      <c r="C137" t="s">
        <v>846</v>
      </c>
      <c r="D137" t="s">
        <v>24</v>
      </c>
      <c r="E137" t="s">
        <v>728</v>
      </c>
      <c r="Q137" t="s">
        <v>1009</v>
      </c>
      <c r="R137" t="s">
        <v>1008</v>
      </c>
      <c r="S137">
        <v>1</v>
      </c>
      <c r="X137" t="str">
        <f t="shared" si="112"/>
        <v>[136] = {["ID"] = 1879226621; ["TIER"] = 1; }; -- Fine Faire Fishing (Farmers Faire)</v>
      </c>
      <c r="Y137" s="1" t="str">
        <f t="shared" si="114"/>
        <v>[136] = {["ID"] = 1879226621; ["SAVE_INDEX"] = 113; ["TYPE"] = 12;                       ["SUBTYPE"] =   0;                                   ["VXP"] =    0; ["LP"] =  0; ["REP"] =     0; ["FACTION"] =  1; ["TIER"] = 1;                                        ["NAME"] = { ["EN"] = "Fine Faire Fishing"; }; ["LORE"] = { ["EN"] = "Enjoy fishing at the Farmers Faire!"; }; ["SUMMARY"] = { ["EN"] = "Complete 3 fishing quests."; }; };</v>
      </c>
      <c r="Z137">
        <f t="shared" si="81"/>
        <v>136</v>
      </c>
      <c r="AA137" t="str">
        <f t="shared" si="115"/>
        <v>[136] = {</v>
      </c>
      <c r="AB137" t="str">
        <f t="shared" si="116"/>
        <v xml:space="preserve">["ID"] = 1879226621; </v>
      </c>
      <c r="AC137" t="str">
        <f t="shared" si="117"/>
        <v xml:space="preserve">["ID"] = 1879226621; </v>
      </c>
      <c r="AD137" t="str">
        <f t="shared" si="118"/>
        <v/>
      </c>
      <c r="AE137" t="str">
        <f t="shared" si="119"/>
        <v xml:space="preserve"> (Farmers Faire)</v>
      </c>
      <c r="AF137" s="1" t="str">
        <f t="shared" si="120"/>
        <v xml:space="preserve">["SAVE_INDEX"] = 113; </v>
      </c>
      <c r="AG137">
        <f>VLOOKUP(D137,Type!A$2:B$16,2,FALSE)</f>
        <v>12</v>
      </c>
      <c r="AH137" t="str">
        <f t="shared" si="121"/>
        <v xml:space="preserve">["TYPE"] = 12; </v>
      </c>
      <c r="AI137" t="str">
        <f t="shared" si="122"/>
        <v xml:space="preserve">                      </v>
      </c>
      <c r="AJ137" t="str">
        <f>IF(AND(F137="Class",NOT(ISBLANK(E137))),VLOOKUP(E137,Class!A$1:B$12,2,FALSE),"")</f>
        <v/>
      </c>
      <c r="AK137" t="str">
        <f>IF(AND(F137="Vocation",NOT(ISBLANK(E137))),VLOOKUP(E137,Vocation!A$1:B$8,2,FALSE),"")</f>
        <v/>
      </c>
      <c r="AL137" t="str">
        <f>IF(AND(F137="Race",NOT(ISBLANK(E137))),VLOOKUP(E137,Race!A$1:B$9,2,),"")</f>
        <v/>
      </c>
      <c r="AM137" t="str">
        <f t="shared" si="123"/>
        <v xml:space="preserve">  0</v>
      </c>
      <c r="AN137" t="str">
        <f t="shared" si="124"/>
        <v xml:space="preserve">["SUBTYPE"] =   0; </v>
      </c>
      <c r="AO137" t="str">
        <f>IF(NOT(ISBLANK(G137)),VLOOKUP(G137,Type!D$2:E$6,2,FALSE),"")</f>
        <v/>
      </c>
      <c r="AP137" t="str">
        <f t="shared" si="125"/>
        <v xml:space="preserve">            </v>
      </c>
      <c r="AQ137" t="str">
        <f t="shared" si="126"/>
        <v xml:space="preserve">                      </v>
      </c>
      <c r="AR137" t="str">
        <f t="shared" si="127"/>
        <v/>
      </c>
      <c r="AS137" t="str">
        <f t="shared" si="128"/>
        <v>0</v>
      </c>
      <c r="AT137" t="str">
        <f t="shared" si="129"/>
        <v xml:space="preserve">["VXP"] =    0; </v>
      </c>
      <c r="AU137" t="str">
        <f t="shared" si="130"/>
        <v>0</v>
      </c>
      <c r="AV137" t="str">
        <f t="shared" si="131"/>
        <v xml:space="preserve">["LP"] =  0; </v>
      </c>
      <c r="AW137" t="str">
        <f t="shared" si="132"/>
        <v>0</v>
      </c>
      <c r="AX137" t="str">
        <f t="shared" si="133"/>
        <v xml:space="preserve">["REP"] =     0; </v>
      </c>
      <c r="AY137">
        <f>IF(LEN(P137)&gt;0,VLOOKUP(P137,Faction!A$2:B$77,2,FALSE),1)</f>
        <v>1</v>
      </c>
      <c r="AZ137" t="str">
        <f t="shared" si="134"/>
        <v xml:space="preserve">["FACTION"] =  1; </v>
      </c>
      <c r="BA137" t="str">
        <f t="shared" si="113"/>
        <v xml:space="preserve">["TIER"] = 1; </v>
      </c>
      <c r="BB137" t="str">
        <f t="shared" si="135"/>
        <v xml:space="preserve">                     </v>
      </c>
      <c r="BC137" t="str">
        <f t="shared" si="136"/>
        <v xml:space="preserve">                  </v>
      </c>
      <c r="BD137" t="str">
        <f t="shared" si="137"/>
        <v xml:space="preserve">["NAME"] = { ["EN"] = "Fine Faire Fishing"; }; </v>
      </c>
      <c r="BE137" t="str">
        <f t="shared" si="138"/>
        <v xml:space="preserve">["LORE"] = { ["EN"] = "Enjoy fishing at the Farmers Faire!"; }; </v>
      </c>
      <c r="BF137" t="str">
        <f t="shared" si="139"/>
        <v xml:space="preserve">["SUMMARY"] = { ["EN"] = "Complete 3 fishing quests."; }; </v>
      </c>
      <c r="BG137" t="str">
        <f t="shared" si="140"/>
        <v/>
      </c>
      <c r="BH137" t="str">
        <f t="shared" si="141"/>
        <v/>
      </c>
      <c r="BI137" t="str">
        <f t="shared" si="142"/>
        <v/>
      </c>
      <c r="BJ137" t="str">
        <f t="shared" si="82"/>
        <v>};</v>
      </c>
    </row>
    <row r="138" spans="1:62" x14ac:dyDescent="0.25">
      <c r="A138">
        <v>1879223771</v>
      </c>
      <c r="B138">
        <v>117</v>
      </c>
      <c r="C138" t="s">
        <v>840</v>
      </c>
      <c r="D138" t="s">
        <v>24</v>
      </c>
      <c r="E138" t="s">
        <v>728</v>
      </c>
      <c r="M138" t="s">
        <v>998</v>
      </c>
      <c r="Q138" t="s">
        <v>997</v>
      </c>
      <c r="R138" t="s">
        <v>996</v>
      </c>
      <c r="S138">
        <v>1</v>
      </c>
      <c r="T138">
        <v>10</v>
      </c>
      <c r="X138" t="str">
        <f t="shared" si="112"/>
        <v>[137] = {["ID"] = 1879223771; ["TIER"] = 1; }; -- Egg Scramble Victories (Tier 1) (Farmers Faire)</v>
      </c>
      <c r="Y138" s="1" t="str">
        <f t="shared" si="114"/>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1"/>
        <v>137</v>
      </c>
      <c r="AA138" t="str">
        <f t="shared" si="115"/>
        <v>[137] = {</v>
      </c>
      <c r="AB138" t="str">
        <f t="shared" si="116"/>
        <v xml:space="preserve">["ID"] = 1879223771; </v>
      </c>
      <c r="AC138" t="str">
        <f t="shared" si="117"/>
        <v xml:space="preserve">["ID"] = 1879223771; </v>
      </c>
      <c r="AD138" t="str">
        <f t="shared" si="118"/>
        <v/>
      </c>
      <c r="AE138" t="str">
        <f t="shared" si="119"/>
        <v xml:space="preserve"> (Farmers Faire)</v>
      </c>
      <c r="AF138" s="1" t="str">
        <f t="shared" si="120"/>
        <v xml:space="preserve">["SAVE_INDEX"] = 117; </v>
      </c>
      <c r="AG138">
        <f>VLOOKUP(D138,Type!A$2:B$16,2,FALSE)</f>
        <v>12</v>
      </c>
      <c r="AH138" t="str">
        <f t="shared" si="121"/>
        <v xml:space="preserve">["TYPE"] = 12; </v>
      </c>
      <c r="AI138" t="str">
        <f t="shared" si="122"/>
        <v xml:space="preserve">                      </v>
      </c>
      <c r="AJ138" t="str">
        <f>IF(AND(F138="Class",NOT(ISBLANK(E138))),VLOOKUP(E138,Class!A$1:B$12,2,FALSE),"")</f>
        <v/>
      </c>
      <c r="AK138" t="str">
        <f>IF(AND(F138="Vocation",NOT(ISBLANK(E138))),VLOOKUP(E138,Vocation!A$1:B$8,2,FALSE),"")</f>
        <v/>
      </c>
      <c r="AL138" t="str">
        <f>IF(AND(F138="Race",NOT(ISBLANK(E138))),VLOOKUP(E138,Race!A$1:B$9,2,),"")</f>
        <v/>
      </c>
      <c r="AM138" t="str">
        <f t="shared" si="123"/>
        <v xml:space="preserve">  0</v>
      </c>
      <c r="AN138" t="str">
        <f t="shared" si="124"/>
        <v xml:space="preserve">["SUBTYPE"] =   0; </v>
      </c>
      <c r="AO138" t="str">
        <f>IF(NOT(ISBLANK(G138)),VLOOKUP(G138,Type!D$2:E$6,2,FALSE),"")</f>
        <v/>
      </c>
      <c r="AP138" t="str">
        <f t="shared" si="125"/>
        <v xml:space="preserve">            </v>
      </c>
      <c r="AQ138" t="str">
        <f t="shared" si="126"/>
        <v xml:space="preserve">                      </v>
      </c>
      <c r="AR138" t="str">
        <f t="shared" si="127"/>
        <v/>
      </c>
      <c r="AS138" t="str">
        <f t="shared" si="128"/>
        <v>0</v>
      </c>
      <c r="AT138" t="str">
        <f t="shared" si="129"/>
        <v xml:space="preserve">["VXP"] =    0; </v>
      </c>
      <c r="AU138" t="str">
        <f t="shared" si="130"/>
        <v>0</v>
      </c>
      <c r="AV138" t="str">
        <f t="shared" si="131"/>
        <v xml:space="preserve">["LP"] =  0; </v>
      </c>
      <c r="AW138" t="str">
        <f t="shared" si="132"/>
        <v>0</v>
      </c>
      <c r="AX138" t="str">
        <f t="shared" si="133"/>
        <v xml:space="preserve">["REP"] =     0; </v>
      </c>
      <c r="AY138">
        <f>IF(LEN(P138)&gt;0,VLOOKUP(P138,Faction!A$2:B$77,2,FALSE),1)</f>
        <v>1</v>
      </c>
      <c r="AZ138" t="str">
        <f t="shared" si="134"/>
        <v xml:space="preserve">["FACTION"] =  1; </v>
      </c>
      <c r="BA138" t="str">
        <f t="shared" si="113"/>
        <v xml:space="preserve">["TIER"] = 1; </v>
      </c>
      <c r="BB138" t="str">
        <f t="shared" si="135"/>
        <v xml:space="preserve">["MIN_LVL"] =  "10"; </v>
      </c>
      <c r="BC138" t="str">
        <f t="shared" si="136"/>
        <v xml:space="preserve">                  </v>
      </c>
      <c r="BD138" t="str">
        <f t="shared" si="137"/>
        <v xml:space="preserve">["NAME"] = { ["EN"] = "Egg Scramble Victories (Tier 1)"; }; </v>
      </c>
      <c r="BE138" t="str">
        <f t="shared" si="138"/>
        <v xml:space="preserve">["LORE"] = { ["EN"] = "Farmer Sandson has opened his yearly Egg Scramble event. Can you prove your worth as a veteran scrambler?"; }; </v>
      </c>
      <c r="BF138" t="str">
        <f t="shared" si="139"/>
        <v xml:space="preserve">["SUMMARY"] = { ["EN"] = "Earn 5 Victories in the Egg Scramble."; }; </v>
      </c>
      <c r="BG138" t="str">
        <f t="shared" si="140"/>
        <v xml:space="preserve">["TITLE"] = { ["EN"] = "Novice Scrambler"; }; </v>
      </c>
      <c r="BH138" t="str">
        <f t="shared" si="141"/>
        <v/>
      </c>
      <c r="BI138" t="str">
        <f t="shared" si="142"/>
        <v/>
      </c>
      <c r="BJ138" t="str">
        <f t="shared" si="82"/>
        <v>};</v>
      </c>
    </row>
    <row r="139" spans="1:62" x14ac:dyDescent="0.25">
      <c r="A139">
        <v>1879226558</v>
      </c>
      <c r="B139">
        <v>115</v>
      </c>
      <c r="C139" t="s">
        <v>856</v>
      </c>
      <c r="D139" t="s">
        <v>24</v>
      </c>
      <c r="E139" t="s">
        <v>728</v>
      </c>
      <c r="M139" t="s">
        <v>3492</v>
      </c>
      <c r="Q139" t="s">
        <v>1028</v>
      </c>
      <c r="R139" t="s">
        <v>1025</v>
      </c>
      <c r="S139">
        <v>1</v>
      </c>
      <c r="T139">
        <v>10</v>
      </c>
      <c r="X139" t="str">
        <f t="shared" si="112"/>
        <v>[138] = {["ID"] = 1879226558; ["TIER"] = 1; }; -- Maggot's Mushrooms Victories (Tier 1) (Farmers Faire)</v>
      </c>
      <c r="Y139" s="1" t="str">
        <f t="shared" si="114"/>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1"/>
        <v>138</v>
      </c>
      <c r="AA139" t="str">
        <f t="shared" si="115"/>
        <v>[138] = {</v>
      </c>
      <c r="AB139" t="str">
        <f t="shared" si="116"/>
        <v xml:space="preserve">["ID"] = 1879226558; </v>
      </c>
      <c r="AC139" t="str">
        <f t="shared" si="117"/>
        <v xml:space="preserve">["ID"] = 1879226558; </v>
      </c>
      <c r="AD139" t="str">
        <f t="shared" si="118"/>
        <v/>
      </c>
      <c r="AE139" t="str">
        <f t="shared" si="119"/>
        <v xml:space="preserve"> (Farmers Faire)</v>
      </c>
      <c r="AF139" s="1" t="str">
        <f t="shared" si="120"/>
        <v xml:space="preserve">["SAVE_INDEX"] = 115; </v>
      </c>
      <c r="AG139">
        <f>VLOOKUP(D139,Type!A$2:B$16,2,FALSE)</f>
        <v>12</v>
      </c>
      <c r="AH139" t="str">
        <f t="shared" si="121"/>
        <v xml:space="preserve">["TYPE"] = 12; </v>
      </c>
      <c r="AI139" t="str">
        <f t="shared" si="122"/>
        <v xml:space="preserve">                      </v>
      </c>
      <c r="AJ139" t="str">
        <f>IF(AND(F139="Class",NOT(ISBLANK(E139))),VLOOKUP(E139,Class!A$1:B$12,2,FALSE),"")</f>
        <v/>
      </c>
      <c r="AK139" t="str">
        <f>IF(AND(F139="Vocation",NOT(ISBLANK(E139))),VLOOKUP(E139,Vocation!A$1:B$8,2,FALSE),"")</f>
        <v/>
      </c>
      <c r="AL139" t="str">
        <f>IF(AND(F139="Race",NOT(ISBLANK(E139))),VLOOKUP(E139,Race!A$1:B$9,2,),"")</f>
        <v/>
      </c>
      <c r="AM139" t="str">
        <f t="shared" si="123"/>
        <v xml:space="preserve">  0</v>
      </c>
      <c r="AN139" t="str">
        <f t="shared" si="124"/>
        <v xml:space="preserve">["SUBTYPE"] =   0; </v>
      </c>
      <c r="AO139" t="str">
        <f>IF(NOT(ISBLANK(G139)),VLOOKUP(G139,Type!D$2:E$6,2,FALSE),"")</f>
        <v/>
      </c>
      <c r="AP139" t="str">
        <f t="shared" si="125"/>
        <v xml:space="preserve">            </v>
      </c>
      <c r="AQ139" t="str">
        <f t="shared" si="126"/>
        <v xml:space="preserve">                      </v>
      </c>
      <c r="AR139" t="str">
        <f t="shared" si="127"/>
        <v/>
      </c>
      <c r="AS139" t="str">
        <f t="shared" si="128"/>
        <v>0</v>
      </c>
      <c r="AT139" t="str">
        <f t="shared" si="129"/>
        <v xml:space="preserve">["VXP"] =    0; </v>
      </c>
      <c r="AU139" t="str">
        <f t="shared" si="130"/>
        <v>0</v>
      </c>
      <c r="AV139" t="str">
        <f t="shared" si="131"/>
        <v xml:space="preserve">["LP"] =  0; </v>
      </c>
      <c r="AW139" t="str">
        <f t="shared" si="132"/>
        <v>0</v>
      </c>
      <c r="AX139" t="str">
        <f t="shared" si="133"/>
        <v xml:space="preserve">["REP"] =     0; </v>
      </c>
      <c r="AY139">
        <f>IF(LEN(P139)&gt;0,VLOOKUP(P139,Faction!A$2:B$77,2,FALSE),1)</f>
        <v>1</v>
      </c>
      <c r="AZ139" t="str">
        <f t="shared" si="134"/>
        <v xml:space="preserve">["FACTION"] =  1; </v>
      </c>
      <c r="BA139" t="str">
        <f t="shared" si="113"/>
        <v xml:space="preserve">["TIER"] = 1; </v>
      </c>
      <c r="BB139" t="str">
        <f t="shared" si="135"/>
        <v xml:space="preserve">["MIN_LVL"] =  "10"; </v>
      </c>
      <c r="BC139" t="str">
        <f t="shared" si="136"/>
        <v xml:space="preserve">                  </v>
      </c>
      <c r="BD139" t="str">
        <f t="shared" si="137"/>
        <v xml:space="preserve">["NAME"] = { ["EN"] = "Maggot's Mushrooms Victories (Tier 1)"; }; </v>
      </c>
      <c r="BE139"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39"/>
        <v xml:space="preserve">["SUMMARY"] = { ["EN"] = "Earn 5 Victories in the Maggot's Mushrooms."; }; </v>
      </c>
      <c r="BG139" t="str">
        <f t="shared" si="140"/>
        <v xml:space="preserve">["TITLE"] = { ["EN"] = "Novice Mushroom-hunter"; }; </v>
      </c>
      <c r="BH139" t="str">
        <f t="shared" si="141"/>
        <v/>
      </c>
      <c r="BI139" t="str">
        <f t="shared" si="142"/>
        <v/>
      </c>
      <c r="BJ139" t="str">
        <f t="shared" si="82"/>
        <v>};</v>
      </c>
    </row>
    <row r="140" spans="1:62" x14ac:dyDescent="0.25">
      <c r="A140">
        <v>1879223830</v>
      </c>
      <c r="B140">
        <v>116</v>
      </c>
      <c r="C140" t="s">
        <v>841</v>
      </c>
      <c r="D140" t="s">
        <v>24</v>
      </c>
      <c r="E140" t="s">
        <v>728</v>
      </c>
      <c r="M140" t="s">
        <v>1000</v>
      </c>
      <c r="Q140" t="s">
        <v>999</v>
      </c>
      <c r="R140" t="s">
        <v>996</v>
      </c>
      <c r="S140">
        <v>0</v>
      </c>
      <c r="T140">
        <v>10</v>
      </c>
      <c r="X140" t="str">
        <f t="shared" si="112"/>
        <v>[139] = {["ID"] = 1879223830; }; -- Egg Scramble Victories (Tier 2) (Farmers Faire)</v>
      </c>
      <c r="Y140" s="1" t="str">
        <f t="shared" si="114"/>
        <v>[139]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0">
        <f t="shared" si="81"/>
        <v>139</v>
      </c>
      <c r="AA140" t="str">
        <f t="shared" si="115"/>
        <v>[139] = {</v>
      </c>
      <c r="AB140" t="str">
        <f t="shared" si="116"/>
        <v xml:space="preserve">["ID"] = 1879223830; </v>
      </c>
      <c r="AC140" t="str">
        <f t="shared" si="117"/>
        <v xml:space="preserve">["ID"] = 1879223830; </v>
      </c>
      <c r="AD140" t="str">
        <f t="shared" si="118"/>
        <v/>
      </c>
      <c r="AE140" t="str">
        <f t="shared" si="119"/>
        <v xml:space="preserve"> (Farmers Faire)</v>
      </c>
      <c r="AF140" s="1" t="str">
        <f t="shared" si="120"/>
        <v xml:space="preserve">["SAVE_INDEX"] = 116; </v>
      </c>
      <c r="AG140">
        <f>VLOOKUP(D140,Type!A$2:B$16,2,FALSE)</f>
        <v>12</v>
      </c>
      <c r="AH140" t="str">
        <f t="shared" si="121"/>
        <v xml:space="preserve">["TYPE"] = 12; </v>
      </c>
      <c r="AI140" t="str">
        <f t="shared" si="122"/>
        <v xml:space="preserve">                      </v>
      </c>
      <c r="AJ140" t="str">
        <f>IF(AND(F140="Class",NOT(ISBLANK(E140))),VLOOKUP(E140,Class!A$1:B$12,2,FALSE),"")</f>
        <v/>
      </c>
      <c r="AK140" t="str">
        <f>IF(AND(F140="Vocation",NOT(ISBLANK(E140))),VLOOKUP(E140,Vocation!A$1:B$8,2,FALSE),"")</f>
        <v/>
      </c>
      <c r="AL140" t="str">
        <f>IF(AND(F140="Race",NOT(ISBLANK(E140))),VLOOKUP(E140,Race!A$1:B$9,2,),"")</f>
        <v/>
      </c>
      <c r="AM140" t="str">
        <f t="shared" si="123"/>
        <v xml:space="preserve">  0</v>
      </c>
      <c r="AN140" t="str">
        <f t="shared" si="124"/>
        <v xml:space="preserve">["SUBTYPE"] =   0; </v>
      </c>
      <c r="AO140" t="str">
        <f>IF(NOT(ISBLANK(G140)),VLOOKUP(G140,Type!D$2:E$6,2,FALSE),"")</f>
        <v/>
      </c>
      <c r="AP140" t="str">
        <f t="shared" si="125"/>
        <v xml:space="preserve">            </v>
      </c>
      <c r="AQ140" t="str">
        <f t="shared" si="126"/>
        <v xml:space="preserve">                      </v>
      </c>
      <c r="AR140" t="str">
        <f t="shared" si="127"/>
        <v/>
      </c>
      <c r="AS140" t="str">
        <f t="shared" si="128"/>
        <v>0</v>
      </c>
      <c r="AT140" t="str">
        <f t="shared" si="129"/>
        <v xml:space="preserve">["VXP"] =    0; </v>
      </c>
      <c r="AU140" t="str">
        <f t="shared" si="130"/>
        <v>0</v>
      </c>
      <c r="AV140" t="str">
        <f t="shared" si="131"/>
        <v xml:space="preserve">["LP"] =  0; </v>
      </c>
      <c r="AW140" t="str">
        <f t="shared" si="132"/>
        <v>0</v>
      </c>
      <c r="AX140" t="str">
        <f t="shared" si="133"/>
        <v xml:space="preserve">["REP"] =     0; </v>
      </c>
      <c r="AY140">
        <f>IF(LEN(P140)&gt;0,VLOOKUP(P140,Faction!A$2:B$77,2,FALSE),1)</f>
        <v>1</v>
      </c>
      <c r="AZ140" t="str">
        <f t="shared" si="134"/>
        <v xml:space="preserve">["FACTION"] =  1; </v>
      </c>
      <c r="BA140" t="str">
        <f t="shared" si="113"/>
        <v/>
      </c>
      <c r="BB140" t="str">
        <f t="shared" si="135"/>
        <v xml:space="preserve">["MIN_LVL"] =  "10"; </v>
      </c>
      <c r="BC140" t="str">
        <f t="shared" si="136"/>
        <v xml:space="preserve">                  </v>
      </c>
      <c r="BD140" t="str">
        <f t="shared" si="137"/>
        <v xml:space="preserve">["NAME"] = { ["EN"] = "Egg Scramble Victories (Tier 2)"; }; </v>
      </c>
      <c r="BE140" t="str">
        <f t="shared" si="138"/>
        <v xml:space="preserve">["LORE"] = { ["EN"] = "Farmer Sandson has opened his yearly Egg Scramble event. Can you prove your worth as a veteran scrambler?"; }; </v>
      </c>
      <c r="BF140" t="str">
        <f t="shared" si="139"/>
        <v xml:space="preserve">["SUMMARY"] = { ["EN"] = "Earn 20 Victories in the Egg Scramble"; }; </v>
      </c>
      <c r="BG140" t="str">
        <f t="shared" si="140"/>
        <v xml:space="preserve">["TITLE"] = { ["EN"] = "the Eggsellent"; }; </v>
      </c>
      <c r="BH140" t="str">
        <f t="shared" si="141"/>
        <v/>
      </c>
      <c r="BI140" t="str">
        <f t="shared" si="142"/>
        <v/>
      </c>
      <c r="BJ140" t="str">
        <f t="shared" si="82"/>
        <v>};</v>
      </c>
    </row>
    <row r="141" spans="1:62" x14ac:dyDescent="0.25">
      <c r="A141">
        <v>1879226559</v>
      </c>
      <c r="B141">
        <v>114</v>
      </c>
      <c r="C141" t="s">
        <v>857</v>
      </c>
      <c r="D141" t="s">
        <v>24</v>
      </c>
      <c r="E141" t="s">
        <v>728</v>
      </c>
      <c r="M141" t="s">
        <v>1026</v>
      </c>
      <c r="Q141" t="s">
        <v>1027</v>
      </c>
      <c r="R141" t="s">
        <v>1029</v>
      </c>
      <c r="S141">
        <v>0</v>
      </c>
      <c r="T141">
        <v>10</v>
      </c>
      <c r="X141" t="str">
        <f t="shared" si="112"/>
        <v>[140] = {["ID"] = 1879226559; }; -- Maggot's Mushrooms Victories (Tier 2) (Farmers Faire)</v>
      </c>
      <c r="Y141" s="1" t="str">
        <f t="shared" si="114"/>
        <v>[140]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1"/>
        <v>140</v>
      </c>
      <c r="AA141" t="str">
        <f t="shared" si="115"/>
        <v>[140] = {</v>
      </c>
      <c r="AB141" t="str">
        <f t="shared" si="116"/>
        <v xml:space="preserve">["ID"] = 1879226559; </v>
      </c>
      <c r="AC141" t="str">
        <f t="shared" si="117"/>
        <v xml:space="preserve">["ID"] = 1879226559; </v>
      </c>
      <c r="AD141" t="str">
        <f t="shared" si="118"/>
        <v/>
      </c>
      <c r="AE141" t="str">
        <f t="shared" si="119"/>
        <v xml:space="preserve"> (Farmers Faire)</v>
      </c>
      <c r="AF141" s="1" t="str">
        <f t="shared" si="120"/>
        <v xml:space="preserve">["SAVE_INDEX"] = 114; </v>
      </c>
      <c r="AG141">
        <f>VLOOKUP(D141,Type!A$2:B$16,2,FALSE)</f>
        <v>12</v>
      </c>
      <c r="AH141" t="str">
        <f t="shared" si="121"/>
        <v xml:space="preserve">["TYPE"] = 12; </v>
      </c>
      <c r="AI141" t="str">
        <f t="shared" si="122"/>
        <v xml:space="preserve">                      </v>
      </c>
      <c r="AJ141" t="str">
        <f>IF(AND(F141="Class",NOT(ISBLANK(E141))),VLOOKUP(E141,Class!A$1:B$12,2,FALSE),"")</f>
        <v/>
      </c>
      <c r="AK141" t="str">
        <f>IF(AND(F141="Vocation",NOT(ISBLANK(E141))),VLOOKUP(E141,Vocation!A$1:B$8,2,FALSE),"")</f>
        <v/>
      </c>
      <c r="AL141" t="str">
        <f>IF(AND(F141="Race",NOT(ISBLANK(E141))),VLOOKUP(E141,Race!A$1:B$9,2,),"")</f>
        <v/>
      </c>
      <c r="AM141" t="str">
        <f t="shared" si="123"/>
        <v xml:space="preserve">  0</v>
      </c>
      <c r="AN141" t="str">
        <f t="shared" si="124"/>
        <v xml:space="preserve">["SUBTYPE"] =   0; </v>
      </c>
      <c r="AO141" t="str">
        <f>IF(NOT(ISBLANK(G141)),VLOOKUP(G141,Type!D$2:E$6,2,FALSE),"")</f>
        <v/>
      </c>
      <c r="AP141" t="str">
        <f t="shared" si="125"/>
        <v xml:space="preserve">            </v>
      </c>
      <c r="AQ141" t="str">
        <f t="shared" si="126"/>
        <v xml:space="preserve">                      </v>
      </c>
      <c r="AR141" t="str">
        <f t="shared" si="127"/>
        <v/>
      </c>
      <c r="AS141" t="str">
        <f t="shared" si="128"/>
        <v>0</v>
      </c>
      <c r="AT141" t="str">
        <f t="shared" si="129"/>
        <v xml:space="preserve">["VXP"] =    0; </v>
      </c>
      <c r="AU141" t="str">
        <f t="shared" si="130"/>
        <v>0</v>
      </c>
      <c r="AV141" t="str">
        <f t="shared" si="131"/>
        <v xml:space="preserve">["LP"] =  0; </v>
      </c>
      <c r="AW141" t="str">
        <f t="shared" si="132"/>
        <v>0</v>
      </c>
      <c r="AX141" t="str">
        <f t="shared" si="133"/>
        <v xml:space="preserve">["REP"] =     0; </v>
      </c>
      <c r="AY141">
        <f>IF(LEN(P141)&gt;0,VLOOKUP(P141,Faction!A$2:B$77,2,FALSE),1)</f>
        <v>1</v>
      </c>
      <c r="AZ141" t="str">
        <f t="shared" si="134"/>
        <v xml:space="preserve">["FACTION"] =  1; </v>
      </c>
      <c r="BA141" t="str">
        <f t="shared" si="113"/>
        <v/>
      </c>
      <c r="BB141" t="str">
        <f t="shared" si="135"/>
        <v xml:space="preserve">["MIN_LVL"] =  "10"; </v>
      </c>
      <c r="BC141" t="str">
        <f t="shared" si="136"/>
        <v xml:space="preserve">                  </v>
      </c>
      <c r="BD141" t="str">
        <f t="shared" si="137"/>
        <v xml:space="preserve">["NAME"] = { ["EN"] = "Maggot's Mushrooms Victories (Tier 2)"; }; </v>
      </c>
      <c r="BE141"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39"/>
        <v xml:space="preserve">["SUMMARY"] = { ["EN"] = "Earn 20 Victories in the Maggot's Mushrooms."; }; </v>
      </c>
      <c r="BG141" t="str">
        <f t="shared" si="140"/>
        <v xml:space="preserve">["TITLE"] = { ["EN"] = "Mushroom-muncher"; }; </v>
      </c>
      <c r="BH141" t="str">
        <f t="shared" si="141"/>
        <v/>
      </c>
      <c r="BI141" t="str">
        <f t="shared" si="142"/>
        <v/>
      </c>
      <c r="BJ141" t="str">
        <f t="shared" si="82"/>
        <v>};</v>
      </c>
    </row>
    <row r="142" spans="1:62" x14ac:dyDescent="0.25">
      <c r="A142">
        <v>1879223831</v>
      </c>
      <c r="B142">
        <v>118</v>
      </c>
      <c r="C142" t="s">
        <v>842</v>
      </c>
      <c r="D142" t="s">
        <v>24</v>
      </c>
      <c r="E142" t="s">
        <v>728</v>
      </c>
      <c r="Q142" t="s">
        <v>1003</v>
      </c>
      <c r="R142" t="s">
        <v>1001</v>
      </c>
      <c r="S142">
        <v>0</v>
      </c>
      <c r="T142">
        <v>10</v>
      </c>
      <c r="X142" t="str">
        <f t="shared" si="112"/>
        <v>[141] = {["ID"] = 1879223831; }; -- Egg Scramble: Collect Coloured Eggs (Farmers Faire)</v>
      </c>
      <c r="Y142" s="1" t="str">
        <f t="shared" si="114"/>
        <v>[141]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2">
        <f t="shared" si="81"/>
        <v>141</v>
      </c>
      <c r="AA142" t="str">
        <f t="shared" si="115"/>
        <v>[141] = {</v>
      </c>
      <c r="AB142" t="str">
        <f t="shared" si="116"/>
        <v xml:space="preserve">["ID"] = 1879223831; </v>
      </c>
      <c r="AC142" t="str">
        <f t="shared" si="117"/>
        <v xml:space="preserve">["ID"] = 1879223831; </v>
      </c>
      <c r="AD142" t="str">
        <f t="shared" si="118"/>
        <v/>
      </c>
      <c r="AE142" t="str">
        <f t="shared" si="119"/>
        <v xml:space="preserve"> (Farmers Faire)</v>
      </c>
      <c r="AF142" s="1" t="str">
        <f t="shared" si="120"/>
        <v xml:space="preserve">["SAVE_INDEX"] = 118; </v>
      </c>
      <c r="AG142">
        <f>VLOOKUP(D142,Type!A$2:B$16,2,FALSE)</f>
        <v>12</v>
      </c>
      <c r="AH142" t="str">
        <f t="shared" si="121"/>
        <v xml:space="preserve">["TYPE"] = 12; </v>
      </c>
      <c r="AI142" t="str">
        <f t="shared" si="122"/>
        <v xml:space="preserve">                      </v>
      </c>
      <c r="AJ142" t="str">
        <f>IF(AND(F142="Class",NOT(ISBLANK(E142))),VLOOKUP(E142,Class!A$1:B$12,2,FALSE),"")</f>
        <v/>
      </c>
      <c r="AK142" t="str">
        <f>IF(AND(F142="Vocation",NOT(ISBLANK(E142))),VLOOKUP(E142,Vocation!A$1:B$8,2,FALSE),"")</f>
        <v/>
      </c>
      <c r="AL142" t="str">
        <f>IF(AND(F142="Race",NOT(ISBLANK(E142))),VLOOKUP(E142,Race!A$1:B$9,2,),"")</f>
        <v/>
      </c>
      <c r="AM142" t="str">
        <f t="shared" si="123"/>
        <v xml:space="preserve">  0</v>
      </c>
      <c r="AN142" t="str">
        <f t="shared" si="124"/>
        <v xml:space="preserve">["SUBTYPE"] =   0; </v>
      </c>
      <c r="AO142" t="str">
        <f>IF(NOT(ISBLANK(G142)),VLOOKUP(G142,Type!D$2:E$6,2,FALSE),"")</f>
        <v/>
      </c>
      <c r="AP142" t="str">
        <f t="shared" si="125"/>
        <v xml:space="preserve">            </v>
      </c>
      <c r="AQ142" t="str">
        <f t="shared" si="126"/>
        <v xml:space="preserve">                      </v>
      </c>
      <c r="AR142" t="str">
        <f t="shared" si="127"/>
        <v/>
      </c>
      <c r="AS142" t="str">
        <f t="shared" si="128"/>
        <v>0</v>
      </c>
      <c r="AT142" t="str">
        <f t="shared" si="129"/>
        <v xml:space="preserve">["VXP"] =    0; </v>
      </c>
      <c r="AU142" t="str">
        <f t="shared" si="130"/>
        <v>0</v>
      </c>
      <c r="AV142" t="str">
        <f t="shared" si="131"/>
        <v xml:space="preserve">["LP"] =  0; </v>
      </c>
      <c r="AW142" t="str">
        <f t="shared" si="132"/>
        <v>0</v>
      </c>
      <c r="AX142" t="str">
        <f t="shared" si="133"/>
        <v xml:space="preserve">["REP"] =     0; </v>
      </c>
      <c r="AY142">
        <f>IF(LEN(P142)&gt;0,VLOOKUP(P142,Faction!A$2:B$77,2,FALSE),1)</f>
        <v>1</v>
      </c>
      <c r="AZ142" t="str">
        <f t="shared" si="134"/>
        <v xml:space="preserve">["FACTION"] =  1; </v>
      </c>
      <c r="BA142" t="str">
        <f t="shared" si="113"/>
        <v/>
      </c>
      <c r="BB142" t="str">
        <f t="shared" si="135"/>
        <v xml:space="preserve">["MIN_LVL"] =  "10"; </v>
      </c>
      <c r="BC142" t="str">
        <f t="shared" si="136"/>
        <v xml:space="preserve">                  </v>
      </c>
      <c r="BD142" t="str">
        <f t="shared" si="137"/>
        <v xml:space="preserve">["NAME"] = { ["EN"] = "Egg Scramble: Collect Coloured Eggs"; }; </v>
      </c>
      <c r="BE142" t="str">
        <f t="shared" si="138"/>
        <v xml:space="preserve">["LORE"] = { ["EN"] = "Farmer Sandson has opened his yearly Egg Scramble event...can you collect all the plain-coloured eggs?"; }; </v>
      </c>
      <c r="BF142" t="str">
        <f t="shared" si="139"/>
        <v xml:space="preserve">["SUMMARY"] = { ["EN"] = "Acquire and use 5 different coloured eggs."; }; </v>
      </c>
      <c r="BG142" t="str">
        <f t="shared" si="140"/>
        <v/>
      </c>
      <c r="BH142" t="str">
        <f t="shared" si="141"/>
        <v/>
      </c>
      <c r="BI142" t="str">
        <f t="shared" si="142"/>
        <v/>
      </c>
      <c r="BJ142" t="str">
        <f t="shared" si="82"/>
        <v>};</v>
      </c>
    </row>
    <row r="143" spans="1:62" x14ac:dyDescent="0.25">
      <c r="A143">
        <v>1879223828</v>
      </c>
      <c r="B143">
        <v>119</v>
      </c>
      <c r="C143" t="s">
        <v>843</v>
      </c>
      <c r="D143" t="s">
        <v>24</v>
      </c>
      <c r="E143" t="s">
        <v>728</v>
      </c>
      <c r="Q143" t="s">
        <v>1004</v>
      </c>
      <c r="R143" t="s">
        <v>1002</v>
      </c>
      <c r="S143">
        <v>0</v>
      </c>
      <c r="T143">
        <v>10</v>
      </c>
      <c r="X143" t="str">
        <f t="shared" si="112"/>
        <v>[142] = {["ID"] = 1879223828; }; -- Egg Scramble: Collect Spotted Eggs (Farmers Faire)</v>
      </c>
      <c r="Y143" s="1" t="str">
        <f t="shared" si="114"/>
        <v>[142]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3">
        <f t="shared" si="81"/>
        <v>142</v>
      </c>
      <c r="AA143" t="str">
        <f t="shared" si="115"/>
        <v>[142] = {</v>
      </c>
      <c r="AB143" t="str">
        <f t="shared" si="116"/>
        <v xml:space="preserve">["ID"] = 1879223828; </v>
      </c>
      <c r="AC143" t="str">
        <f t="shared" si="117"/>
        <v xml:space="preserve">["ID"] = 1879223828; </v>
      </c>
      <c r="AD143" t="str">
        <f t="shared" si="118"/>
        <v/>
      </c>
      <c r="AE143" t="str">
        <f t="shared" si="119"/>
        <v xml:space="preserve"> (Farmers Faire)</v>
      </c>
      <c r="AF143" s="1" t="str">
        <f t="shared" si="120"/>
        <v xml:space="preserve">["SAVE_INDEX"] = 119; </v>
      </c>
      <c r="AG143">
        <f>VLOOKUP(D143,Type!A$2:B$16,2,FALSE)</f>
        <v>12</v>
      </c>
      <c r="AH143" t="str">
        <f t="shared" si="121"/>
        <v xml:space="preserve">["TYPE"] = 12; </v>
      </c>
      <c r="AI143" t="str">
        <f t="shared" si="122"/>
        <v xml:space="preserve">                      </v>
      </c>
      <c r="AJ143" t="str">
        <f>IF(AND(F143="Class",NOT(ISBLANK(E143))),VLOOKUP(E143,Class!A$1:B$12,2,FALSE),"")</f>
        <v/>
      </c>
      <c r="AK143" t="str">
        <f>IF(AND(F143="Vocation",NOT(ISBLANK(E143))),VLOOKUP(E143,Vocation!A$1:B$8,2,FALSE),"")</f>
        <v/>
      </c>
      <c r="AL143" t="str">
        <f>IF(AND(F143="Race",NOT(ISBLANK(E143))),VLOOKUP(E143,Race!A$1:B$9,2,),"")</f>
        <v/>
      </c>
      <c r="AM143" t="str">
        <f t="shared" si="123"/>
        <v xml:space="preserve">  0</v>
      </c>
      <c r="AN143" t="str">
        <f t="shared" si="124"/>
        <v xml:space="preserve">["SUBTYPE"] =   0; </v>
      </c>
      <c r="AO143" t="str">
        <f>IF(NOT(ISBLANK(G143)),VLOOKUP(G143,Type!D$2:E$6,2,FALSE),"")</f>
        <v/>
      </c>
      <c r="AP143" t="str">
        <f t="shared" si="125"/>
        <v xml:space="preserve">            </v>
      </c>
      <c r="AQ143" t="str">
        <f t="shared" si="126"/>
        <v xml:space="preserve">                      </v>
      </c>
      <c r="AR143" t="str">
        <f t="shared" si="127"/>
        <v/>
      </c>
      <c r="AS143" t="str">
        <f t="shared" si="128"/>
        <v>0</v>
      </c>
      <c r="AT143" t="str">
        <f t="shared" si="129"/>
        <v xml:space="preserve">["VXP"] =    0; </v>
      </c>
      <c r="AU143" t="str">
        <f t="shared" si="130"/>
        <v>0</v>
      </c>
      <c r="AV143" t="str">
        <f t="shared" si="131"/>
        <v xml:space="preserve">["LP"] =  0; </v>
      </c>
      <c r="AW143" t="str">
        <f t="shared" si="132"/>
        <v>0</v>
      </c>
      <c r="AX143" t="str">
        <f t="shared" si="133"/>
        <v xml:space="preserve">["REP"] =     0; </v>
      </c>
      <c r="AY143">
        <f>IF(LEN(P143)&gt;0,VLOOKUP(P143,Faction!A$2:B$77,2,FALSE),1)</f>
        <v>1</v>
      </c>
      <c r="AZ143" t="str">
        <f t="shared" si="134"/>
        <v xml:space="preserve">["FACTION"] =  1; </v>
      </c>
      <c r="BA143" t="str">
        <f t="shared" si="113"/>
        <v/>
      </c>
      <c r="BB143" t="str">
        <f t="shared" si="135"/>
        <v xml:space="preserve">["MIN_LVL"] =  "10"; </v>
      </c>
      <c r="BC143" t="str">
        <f t="shared" si="136"/>
        <v xml:space="preserve">                  </v>
      </c>
      <c r="BD143" t="str">
        <f t="shared" si="137"/>
        <v xml:space="preserve">["NAME"] = { ["EN"] = "Egg Scramble: Collect Spotted Eggs"; }; </v>
      </c>
      <c r="BE143" t="str">
        <f t="shared" si="138"/>
        <v xml:space="preserve">["LORE"] = { ["EN"] = "Farmer Sandson has opened his yearly Egg Scramble event...can you collect all the spotted eggs?"; }; </v>
      </c>
      <c r="BF143" t="str">
        <f t="shared" si="139"/>
        <v xml:space="preserve">["SUMMARY"] = { ["EN"] = "Acquire and use 5 different spotted eggs."; }; </v>
      </c>
      <c r="BG143" t="str">
        <f t="shared" si="140"/>
        <v/>
      </c>
      <c r="BH143" t="str">
        <f t="shared" si="141"/>
        <v/>
      </c>
      <c r="BI143" t="str">
        <f t="shared" si="142"/>
        <v/>
      </c>
      <c r="BJ143" t="str">
        <f t="shared" si="82"/>
        <v>};</v>
      </c>
    </row>
    <row r="144" spans="1:62" x14ac:dyDescent="0.25">
      <c r="A144">
        <v>1879223832</v>
      </c>
      <c r="B144">
        <v>120</v>
      </c>
      <c r="C144" t="s">
        <v>844</v>
      </c>
      <c r="D144" t="s">
        <v>24</v>
      </c>
      <c r="E144" t="s">
        <v>728</v>
      </c>
      <c r="Q144" t="s">
        <v>1006</v>
      </c>
      <c r="R144" t="s">
        <v>1005</v>
      </c>
      <c r="S144">
        <v>0</v>
      </c>
      <c r="T144">
        <v>10</v>
      </c>
      <c r="X144" t="str">
        <f t="shared" si="112"/>
        <v>[143] = {["ID"] = 1879223832; }; -- Egg Scramble: Collect Striped Eggs (Farmers Faire)</v>
      </c>
      <c r="Y144" s="1" t="str">
        <f t="shared" si="114"/>
        <v>[143]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4">
        <f t="shared" si="81"/>
        <v>143</v>
      </c>
      <c r="AA144" t="str">
        <f t="shared" si="115"/>
        <v>[143] = {</v>
      </c>
      <c r="AB144" t="str">
        <f t="shared" si="116"/>
        <v xml:space="preserve">["ID"] = 1879223832; </v>
      </c>
      <c r="AC144" t="str">
        <f t="shared" si="117"/>
        <v xml:space="preserve">["ID"] = 1879223832; </v>
      </c>
      <c r="AD144" t="str">
        <f t="shared" si="118"/>
        <v/>
      </c>
      <c r="AE144" t="str">
        <f t="shared" si="119"/>
        <v xml:space="preserve"> (Farmers Faire)</v>
      </c>
      <c r="AF144" s="1" t="str">
        <f t="shared" si="120"/>
        <v xml:space="preserve">["SAVE_INDEX"] = 120; </v>
      </c>
      <c r="AG144">
        <f>VLOOKUP(D144,Type!A$2:B$16,2,FALSE)</f>
        <v>12</v>
      </c>
      <c r="AH144" t="str">
        <f t="shared" si="121"/>
        <v xml:space="preserve">["TYPE"] = 12; </v>
      </c>
      <c r="AI144" t="str">
        <f t="shared" si="122"/>
        <v xml:space="preserve">                      </v>
      </c>
      <c r="AJ144" t="str">
        <f>IF(AND(F144="Class",NOT(ISBLANK(E144))),VLOOKUP(E144,Class!A$1:B$12,2,FALSE),"")</f>
        <v/>
      </c>
      <c r="AK144" t="str">
        <f>IF(AND(F144="Vocation",NOT(ISBLANK(E144))),VLOOKUP(E144,Vocation!A$1:B$8,2,FALSE),"")</f>
        <v/>
      </c>
      <c r="AL144" t="str">
        <f>IF(AND(F144="Race",NOT(ISBLANK(E144))),VLOOKUP(E144,Race!A$1:B$9,2,),"")</f>
        <v/>
      </c>
      <c r="AM144" t="str">
        <f t="shared" si="123"/>
        <v xml:space="preserve">  0</v>
      </c>
      <c r="AN144" t="str">
        <f t="shared" si="124"/>
        <v xml:space="preserve">["SUBTYPE"] =   0; </v>
      </c>
      <c r="AO144" t="str">
        <f>IF(NOT(ISBLANK(G144)),VLOOKUP(G144,Type!D$2:E$6,2,FALSE),"")</f>
        <v/>
      </c>
      <c r="AP144" t="str">
        <f t="shared" si="125"/>
        <v xml:space="preserve">            </v>
      </c>
      <c r="AQ144" t="str">
        <f t="shared" si="126"/>
        <v xml:space="preserve">                      </v>
      </c>
      <c r="AR144" t="str">
        <f t="shared" si="127"/>
        <v/>
      </c>
      <c r="AS144" t="str">
        <f t="shared" si="128"/>
        <v>0</v>
      </c>
      <c r="AT144" t="str">
        <f t="shared" si="129"/>
        <v xml:space="preserve">["VXP"] =    0; </v>
      </c>
      <c r="AU144" t="str">
        <f t="shared" si="130"/>
        <v>0</v>
      </c>
      <c r="AV144" t="str">
        <f t="shared" si="131"/>
        <v xml:space="preserve">["LP"] =  0; </v>
      </c>
      <c r="AW144" t="str">
        <f t="shared" si="132"/>
        <v>0</v>
      </c>
      <c r="AX144" t="str">
        <f t="shared" si="133"/>
        <v xml:space="preserve">["REP"] =     0; </v>
      </c>
      <c r="AY144">
        <f>IF(LEN(P144)&gt;0,VLOOKUP(P144,Faction!A$2:B$77,2,FALSE),1)</f>
        <v>1</v>
      </c>
      <c r="AZ144" t="str">
        <f t="shared" si="134"/>
        <v xml:space="preserve">["FACTION"] =  1; </v>
      </c>
      <c r="BA144" t="str">
        <f t="shared" si="113"/>
        <v/>
      </c>
      <c r="BB144" t="str">
        <f t="shared" si="135"/>
        <v xml:space="preserve">["MIN_LVL"] =  "10"; </v>
      </c>
      <c r="BC144" t="str">
        <f t="shared" si="136"/>
        <v xml:space="preserve">                  </v>
      </c>
      <c r="BD144" t="str">
        <f t="shared" si="137"/>
        <v xml:space="preserve">["NAME"] = { ["EN"] = "Egg Scramble: Collect Striped Eggs"; }; </v>
      </c>
      <c r="BE144" t="str">
        <f t="shared" si="138"/>
        <v xml:space="preserve">["LORE"] = { ["EN"] = "Farmer Sandson has opened his yearly Egg Scramble event...can you collect all the striped eggs?"; }; </v>
      </c>
      <c r="BF144" t="str">
        <f t="shared" si="139"/>
        <v xml:space="preserve">["SUMMARY"] = { ["EN"] = "Acquire and use 5 different striped eggs."; }; </v>
      </c>
      <c r="BG144" t="str">
        <f t="shared" si="140"/>
        <v/>
      </c>
      <c r="BH144" t="str">
        <f t="shared" si="141"/>
        <v/>
      </c>
      <c r="BI144" t="str">
        <f t="shared" si="142"/>
        <v/>
      </c>
      <c r="BJ144" t="str">
        <f t="shared" si="82"/>
        <v>};</v>
      </c>
    </row>
    <row r="145" spans="1:62" x14ac:dyDescent="0.25">
      <c r="A145">
        <v>1879223829</v>
      </c>
      <c r="B145">
        <v>121</v>
      </c>
      <c r="C145" t="s">
        <v>845</v>
      </c>
      <c r="D145" t="s">
        <v>24</v>
      </c>
      <c r="E145" t="s">
        <v>728</v>
      </c>
      <c r="Q145" t="s">
        <v>1007</v>
      </c>
      <c r="R145" t="s">
        <v>2161</v>
      </c>
      <c r="S145">
        <v>0</v>
      </c>
      <c r="T145">
        <v>10</v>
      </c>
      <c r="X145" t="str">
        <f t="shared" si="112"/>
        <v>[144] = {["ID"] = 1879223829; }; -- Egg Scramble: Collect the Golden Egg (Farmers Faire)</v>
      </c>
      <c r="Y145" s="1" t="str">
        <f t="shared" si="114"/>
        <v>[144]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5">
        <f t="shared" si="81"/>
        <v>144</v>
      </c>
      <c r="AA145" t="str">
        <f t="shared" si="115"/>
        <v>[144] = {</v>
      </c>
      <c r="AB145" t="str">
        <f t="shared" si="116"/>
        <v xml:space="preserve">["ID"] = 1879223829; </v>
      </c>
      <c r="AC145" t="str">
        <f t="shared" si="117"/>
        <v xml:space="preserve">["ID"] = 1879223829; </v>
      </c>
      <c r="AD145" t="str">
        <f t="shared" si="118"/>
        <v/>
      </c>
      <c r="AE145" t="str">
        <f t="shared" si="119"/>
        <v xml:space="preserve"> (Farmers Faire)</v>
      </c>
      <c r="AF145" s="1" t="str">
        <f t="shared" si="120"/>
        <v xml:space="preserve">["SAVE_INDEX"] = 121; </v>
      </c>
      <c r="AG145">
        <f>VLOOKUP(D145,Type!A$2:B$16,2,FALSE)</f>
        <v>12</v>
      </c>
      <c r="AH145" t="str">
        <f t="shared" si="121"/>
        <v xml:space="preserve">["TYPE"] = 12; </v>
      </c>
      <c r="AI145" t="str">
        <f t="shared" si="122"/>
        <v xml:space="preserve">                      </v>
      </c>
      <c r="AJ145" t="str">
        <f>IF(AND(F145="Class",NOT(ISBLANK(E145))),VLOOKUP(E145,Class!A$1:B$12,2,FALSE),"")</f>
        <v/>
      </c>
      <c r="AK145" t="str">
        <f>IF(AND(F145="Vocation",NOT(ISBLANK(E145))),VLOOKUP(E145,Vocation!A$1:B$8,2,FALSE),"")</f>
        <v/>
      </c>
      <c r="AL145" t="str">
        <f>IF(AND(F145="Race",NOT(ISBLANK(E145))),VLOOKUP(E145,Race!A$1:B$9,2,),"")</f>
        <v/>
      </c>
      <c r="AM145" t="str">
        <f t="shared" si="123"/>
        <v xml:space="preserve">  0</v>
      </c>
      <c r="AN145" t="str">
        <f t="shared" si="124"/>
        <v xml:space="preserve">["SUBTYPE"] =   0; </v>
      </c>
      <c r="AO145" t="str">
        <f>IF(NOT(ISBLANK(G145)),VLOOKUP(G145,Type!D$2:E$6,2,FALSE),"")</f>
        <v/>
      </c>
      <c r="AP145" t="str">
        <f t="shared" si="125"/>
        <v xml:space="preserve">            </v>
      </c>
      <c r="AQ145" t="str">
        <f t="shared" si="126"/>
        <v xml:space="preserve">                      </v>
      </c>
      <c r="AR145" t="str">
        <f t="shared" si="127"/>
        <v/>
      </c>
      <c r="AS145" t="str">
        <f t="shared" si="128"/>
        <v>0</v>
      </c>
      <c r="AT145" t="str">
        <f t="shared" si="129"/>
        <v xml:space="preserve">["VXP"] =    0; </v>
      </c>
      <c r="AU145" t="str">
        <f t="shared" si="130"/>
        <v>0</v>
      </c>
      <c r="AV145" t="str">
        <f t="shared" si="131"/>
        <v xml:space="preserve">["LP"] =  0; </v>
      </c>
      <c r="AW145" t="str">
        <f t="shared" si="132"/>
        <v>0</v>
      </c>
      <c r="AX145" t="str">
        <f t="shared" si="133"/>
        <v xml:space="preserve">["REP"] =     0; </v>
      </c>
      <c r="AY145">
        <f>IF(LEN(P145)&gt;0,VLOOKUP(P145,Faction!A$2:B$77,2,FALSE),1)</f>
        <v>1</v>
      </c>
      <c r="AZ145" t="str">
        <f t="shared" si="134"/>
        <v xml:space="preserve">["FACTION"] =  1; </v>
      </c>
      <c r="BA145" t="str">
        <f t="shared" si="113"/>
        <v/>
      </c>
      <c r="BB145" t="str">
        <f t="shared" si="135"/>
        <v xml:space="preserve">["MIN_LVL"] =  "10"; </v>
      </c>
      <c r="BC145" t="str">
        <f t="shared" si="136"/>
        <v xml:space="preserve">                  </v>
      </c>
      <c r="BD145" t="str">
        <f t="shared" si="137"/>
        <v xml:space="preserve">["NAME"] = { ["EN"] = "Egg Scramble: Collect the Golden Egg"; }; </v>
      </c>
      <c r="BE145" t="str">
        <f t="shared" si="138"/>
        <v xml:space="preserve">["LORE"] = { ["EN"] = "Farmer Sandson has opened his yearly Egg Scramble event...can you collect the rare golden egg?"; }; </v>
      </c>
      <c r="BF145" t="str">
        <f t="shared" si="139"/>
        <v xml:space="preserve">["SUMMARY"] = { ["EN"] = "Acquire and use a Golden Egg"; }; </v>
      </c>
      <c r="BG145" t="str">
        <f t="shared" si="140"/>
        <v/>
      </c>
      <c r="BH145" t="str">
        <f t="shared" si="141"/>
        <v/>
      </c>
      <c r="BI145" t="str">
        <f t="shared" si="142"/>
        <v/>
      </c>
      <c r="BJ145" t="str">
        <f t="shared" si="82"/>
        <v>};</v>
      </c>
    </row>
    <row r="146" spans="1:62" x14ac:dyDescent="0.25">
      <c r="A146">
        <v>1879159326</v>
      </c>
      <c r="B146">
        <v>122</v>
      </c>
      <c r="C146" t="s">
        <v>871</v>
      </c>
      <c r="D146" t="s">
        <v>30</v>
      </c>
      <c r="E146" t="s">
        <v>728</v>
      </c>
      <c r="M146" t="s">
        <v>1079</v>
      </c>
      <c r="Q146" t="s">
        <v>1024</v>
      </c>
      <c r="R146" t="s">
        <v>1078</v>
      </c>
      <c r="S146">
        <v>0</v>
      </c>
      <c r="X146" t="str">
        <f t="shared" si="112"/>
        <v>[145] = {["ID"] = 1879159326; }; -- Celebrating Sunshine (Farmers Faire)</v>
      </c>
      <c r="Y146" s="1" t="str">
        <f t="shared" si="114"/>
        <v>[145] = {["ID"] = 1879159326; ["SAVE_INDEX"] = 122; ["TYPE"] =  7;                       ["SUBTYPE"] =   0;                                   ["VXP"] =    0; ["LP"] =  0; ["REP"] =     0; ["FACTION"] =  1;                                        ["NAME"] = { ["EN"] = "Celebrating Sunshine"; }; ["LORE"] = { ["EN"] = "Your fervent participation in the Summer Festival does you credit!"; }; ["SUMMARY"] = { ["EN"] = "Complete 8 quests"; }; ["TITLE"] = { ["EN"] = "Sunshine"; }; };</v>
      </c>
      <c r="Z146">
        <f t="shared" si="81"/>
        <v>145</v>
      </c>
      <c r="AA146" t="str">
        <f t="shared" si="115"/>
        <v>[145] = {</v>
      </c>
      <c r="AB146" t="str">
        <f t="shared" si="116"/>
        <v xml:space="preserve">["ID"] = 1879159326; </v>
      </c>
      <c r="AC146" t="str">
        <f t="shared" si="117"/>
        <v xml:space="preserve">["ID"] = 1879159326; </v>
      </c>
      <c r="AD146" t="str">
        <f t="shared" si="118"/>
        <v/>
      </c>
      <c r="AE146" t="str">
        <f t="shared" si="119"/>
        <v xml:space="preserve"> (Farmers Faire)</v>
      </c>
      <c r="AF146" s="1" t="str">
        <f t="shared" si="120"/>
        <v xml:space="preserve">["SAVE_INDEX"] = 122; </v>
      </c>
      <c r="AG146">
        <f>VLOOKUP(D146,Type!A$2:B$16,2,FALSE)</f>
        <v>7</v>
      </c>
      <c r="AH146" t="str">
        <f t="shared" si="121"/>
        <v xml:space="preserve">["TYPE"] =  7; </v>
      </c>
      <c r="AI146" t="str">
        <f t="shared" si="122"/>
        <v xml:space="preserve">                      </v>
      </c>
      <c r="AJ146" t="str">
        <f>IF(AND(F146="Class",NOT(ISBLANK(E146))),VLOOKUP(E146,Class!A$1:B$12,2,FALSE),"")</f>
        <v/>
      </c>
      <c r="AK146" t="str">
        <f>IF(AND(F146="Vocation",NOT(ISBLANK(E146))),VLOOKUP(E146,Vocation!A$1:B$8,2,FALSE),"")</f>
        <v/>
      </c>
      <c r="AL146" t="str">
        <f>IF(AND(F146="Race",NOT(ISBLANK(E146))),VLOOKUP(E146,Race!A$1:B$9,2,),"")</f>
        <v/>
      </c>
      <c r="AM146" t="str">
        <f t="shared" si="123"/>
        <v xml:space="preserve">  0</v>
      </c>
      <c r="AN146" t="str">
        <f t="shared" si="124"/>
        <v xml:space="preserve">["SUBTYPE"] =   0; </v>
      </c>
      <c r="AO146" t="str">
        <f>IF(NOT(ISBLANK(G146)),VLOOKUP(G146,Type!D$2:E$6,2,FALSE),"")</f>
        <v/>
      </c>
      <c r="AP146" t="str">
        <f t="shared" si="125"/>
        <v xml:space="preserve">            </v>
      </c>
      <c r="AQ146" t="str">
        <f t="shared" si="126"/>
        <v xml:space="preserve">                      </v>
      </c>
      <c r="AR146" t="str">
        <f t="shared" si="127"/>
        <v/>
      </c>
      <c r="AS146" t="str">
        <f t="shared" si="128"/>
        <v>0</v>
      </c>
      <c r="AT146" t="str">
        <f t="shared" si="129"/>
        <v xml:space="preserve">["VXP"] =    0; </v>
      </c>
      <c r="AU146" t="str">
        <f t="shared" si="130"/>
        <v>0</v>
      </c>
      <c r="AV146" t="str">
        <f t="shared" si="131"/>
        <v xml:space="preserve">["LP"] =  0; </v>
      </c>
      <c r="AW146" t="str">
        <f t="shared" si="132"/>
        <v>0</v>
      </c>
      <c r="AX146" t="str">
        <f t="shared" si="133"/>
        <v xml:space="preserve">["REP"] =     0; </v>
      </c>
      <c r="AY146">
        <f>IF(LEN(P146)&gt;0,VLOOKUP(P146,Faction!A$2:B$77,2,FALSE),1)</f>
        <v>1</v>
      </c>
      <c r="AZ146" t="str">
        <f t="shared" si="134"/>
        <v xml:space="preserve">["FACTION"] =  1; </v>
      </c>
      <c r="BA146" t="str">
        <f t="shared" si="113"/>
        <v/>
      </c>
      <c r="BB146" t="str">
        <f t="shared" si="135"/>
        <v xml:space="preserve">                     </v>
      </c>
      <c r="BC146" t="str">
        <f t="shared" si="136"/>
        <v xml:space="preserve">                  </v>
      </c>
      <c r="BD146" t="str">
        <f t="shared" si="137"/>
        <v xml:space="preserve">["NAME"] = { ["EN"] = "Celebrating Sunshine"; }; </v>
      </c>
      <c r="BE146" t="str">
        <f t="shared" si="138"/>
        <v xml:space="preserve">["LORE"] = { ["EN"] = "Your fervent participation in the Summer Festival does you credit!"; }; </v>
      </c>
      <c r="BF146" t="str">
        <f t="shared" si="139"/>
        <v xml:space="preserve">["SUMMARY"] = { ["EN"] = "Complete 8 quests"; }; </v>
      </c>
      <c r="BG146" t="str">
        <f t="shared" si="140"/>
        <v xml:space="preserve">["TITLE"] = { ["EN"] = "Sunshine"; }; </v>
      </c>
      <c r="BH146" t="str">
        <f t="shared" si="141"/>
        <v/>
      </c>
      <c r="BI146" t="str">
        <f t="shared" si="142"/>
        <v/>
      </c>
      <c r="BJ146" t="str">
        <f t="shared" si="82"/>
        <v>};</v>
      </c>
    </row>
    <row r="147" spans="1:62" x14ac:dyDescent="0.25">
      <c r="C147" s="3" t="s">
        <v>2767</v>
      </c>
      <c r="D147" s="2" t="s">
        <v>812</v>
      </c>
      <c r="S147">
        <v>1</v>
      </c>
      <c r="V147">
        <v>135</v>
      </c>
      <c r="X147" t="str">
        <f t="shared" si="112"/>
        <v>[146] = {["CAT_ID"] = 135; ["TIER"] = 1; }; -- - Boss from the Vaults: Thrâng -</v>
      </c>
      <c r="Y147" s="1" t="str">
        <f t="shared" si="114"/>
        <v>[146] = {                                           ["TYPE"] = 14;                       ["SUBTYPE"] =   0;                                   ["VXP"] =    0; ["LP"] =  0; ["REP"] =     0; ["FACTION"] =  1; ["TIER"] = 1;                                        ["NAME"] = { ["EN"] = "- Boss from the Vaults: Thrâng -"; }; };</v>
      </c>
      <c r="Z147">
        <f t="shared" si="81"/>
        <v>146</v>
      </c>
      <c r="AA147" t="str">
        <f t="shared" si="115"/>
        <v>[146] = {</v>
      </c>
      <c r="AB147" t="str">
        <f t="shared" si="116"/>
        <v xml:space="preserve">                     </v>
      </c>
      <c r="AC147" t="str">
        <f t="shared" si="117"/>
        <v/>
      </c>
      <c r="AD147" t="str">
        <f t="shared" si="118"/>
        <v xml:space="preserve">["CAT_ID"] = 135; </v>
      </c>
      <c r="AE147" t="str">
        <f t="shared" si="119"/>
        <v/>
      </c>
      <c r="AF147" s="1" t="str">
        <f t="shared" si="120"/>
        <v xml:space="preserve">                      </v>
      </c>
      <c r="AG147">
        <f>VLOOKUP(D147,Type!A$2:B$16,2,FALSE)</f>
        <v>14</v>
      </c>
      <c r="AH147" t="str">
        <f t="shared" si="121"/>
        <v xml:space="preserve">["TYPE"] = 14; </v>
      </c>
      <c r="AI147" t="str">
        <f t="shared" si="122"/>
        <v xml:space="preserve">                      </v>
      </c>
      <c r="AJ147" t="str">
        <f>IF(AND(F147="Class",NOT(ISBLANK(E147))),VLOOKUP(E147,Class!A$1:B$12,2,FALSE),"")</f>
        <v/>
      </c>
      <c r="AK147" t="str">
        <f>IF(AND(F147="Vocation",NOT(ISBLANK(E147))),VLOOKUP(E147,Vocation!A$1:B$8,2,FALSE),"")</f>
        <v/>
      </c>
      <c r="AL147" t="str">
        <f>IF(AND(F147="Race",NOT(ISBLANK(E147))),VLOOKUP(E147,Race!A$1:B$9,2,),"")</f>
        <v/>
      </c>
      <c r="AM147" t="str">
        <f t="shared" si="123"/>
        <v xml:space="preserve">  0</v>
      </c>
      <c r="AN147" t="str">
        <f t="shared" si="124"/>
        <v xml:space="preserve">["SUBTYPE"] =   0; </v>
      </c>
      <c r="AO147" t="str">
        <f>IF(NOT(ISBLANK(G147)),VLOOKUP(G147,Type!D$2:E$6,2,FALSE),"")</f>
        <v/>
      </c>
      <c r="AP147" t="str">
        <f t="shared" si="125"/>
        <v xml:space="preserve">            </v>
      </c>
      <c r="AQ147" t="str">
        <f t="shared" si="126"/>
        <v xml:space="preserve">                      </v>
      </c>
      <c r="AR147" t="str">
        <f t="shared" si="127"/>
        <v/>
      </c>
      <c r="AS147" t="str">
        <f t="shared" si="128"/>
        <v>0</v>
      </c>
      <c r="AT147" t="str">
        <f t="shared" si="129"/>
        <v xml:space="preserve">["VXP"] =    0; </v>
      </c>
      <c r="AU147" t="str">
        <f t="shared" si="130"/>
        <v>0</v>
      </c>
      <c r="AV147" t="str">
        <f t="shared" si="131"/>
        <v xml:space="preserve">["LP"] =  0; </v>
      </c>
      <c r="AW147" t="str">
        <f t="shared" si="132"/>
        <v>0</v>
      </c>
      <c r="AX147" t="str">
        <f t="shared" si="133"/>
        <v xml:space="preserve">["REP"] =     0; </v>
      </c>
      <c r="AY147">
        <f>IF(LEN(P147)&gt;0,VLOOKUP(P147,Faction!A$2:B$77,2,FALSE),1)</f>
        <v>1</v>
      </c>
      <c r="AZ147" t="str">
        <f t="shared" si="134"/>
        <v xml:space="preserve">["FACTION"] =  1; </v>
      </c>
      <c r="BA147" t="str">
        <f t="shared" si="113"/>
        <v xml:space="preserve">["TIER"] = 1; </v>
      </c>
      <c r="BB147" t="str">
        <f t="shared" si="135"/>
        <v xml:space="preserve">                     </v>
      </c>
      <c r="BC147" t="str">
        <f t="shared" si="136"/>
        <v xml:space="preserve">                  </v>
      </c>
      <c r="BD147" t="str">
        <f t="shared" si="137"/>
        <v xml:space="preserve">["NAME"] = { ["EN"] = "- Boss from the Vaults: Thrâng -"; }; </v>
      </c>
      <c r="BE147" t="str">
        <f t="shared" si="138"/>
        <v/>
      </c>
      <c r="BF147" t="str">
        <f t="shared" si="139"/>
        <v/>
      </c>
      <c r="BG147" t="str">
        <f t="shared" si="140"/>
        <v/>
      </c>
      <c r="BH147" t="str">
        <f t="shared" si="141"/>
        <v/>
      </c>
      <c r="BI147" t="str">
        <f t="shared" si="142"/>
        <v/>
      </c>
      <c r="BJ147" t="str">
        <f t="shared" si="82"/>
        <v>};</v>
      </c>
    </row>
    <row r="148" spans="1:62" x14ac:dyDescent="0.25">
      <c r="A148">
        <v>1879368078</v>
      </c>
      <c r="B148">
        <v>203</v>
      </c>
      <c r="C148" t="s">
        <v>1109</v>
      </c>
      <c r="D148" t="s">
        <v>24</v>
      </c>
      <c r="E148" t="s">
        <v>1110</v>
      </c>
      <c r="M148" t="s">
        <v>1111</v>
      </c>
      <c r="N148">
        <v>5</v>
      </c>
      <c r="Q148" t="s">
        <v>1113</v>
      </c>
      <c r="R148" t="s">
        <v>1112</v>
      </c>
      <c r="S148">
        <v>0</v>
      </c>
      <c r="T148">
        <v>50</v>
      </c>
      <c r="X148" t="str">
        <f t="shared" si="112"/>
        <v>[147] = {["ID"] = 1879368078; }; -- Fuming Fumaroles (Boss from the Vaults)</v>
      </c>
      <c r="Y148" s="1" t="str">
        <f t="shared" si="114"/>
        <v>[147]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8">
        <f t="shared" ref="Z148:Z211" si="143">ROW()-1</f>
        <v>147</v>
      </c>
      <c r="AA148" t="str">
        <f t="shared" si="115"/>
        <v>[147] = {</v>
      </c>
      <c r="AB148" t="str">
        <f t="shared" si="116"/>
        <v xml:space="preserve">["ID"] = 1879368078; </v>
      </c>
      <c r="AC148" t="str">
        <f t="shared" si="117"/>
        <v xml:space="preserve">["ID"] = 1879368078; </v>
      </c>
      <c r="AD148" t="str">
        <f t="shared" si="118"/>
        <v/>
      </c>
      <c r="AE148" t="str">
        <f t="shared" si="119"/>
        <v xml:space="preserve"> (Boss from the Vaults)</v>
      </c>
      <c r="AF148" s="1" t="str">
        <f t="shared" si="120"/>
        <v xml:space="preserve">["SAVE_INDEX"] = 203; </v>
      </c>
      <c r="AG148">
        <f>VLOOKUP(D148,Type!A$2:B$16,2,FALSE)</f>
        <v>12</v>
      </c>
      <c r="AH148" t="str">
        <f t="shared" si="121"/>
        <v xml:space="preserve">["TYPE"] = 12; </v>
      </c>
      <c r="AI148" t="str">
        <f t="shared" si="122"/>
        <v xml:space="preserve">                      </v>
      </c>
      <c r="AJ148" t="str">
        <f>IF(AND(F148="Class",NOT(ISBLANK(E148))),VLOOKUP(E148,Class!A$1:B$12,2,FALSE),"")</f>
        <v/>
      </c>
      <c r="AK148" t="str">
        <f>IF(AND(F148="Vocation",NOT(ISBLANK(E148))),VLOOKUP(E148,Vocation!A$1:B$8,2,FALSE),"")</f>
        <v/>
      </c>
      <c r="AL148" t="str">
        <f>IF(AND(F148="Race",NOT(ISBLANK(E148))),VLOOKUP(E148,Race!A$1:B$9,2,),"")</f>
        <v/>
      </c>
      <c r="AM148" t="str">
        <f t="shared" si="123"/>
        <v xml:space="preserve">  0</v>
      </c>
      <c r="AN148" t="str">
        <f t="shared" si="124"/>
        <v xml:space="preserve">["SUBTYPE"] =   0; </v>
      </c>
      <c r="AO148" t="str">
        <f>IF(NOT(ISBLANK(G148)),VLOOKUP(G148,Type!D$2:E$6,2,FALSE),"")</f>
        <v/>
      </c>
      <c r="AP148" t="str">
        <f t="shared" si="125"/>
        <v xml:space="preserve">            </v>
      </c>
      <c r="AQ148" t="str">
        <f t="shared" si="126"/>
        <v xml:space="preserve">                      </v>
      </c>
      <c r="AR148" t="str">
        <f t="shared" si="127"/>
        <v/>
      </c>
      <c r="AS148" t="str">
        <f t="shared" si="128"/>
        <v>0</v>
      </c>
      <c r="AT148" t="str">
        <f t="shared" si="129"/>
        <v xml:space="preserve">["VXP"] =    0; </v>
      </c>
      <c r="AU148" t="str">
        <f t="shared" si="130"/>
        <v>5</v>
      </c>
      <c r="AV148" t="str">
        <f t="shared" si="131"/>
        <v xml:space="preserve">["LP"] =  5; </v>
      </c>
      <c r="AW148" t="str">
        <f t="shared" si="132"/>
        <v>0</v>
      </c>
      <c r="AX148" t="str">
        <f t="shared" si="133"/>
        <v xml:space="preserve">["REP"] =     0; </v>
      </c>
      <c r="AY148">
        <f>IF(LEN(P148)&gt;0,VLOOKUP(P148,Faction!A$2:B$77,2,FALSE),1)</f>
        <v>1</v>
      </c>
      <c r="AZ148" t="str">
        <f t="shared" si="134"/>
        <v xml:space="preserve">["FACTION"] =  1; </v>
      </c>
      <c r="BA148" t="str">
        <f t="shared" si="113"/>
        <v/>
      </c>
      <c r="BB148" t="str">
        <f t="shared" si="135"/>
        <v xml:space="preserve">["MIN_LVL"] =  "50"; </v>
      </c>
      <c r="BC148" t="str">
        <f t="shared" si="136"/>
        <v xml:space="preserve">                  </v>
      </c>
      <c r="BD148" t="str">
        <f t="shared" si="137"/>
        <v xml:space="preserve">["NAME"] = { ["EN"] = "Fuming Fumaroles"; }; </v>
      </c>
      <c r="BE148" t="str">
        <f t="shared" si="138"/>
        <v xml:space="preserve">["LORE"] = { ["EN"] = "Master the Fumaroles of the Coliseum in the Rift of Nûrz Ghâshu."; }; </v>
      </c>
      <c r="BF148" t="str">
        <f t="shared" si="139"/>
        <v xml:space="preserve">["SUMMARY"] = { ["EN"] = "Defeat at least 35 fumaroles in the instance before defeating Thrâng."; }; </v>
      </c>
      <c r="BG148" t="str">
        <f t="shared" si="140"/>
        <v xml:space="preserve">["TITLE"] = { ["EN"] = "the Fuming"; }; </v>
      </c>
      <c r="BH148" t="str">
        <f t="shared" si="141"/>
        <v/>
      </c>
      <c r="BI148" t="str">
        <f t="shared" si="142"/>
        <v/>
      </c>
      <c r="BJ148" t="str">
        <f t="shared" ref="BJ148:BJ211" si="144">CONCATENATE("};")</f>
        <v>};</v>
      </c>
    </row>
    <row r="149" spans="1:62" x14ac:dyDescent="0.25">
      <c r="C149" s="3" t="s">
        <v>1684</v>
      </c>
      <c r="D149" s="2" t="s">
        <v>812</v>
      </c>
      <c r="S149">
        <v>1</v>
      </c>
      <c r="V149">
        <v>136</v>
      </c>
      <c r="X149" t="str">
        <f t="shared" si="112"/>
        <v>[148] = {["CAT_ID"] = 136; ["TIER"] = 1; }; -- - The Perfect Picnic -</v>
      </c>
      <c r="Y149" s="1" t="str">
        <f t="shared" si="114"/>
        <v>[148] = {                                           ["TYPE"] = 14;                       ["SUBTYPE"] =   0;                                   ["VXP"] =    0; ["LP"] =  0; ["REP"] =     0; ["FACTION"] =  1; ["TIER"] = 1;                                        ["NAME"] = { ["EN"] = "- The Perfect Picnic -"; }; };</v>
      </c>
      <c r="Z149">
        <f t="shared" si="143"/>
        <v>148</v>
      </c>
      <c r="AA149" t="str">
        <f t="shared" si="115"/>
        <v>[148] = {</v>
      </c>
      <c r="AB149" t="str">
        <f t="shared" si="116"/>
        <v xml:space="preserve">                     </v>
      </c>
      <c r="AC149" t="str">
        <f t="shared" si="117"/>
        <v/>
      </c>
      <c r="AD149" t="str">
        <f t="shared" si="118"/>
        <v xml:space="preserve">["CAT_ID"] = 136; </v>
      </c>
      <c r="AE149" t="str">
        <f t="shared" si="119"/>
        <v/>
      </c>
      <c r="AF149" s="1" t="str">
        <f t="shared" si="120"/>
        <v xml:space="preserve">                      </v>
      </c>
      <c r="AG149">
        <f>VLOOKUP(D149,Type!A$2:B$16,2,FALSE)</f>
        <v>14</v>
      </c>
      <c r="AH149" t="str">
        <f t="shared" si="121"/>
        <v xml:space="preserve">["TYPE"] = 14; </v>
      </c>
      <c r="AI149" t="str">
        <f t="shared" si="122"/>
        <v xml:space="preserve">                      </v>
      </c>
      <c r="AJ149" t="str">
        <f>IF(AND(F149="Class",NOT(ISBLANK(E149))),VLOOKUP(E149,Class!A$1:B$12,2,FALSE),"")</f>
        <v/>
      </c>
      <c r="AK149" t="str">
        <f>IF(AND(F149="Vocation",NOT(ISBLANK(E149))),VLOOKUP(E149,Vocation!A$1:B$8,2,FALSE),"")</f>
        <v/>
      </c>
      <c r="AL149" t="str">
        <f>IF(AND(F149="Race",NOT(ISBLANK(E149))),VLOOKUP(E149,Race!A$1:B$9,2,),"")</f>
        <v/>
      </c>
      <c r="AM149" t="str">
        <f t="shared" si="123"/>
        <v xml:space="preserve">  0</v>
      </c>
      <c r="AN149" t="str">
        <f t="shared" si="124"/>
        <v xml:space="preserve">["SUBTYPE"] =   0; </v>
      </c>
      <c r="AO149" t="str">
        <f>IF(NOT(ISBLANK(G149)),VLOOKUP(G149,Type!D$2:E$6,2,FALSE),"")</f>
        <v/>
      </c>
      <c r="AP149" t="str">
        <f t="shared" si="125"/>
        <v xml:space="preserve">            </v>
      </c>
      <c r="AQ149" t="str">
        <f t="shared" si="126"/>
        <v xml:space="preserve">                      </v>
      </c>
      <c r="AR149" t="str">
        <f t="shared" si="127"/>
        <v/>
      </c>
      <c r="AS149" t="str">
        <f t="shared" si="128"/>
        <v>0</v>
      </c>
      <c r="AT149" t="str">
        <f t="shared" si="129"/>
        <v xml:space="preserve">["VXP"] =    0; </v>
      </c>
      <c r="AU149" t="str">
        <f t="shared" si="130"/>
        <v>0</v>
      </c>
      <c r="AV149" t="str">
        <f t="shared" si="131"/>
        <v xml:space="preserve">["LP"] =  0; </v>
      </c>
      <c r="AW149" t="str">
        <f t="shared" si="132"/>
        <v>0</v>
      </c>
      <c r="AX149" t="str">
        <f t="shared" si="133"/>
        <v xml:space="preserve">["REP"] =     0; </v>
      </c>
      <c r="AY149">
        <f>IF(LEN(P149)&gt;0,VLOOKUP(P149,Faction!A$2:B$77,2,FALSE),1)</f>
        <v>1</v>
      </c>
      <c r="AZ149" t="str">
        <f t="shared" si="134"/>
        <v xml:space="preserve">["FACTION"] =  1; </v>
      </c>
      <c r="BA149" t="str">
        <f t="shared" si="113"/>
        <v xml:space="preserve">["TIER"] = 1; </v>
      </c>
      <c r="BB149" t="str">
        <f t="shared" si="135"/>
        <v xml:space="preserve">                     </v>
      </c>
      <c r="BC149" t="str">
        <f t="shared" si="136"/>
        <v xml:space="preserve">                  </v>
      </c>
      <c r="BD149" t="str">
        <f t="shared" si="137"/>
        <v xml:space="preserve">["NAME"] = { ["EN"] = "- The Perfect Picnic -"; }; </v>
      </c>
      <c r="BE149" t="str">
        <f t="shared" si="138"/>
        <v/>
      </c>
      <c r="BF149" t="str">
        <f t="shared" si="139"/>
        <v/>
      </c>
      <c r="BG149" t="str">
        <f t="shared" si="140"/>
        <v/>
      </c>
      <c r="BH149" t="str">
        <f t="shared" si="141"/>
        <v/>
      </c>
      <c r="BI149" t="str">
        <f t="shared" si="142"/>
        <v/>
      </c>
      <c r="BJ149" t="str">
        <f t="shared" si="144"/>
        <v>};</v>
      </c>
    </row>
    <row r="150" spans="1:62" x14ac:dyDescent="0.25">
      <c r="A150">
        <v>1879368769</v>
      </c>
      <c r="B150">
        <v>213</v>
      </c>
      <c r="C150" t="s">
        <v>1685</v>
      </c>
      <c r="D150" t="s">
        <v>24</v>
      </c>
      <c r="E150" t="s">
        <v>728</v>
      </c>
      <c r="M150" t="s">
        <v>1688</v>
      </c>
      <c r="Q150" t="s">
        <v>1693</v>
      </c>
      <c r="R150" t="s">
        <v>1692</v>
      </c>
      <c r="S150">
        <v>0</v>
      </c>
      <c r="T150" t="s">
        <v>1691</v>
      </c>
      <c r="X150" t="str">
        <f t="shared" si="112"/>
        <v>[149] = {["ID"] = 1879368769; }; -- Challenge: The Whole Picnic -- Small Fellowship (Farmers Faire)</v>
      </c>
      <c r="Y150" s="1" t="str">
        <f t="shared" si="114"/>
        <v>[149]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0">
        <f t="shared" si="143"/>
        <v>149</v>
      </c>
      <c r="AA150" t="str">
        <f t="shared" si="115"/>
        <v>[149] = {</v>
      </c>
      <c r="AB150" t="str">
        <f t="shared" si="116"/>
        <v xml:space="preserve">["ID"] = 1879368769; </v>
      </c>
      <c r="AC150" t="str">
        <f t="shared" si="117"/>
        <v xml:space="preserve">["ID"] = 1879368769; </v>
      </c>
      <c r="AD150" t="str">
        <f t="shared" si="118"/>
        <v/>
      </c>
      <c r="AE150" t="str">
        <f t="shared" si="119"/>
        <v xml:space="preserve"> (Farmers Faire)</v>
      </c>
      <c r="AF150" s="1" t="str">
        <f t="shared" si="120"/>
        <v xml:space="preserve">["SAVE_INDEX"] = 213; </v>
      </c>
      <c r="AG150">
        <f>VLOOKUP(D150,Type!A$2:B$16,2,FALSE)</f>
        <v>12</v>
      </c>
      <c r="AH150" t="str">
        <f t="shared" si="121"/>
        <v xml:space="preserve">["TYPE"] = 12; </v>
      </c>
      <c r="AI150" t="str">
        <f t="shared" si="122"/>
        <v xml:space="preserve">                      </v>
      </c>
      <c r="AJ150" t="str">
        <f>IF(AND(F150="Class",NOT(ISBLANK(E150))),VLOOKUP(E150,Class!A$1:B$12,2,FALSE),"")</f>
        <v/>
      </c>
      <c r="AK150" t="str">
        <f>IF(AND(F150="Vocation",NOT(ISBLANK(E150))),VLOOKUP(E150,Vocation!A$1:B$8,2,FALSE),"")</f>
        <v/>
      </c>
      <c r="AL150" t="str">
        <f>IF(AND(F150="Race",NOT(ISBLANK(E150))),VLOOKUP(E150,Race!A$1:B$9,2,),"")</f>
        <v/>
      </c>
      <c r="AM150" t="str">
        <f t="shared" si="123"/>
        <v xml:space="preserve">  0</v>
      </c>
      <c r="AN150" t="str">
        <f t="shared" si="124"/>
        <v xml:space="preserve">["SUBTYPE"] =   0; </v>
      </c>
      <c r="AO150" t="str">
        <f>IF(NOT(ISBLANK(G150)),VLOOKUP(G150,Type!D$2:E$6,2,FALSE),"")</f>
        <v/>
      </c>
      <c r="AP150" t="str">
        <f t="shared" si="125"/>
        <v xml:space="preserve">            </v>
      </c>
      <c r="AQ150" t="str">
        <f t="shared" si="126"/>
        <v xml:space="preserve">                      </v>
      </c>
      <c r="AR150" t="str">
        <f t="shared" si="127"/>
        <v/>
      </c>
      <c r="AS150" t="str">
        <f t="shared" si="128"/>
        <v>0</v>
      </c>
      <c r="AT150" t="str">
        <f t="shared" si="129"/>
        <v xml:space="preserve">["VXP"] =    0; </v>
      </c>
      <c r="AU150" t="str">
        <f t="shared" si="130"/>
        <v>0</v>
      </c>
      <c r="AV150" t="str">
        <f t="shared" si="131"/>
        <v xml:space="preserve">["LP"] =  0; </v>
      </c>
      <c r="AW150" t="str">
        <f t="shared" si="132"/>
        <v>0</v>
      </c>
      <c r="AX150" t="str">
        <f t="shared" si="133"/>
        <v xml:space="preserve">["REP"] =     0; </v>
      </c>
      <c r="AY150">
        <f>IF(LEN(P150)&gt;0,VLOOKUP(P150,Faction!A$2:B$77,2,FALSE),1)</f>
        <v>1</v>
      </c>
      <c r="AZ150" t="str">
        <f t="shared" si="134"/>
        <v xml:space="preserve">["FACTION"] =  1; </v>
      </c>
      <c r="BA150" t="str">
        <f t="shared" si="113"/>
        <v/>
      </c>
      <c r="BB150" t="str">
        <f t="shared" si="135"/>
        <v xml:space="preserve">["MIN_LVL"] = "CAP"; </v>
      </c>
      <c r="BC150" t="str">
        <f t="shared" si="136"/>
        <v xml:space="preserve">                  </v>
      </c>
      <c r="BD150" t="str">
        <f t="shared" si="137"/>
        <v xml:space="preserve">["NAME"] = { ["EN"] = "Challenge: The Whole Picnic -- Small Fellowship"; }; </v>
      </c>
      <c r="BE150" t="str">
        <f t="shared" si="138"/>
        <v xml:space="preserve">["LORE"] = { ["EN"] = "Have a grand picnic without losing any food!"; }; </v>
      </c>
      <c r="BF150" t="str">
        <f t="shared" si="139"/>
        <v xml:space="preserve">["SUMMARY"] = { ["EN"] = "Complete The Perfect Picnic without losing any food items (Small Fellowship)"; }; </v>
      </c>
      <c r="BG150" t="str">
        <f t="shared" si="140"/>
        <v xml:space="preserve">["TITLE"] = { ["EN"] = "Defender of Desserts"; }; </v>
      </c>
      <c r="BH150" t="str">
        <f t="shared" si="141"/>
        <v/>
      </c>
      <c r="BI150" t="str">
        <f t="shared" si="142"/>
        <v/>
      </c>
      <c r="BJ150" t="str">
        <f t="shared" si="144"/>
        <v>};</v>
      </c>
    </row>
    <row r="151" spans="1:62" x14ac:dyDescent="0.25">
      <c r="A151">
        <v>1879368771</v>
      </c>
      <c r="B151">
        <v>214</v>
      </c>
      <c r="C151" t="s">
        <v>1686</v>
      </c>
      <c r="D151" t="s">
        <v>24</v>
      </c>
      <c r="E151" t="s">
        <v>728</v>
      </c>
      <c r="M151" t="s">
        <v>1689</v>
      </c>
      <c r="Q151" t="s">
        <v>1694</v>
      </c>
      <c r="R151" t="s">
        <v>1692</v>
      </c>
      <c r="S151">
        <v>0</v>
      </c>
      <c r="T151" t="s">
        <v>1691</v>
      </c>
      <c r="X151" t="str">
        <f t="shared" si="112"/>
        <v>[150] = {["ID"] = 1879368771; }; -- Challenge: The Whole Picnic -- Fellowship (Farmers Faire)</v>
      </c>
      <c r="Y151" s="1" t="str">
        <f t="shared" si="114"/>
        <v>[150]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1">
        <f t="shared" si="143"/>
        <v>150</v>
      </c>
      <c r="AA151" t="str">
        <f t="shared" si="115"/>
        <v>[150] = {</v>
      </c>
      <c r="AB151" t="str">
        <f t="shared" si="116"/>
        <v xml:space="preserve">["ID"] = 1879368771; </v>
      </c>
      <c r="AC151" t="str">
        <f t="shared" si="117"/>
        <v xml:space="preserve">["ID"] = 1879368771; </v>
      </c>
      <c r="AD151" t="str">
        <f t="shared" si="118"/>
        <v/>
      </c>
      <c r="AE151" t="str">
        <f t="shared" si="119"/>
        <v xml:space="preserve"> (Farmers Faire)</v>
      </c>
      <c r="AF151" s="1" t="str">
        <f t="shared" si="120"/>
        <v xml:space="preserve">["SAVE_INDEX"] = 214; </v>
      </c>
      <c r="AG151">
        <f>VLOOKUP(D151,Type!A$2:B$16,2,FALSE)</f>
        <v>12</v>
      </c>
      <c r="AH151" t="str">
        <f t="shared" si="121"/>
        <v xml:space="preserve">["TYPE"] = 12; </v>
      </c>
      <c r="AI151" t="str">
        <f t="shared" si="122"/>
        <v xml:space="preserve">                      </v>
      </c>
      <c r="AJ151" t="str">
        <f>IF(AND(F151="Class",NOT(ISBLANK(E151))),VLOOKUP(E151,Class!A$1:B$12,2,FALSE),"")</f>
        <v/>
      </c>
      <c r="AK151" t="str">
        <f>IF(AND(F151="Vocation",NOT(ISBLANK(E151))),VLOOKUP(E151,Vocation!A$1:B$8,2,FALSE),"")</f>
        <v/>
      </c>
      <c r="AL151" t="str">
        <f>IF(AND(F151="Race",NOT(ISBLANK(E151))),VLOOKUP(E151,Race!A$1:B$9,2,),"")</f>
        <v/>
      </c>
      <c r="AM151" t="str">
        <f t="shared" si="123"/>
        <v xml:space="preserve">  0</v>
      </c>
      <c r="AN151" t="str">
        <f t="shared" si="124"/>
        <v xml:space="preserve">["SUBTYPE"] =   0; </v>
      </c>
      <c r="AO151" t="str">
        <f>IF(NOT(ISBLANK(G151)),VLOOKUP(G151,Type!D$2:E$6,2,FALSE),"")</f>
        <v/>
      </c>
      <c r="AP151" t="str">
        <f t="shared" si="125"/>
        <v xml:space="preserve">            </v>
      </c>
      <c r="AQ151" t="str">
        <f t="shared" si="126"/>
        <v xml:space="preserve">                      </v>
      </c>
      <c r="AR151" t="str">
        <f t="shared" si="127"/>
        <v/>
      </c>
      <c r="AS151" t="str">
        <f t="shared" si="128"/>
        <v>0</v>
      </c>
      <c r="AT151" t="str">
        <f t="shared" si="129"/>
        <v xml:space="preserve">["VXP"] =    0; </v>
      </c>
      <c r="AU151" t="str">
        <f t="shared" si="130"/>
        <v>0</v>
      </c>
      <c r="AV151" t="str">
        <f t="shared" si="131"/>
        <v xml:space="preserve">["LP"] =  0; </v>
      </c>
      <c r="AW151" t="str">
        <f t="shared" si="132"/>
        <v>0</v>
      </c>
      <c r="AX151" t="str">
        <f t="shared" si="133"/>
        <v xml:space="preserve">["REP"] =     0; </v>
      </c>
      <c r="AY151">
        <f>IF(LEN(P151)&gt;0,VLOOKUP(P151,Faction!A$2:B$77,2,FALSE),1)</f>
        <v>1</v>
      </c>
      <c r="AZ151" t="str">
        <f t="shared" si="134"/>
        <v xml:space="preserve">["FACTION"] =  1; </v>
      </c>
      <c r="BA151" t="str">
        <f t="shared" si="113"/>
        <v/>
      </c>
      <c r="BB151" t="str">
        <f t="shared" si="135"/>
        <v xml:space="preserve">["MIN_LVL"] = "CAP"; </v>
      </c>
      <c r="BC151" t="str">
        <f t="shared" si="136"/>
        <v xml:space="preserve">                  </v>
      </c>
      <c r="BD151" t="str">
        <f t="shared" si="137"/>
        <v xml:space="preserve">["NAME"] = { ["EN"] = "Challenge: The Whole Picnic -- Fellowship"; }; </v>
      </c>
      <c r="BE151" t="str">
        <f t="shared" si="138"/>
        <v xml:space="preserve">["LORE"] = { ["EN"] = "Have a grand picnic without losing any food!"; }; </v>
      </c>
      <c r="BF151" t="str">
        <f t="shared" si="139"/>
        <v xml:space="preserve">["SUMMARY"] = { ["EN"] = "Complete The Perfect Picnic without losing any food items (Fellowship)"; }; </v>
      </c>
      <c r="BG151" t="str">
        <f t="shared" si="140"/>
        <v xml:space="preserve">["TITLE"] = { ["EN"] = "Retainer of Refreshments"; }; </v>
      </c>
      <c r="BH151" t="str">
        <f t="shared" si="141"/>
        <v/>
      </c>
      <c r="BI151" t="str">
        <f t="shared" si="142"/>
        <v/>
      </c>
      <c r="BJ151" t="str">
        <f t="shared" si="144"/>
        <v>};</v>
      </c>
    </row>
    <row r="152" spans="1:62" x14ac:dyDescent="0.25">
      <c r="A152">
        <v>1879368770</v>
      </c>
      <c r="B152">
        <v>215</v>
      </c>
      <c r="C152" t="s">
        <v>1687</v>
      </c>
      <c r="D152" t="s">
        <v>24</v>
      </c>
      <c r="E152" t="s">
        <v>728</v>
      </c>
      <c r="M152" t="s">
        <v>1690</v>
      </c>
      <c r="Q152" t="s">
        <v>1695</v>
      </c>
      <c r="R152" t="s">
        <v>1692</v>
      </c>
      <c r="S152">
        <v>0</v>
      </c>
      <c r="T152" t="s">
        <v>1691</v>
      </c>
      <c r="X152" t="str">
        <f t="shared" si="112"/>
        <v>[151] = {["ID"] = 1879368770; }; -- Challenge: The Whole Picnic -- Raid (Farmers Faire)</v>
      </c>
      <c r="Y152" s="1" t="str">
        <f t="shared" si="114"/>
        <v>[151]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2">
        <f t="shared" si="143"/>
        <v>151</v>
      </c>
      <c r="AA152" t="str">
        <f t="shared" si="115"/>
        <v>[151] = {</v>
      </c>
      <c r="AB152" t="str">
        <f t="shared" si="116"/>
        <v xml:space="preserve">["ID"] = 1879368770; </v>
      </c>
      <c r="AC152" t="str">
        <f t="shared" si="117"/>
        <v xml:space="preserve">["ID"] = 1879368770; </v>
      </c>
      <c r="AD152" t="str">
        <f t="shared" si="118"/>
        <v/>
      </c>
      <c r="AE152" t="str">
        <f t="shared" si="119"/>
        <v xml:space="preserve"> (Farmers Faire)</v>
      </c>
      <c r="AF152" s="1" t="str">
        <f t="shared" si="120"/>
        <v xml:space="preserve">["SAVE_INDEX"] = 215; </v>
      </c>
      <c r="AG152">
        <f>VLOOKUP(D152,Type!A$2:B$16,2,FALSE)</f>
        <v>12</v>
      </c>
      <c r="AH152" t="str">
        <f t="shared" si="121"/>
        <v xml:space="preserve">["TYPE"] = 12; </v>
      </c>
      <c r="AI152" t="str">
        <f t="shared" si="122"/>
        <v xml:space="preserve">                      </v>
      </c>
      <c r="AJ152" t="str">
        <f>IF(AND(F152="Class",NOT(ISBLANK(E152))),VLOOKUP(E152,Class!A$1:B$12,2,FALSE),"")</f>
        <v/>
      </c>
      <c r="AK152" t="str">
        <f>IF(AND(F152="Vocation",NOT(ISBLANK(E152))),VLOOKUP(E152,Vocation!A$1:B$8,2,FALSE),"")</f>
        <v/>
      </c>
      <c r="AL152" t="str">
        <f>IF(AND(F152="Race",NOT(ISBLANK(E152))),VLOOKUP(E152,Race!A$1:B$9,2,),"")</f>
        <v/>
      </c>
      <c r="AM152" t="str">
        <f t="shared" si="123"/>
        <v xml:space="preserve">  0</v>
      </c>
      <c r="AN152" t="str">
        <f t="shared" si="124"/>
        <v xml:space="preserve">["SUBTYPE"] =   0; </v>
      </c>
      <c r="AO152" t="str">
        <f>IF(NOT(ISBLANK(G152)),VLOOKUP(G152,Type!D$2:E$6,2,FALSE),"")</f>
        <v/>
      </c>
      <c r="AP152" t="str">
        <f t="shared" si="125"/>
        <v xml:space="preserve">            </v>
      </c>
      <c r="AQ152" t="str">
        <f t="shared" si="126"/>
        <v xml:space="preserve">                      </v>
      </c>
      <c r="AR152" t="str">
        <f t="shared" si="127"/>
        <v/>
      </c>
      <c r="AS152" t="str">
        <f t="shared" si="128"/>
        <v>0</v>
      </c>
      <c r="AT152" t="str">
        <f t="shared" si="129"/>
        <v xml:space="preserve">["VXP"] =    0; </v>
      </c>
      <c r="AU152" t="str">
        <f t="shared" si="130"/>
        <v>0</v>
      </c>
      <c r="AV152" t="str">
        <f t="shared" si="131"/>
        <v xml:space="preserve">["LP"] =  0; </v>
      </c>
      <c r="AW152" t="str">
        <f t="shared" si="132"/>
        <v>0</v>
      </c>
      <c r="AX152" t="str">
        <f t="shared" si="133"/>
        <v xml:space="preserve">["REP"] =     0; </v>
      </c>
      <c r="AY152">
        <f>IF(LEN(P152)&gt;0,VLOOKUP(P152,Faction!A$2:B$77,2,FALSE),1)</f>
        <v>1</v>
      </c>
      <c r="AZ152" t="str">
        <f t="shared" si="134"/>
        <v xml:space="preserve">["FACTION"] =  1; </v>
      </c>
      <c r="BA152" t="str">
        <f t="shared" si="113"/>
        <v/>
      </c>
      <c r="BB152" t="str">
        <f t="shared" si="135"/>
        <v xml:space="preserve">["MIN_LVL"] = "CAP"; </v>
      </c>
      <c r="BC152" t="str">
        <f t="shared" si="136"/>
        <v xml:space="preserve">                  </v>
      </c>
      <c r="BD152" t="str">
        <f t="shared" si="137"/>
        <v xml:space="preserve">["NAME"] = { ["EN"] = "Challenge: The Whole Picnic -- Raid"; }; </v>
      </c>
      <c r="BE152" t="str">
        <f t="shared" si="138"/>
        <v xml:space="preserve">["LORE"] = { ["EN"] = "Have a grand picnic without losing any food!"; }; </v>
      </c>
      <c r="BF152" t="str">
        <f t="shared" si="139"/>
        <v xml:space="preserve">["SUMMARY"] = { ["EN"] = "Complete The Perfect Picnic without losing any food items (Raid)"; }; </v>
      </c>
      <c r="BG152" t="str">
        <f t="shared" si="140"/>
        <v xml:space="preserve">["TITLE"] = { ["EN"] = "Fortitude of the Feasts"; }; </v>
      </c>
      <c r="BH152" t="str">
        <f t="shared" si="141"/>
        <v/>
      </c>
      <c r="BI152" t="str">
        <f t="shared" si="142"/>
        <v/>
      </c>
      <c r="BJ152" t="str">
        <f t="shared" si="144"/>
        <v>};</v>
      </c>
    </row>
    <row r="153" spans="1:62" x14ac:dyDescent="0.25">
      <c r="C153" s="2" t="s">
        <v>942</v>
      </c>
      <c r="D153" s="2" t="s">
        <v>812</v>
      </c>
      <c r="V153">
        <v>137</v>
      </c>
      <c r="X153" t="str">
        <f t="shared" si="112"/>
        <v>[152] = {["CAT_ID"] = 137; }; -- Bilbos' Birthday</v>
      </c>
      <c r="Y153" s="1" t="str">
        <f t="shared" si="114"/>
        <v>[152] = {                                           ["TYPE"] = 14;                       ["SUBTYPE"] =   0;                                   ["VXP"] =    0; ["LP"] =  0; ["REP"] =     0; ["FACTION"] =  1;                                        ["NAME"] = { ["EN"] = "Bilbos' Birthday"; }; };</v>
      </c>
      <c r="Z153">
        <f t="shared" si="143"/>
        <v>152</v>
      </c>
      <c r="AA153" t="str">
        <f t="shared" si="115"/>
        <v>[152] = {</v>
      </c>
      <c r="AB153" t="str">
        <f t="shared" si="116"/>
        <v xml:space="preserve">                     </v>
      </c>
      <c r="AC153" t="str">
        <f t="shared" si="117"/>
        <v/>
      </c>
      <c r="AD153" t="str">
        <f t="shared" si="118"/>
        <v xml:space="preserve">["CAT_ID"] = 137; </v>
      </c>
      <c r="AE153" t="str">
        <f t="shared" si="119"/>
        <v/>
      </c>
      <c r="AF153" s="1" t="str">
        <f t="shared" si="120"/>
        <v xml:space="preserve">                      </v>
      </c>
      <c r="AG153">
        <f>VLOOKUP(D153,Type!A$2:B$16,2,FALSE)</f>
        <v>14</v>
      </c>
      <c r="AH153" t="str">
        <f t="shared" si="121"/>
        <v xml:space="preserve">["TYPE"] = 14; </v>
      </c>
      <c r="AI153" t="str">
        <f t="shared" si="122"/>
        <v xml:space="preserve">                      </v>
      </c>
      <c r="AJ153" t="str">
        <f>IF(AND(F153="Class",NOT(ISBLANK(E153))),VLOOKUP(E153,Class!A$1:B$12,2,FALSE),"")</f>
        <v/>
      </c>
      <c r="AK153" t="str">
        <f>IF(AND(F153="Vocation",NOT(ISBLANK(E153))),VLOOKUP(E153,Vocation!A$1:B$8,2,FALSE),"")</f>
        <v/>
      </c>
      <c r="AL153" t="str">
        <f>IF(AND(F153="Race",NOT(ISBLANK(E153))),VLOOKUP(E153,Race!A$1:B$9,2,),"")</f>
        <v/>
      </c>
      <c r="AM153" t="str">
        <f t="shared" si="123"/>
        <v xml:space="preserve">  0</v>
      </c>
      <c r="AN153" t="str">
        <f t="shared" si="124"/>
        <v xml:space="preserve">["SUBTYPE"] =   0; </v>
      </c>
      <c r="AO153" t="str">
        <f>IF(NOT(ISBLANK(G153)),VLOOKUP(G153,Type!D$2:E$6,2,FALSE),"")</f>
        <v/>
      </c>
      <c r="AP153" t="str">
        <f t="shared" si="125"/>
        <v xml:space="preserve">            </v>
      </c>
      <c r="AQ153" t="str">
        <f t="shared" si="126"/>
        <v xml:space="preserve">                      </v>
      </c>
      <c r="AR153" t="str">
        <f t="shared" si="127"/>
        <v/>
      </c>
      <c r="AS153" t="str">
        <f t="shared" si="128"/>
        <v>0</v>
      </c>
      <c r="AT153" t="str">
        <f t="shared" si="129"/>
        <v xml:space="preserve">["VXP"] =    0; </v>
      </c>
      <c r="AU153" t="str">
        <f t="shared" si="130"/>
        <v>0</v>
      </c>
      <c r="AV153" t="str">
        <f t="shared" si="131"/>
        <v xml:space="preserve">["LP"] =  0; </v>
      </c>
      <c r="AW153" t="str">
        <f t="shared" si="132"/>
        <v>0</v>
      </c>
      <c r="AX153" t="str">
        <f t="shared" si="133"/>
        <v xml:space="preserve">["REP"] =     0; </v>
      </c>
      <c r="AY153">
        <f>IF(LEN(P153)&gt;0,VLOOKUP(P153,Faction!A$2:B$77,2,FALSE),1)</f>
        <v>1</v>
      </c>
      <c r="AZ153" t="str">
        <f t="shared" si="134"/>
        <v xml:space="preserve">["FACTION"] =  1; </v>
      </c>
      <c r="BA153" t="str">
        <f t="shared" si="113"/>
        <v/>
      </c>
      <c r="BB153" t="str">
        <f t="shared" si="135"/>
        <v xml:space="preserve">                     </v>
      </c>
      <c r="BC153" t="str">
        <f t="shared" si="136"/>
        <v xml:space="preserve">                  </v>
      </c>
      <c r="BD153" t="str">
        <f t="shared" si="137"/>
        <v xml:space="preserve">["NAME"] = { ["EN"] = "Bilbos' Birthday"; }; </v>
      </c>
      <c r="BE153" t="str">
        <f t="shared" si="138"/>
        <v/>
      </c>
      <c r="BF153" t="str">
        <f t="shared" si="139"/>
        <v/>
      </c>
      <c r="BG153" t="str">
        <f t="shared" si="140"/>
        <v/>
      </c>
      <c r="BH153" t="str">
        <f t="shared" si="141"/>
        <v/>
      </c>
      <c r="BI153" t="str">
        <f t="shared" si="142"/>
        <v/>
      </c>
      <c r="BJ153" t="str">
        <f t="shared" si="144"/>
        <v>};</v>
      </c>
    </row>
    <row r="154" spans="1:62" x14ac:dyDescent="0.25">
      <c r="A154">
        <v>1879283004</v>
      </c>
      <c r="B154">
        <v>123</v>
      </c>
      <c r="C154" t="s">
        <v>822</v>
      </c>
      <c r="D154" t="s">
        <v>24</v>
      </c>
      <c r="E154" t="s">
        <v>822</v>
      </c>
      <c r="M154" t="s">
        <v>945</v>
      </c>
      <c r="Q154" t="s">
        <v>944</v>
      </c>
      <c r="R154" t="s">
        <v>2162</v>
      </c>
      <c r="T154">
        <v>6</v>
      </c>
      <c r="X154" t="str">
        <f t="shared" si="112"/>
        <v>[153] = {["ID"] = 1879283004; }; -- Baggins' Birthday (Baggins' Birthday)</v>
      </c>
      <c r="Y154" s="1" t="str">
        <f t="shared" si="114"/>
        <v>[153] = {["ID"] = 1879283004; ["SAVE_INDEX"] = 123; ["TYPE"] = 12;                       ["SUBTYPE"] =   0;                                   ["VXP"] =    0; ["LP"] =  0; ["REP"] =     0; ["FACTION"] =  1; ["MIN_LVL"] =   "6";                   ["NAME"] = { ["EN"] = "Baggins' Birthday"; }; ["LORE"] = { ["EN"] = "Listen to all twelve of the hobbits' stories about Bilbo Baggins' adventures."; }; ["SUMMARY"] = { ["EN"] = "Complete 12 quests."; }; ["TITLE"] = { ["EN"] = "Chronicler"; }; };</v>
      </c>
      <c r="Z154">
        <f t="shared" si="143"/>
        <v>153</v>
      </c>
      <c r="AA154" t="str">
        <f t="shared" si="115"/>
        <v>[153] = {</v>
      </c>
      <c r="AB154" t="str">
        <f t="shared" si="116"/>
        <v xml:space="preserve">["ID"] = 1879283004; </v>
      </c>
      <c r="AC154" t="str">
        <f t="shared" si="117"/>
        <v xml:space="preserve">["ID"] = 1879283004; </v>
      </c>
      <c r="AD154" t="str">
        <f t="shared" si="118"/>
        <v/>
      </c>
      <c r="AE154" t="str">
        <f t="shared" si="119"/>
        <v xml:space="preserve"> (Baggins' Birthday)</v>
      </c>
      <c r="AF154" s="1" t="str">
        <f t="shared" si="120"/>
        <v xml:space="preserve">["SAVE_INDEX"] = 123; </v>
      </c>
      <c r="AG154">
        <f>VLOOKUP(D154,Type!A$2:B$16,2,FALSE)</f>
        <v>12</v>
      </c>
      <c r="AH154" t="str">
        <f t="shared" si="121"/>
        <v xml:space="preserve">["TYPE"] = 12; </v>
      </c>
      <c r="AI154" t="str">
        <f t="shared" si="122"/>
        <v xml:space="preserve">                      </v>
      </c>
      <c r="AJ154" t="str">
        <f>IF(AND(F154="Class",NOT(ISBLANK(E154))),VLOOKUP(E154,Class!A$1:B$12,2,FALSE),"")</f>
        <v/>
      </c>
      <c r="AK154" t="str">
        <f>IF(AND(F154="Vocation",NOT(ISBLANK(E154))),VLOOKUP(E154,Vocation!A$1:B$8,2,FALSE),"")</f>
        <v/>
      </c>
      <c r="AL154" t="str">
        <f>IF(AND(F154="Race",NOT(ISBLANK(E154))),VLOOKUP(E154,Race!A$1:B$9,2,),"")</f>
        <v/>
      </c>
      <c r="AM154" t="str">
        <f t="shared" si="123"/>
        <v xml:space="preserve">  0</v>
      </c>
      <c r="AN154" t="str">
        <f t="shared" si="124"/>
        <v xml:space="preserve">["SUBTYPE"] =   0; </v>
      </c>
      <c r="AO154" t="str">
        <f>IF(NOT(ISBLANK(G154)),VLOOKUP(G154,Type!D$2:E$6,2,FALSE),"")</f>
        <v/>
      </c>
      <c r="AP154" t="str">
        <f t="shared" si="125"/>
        <v xml:space="preserve">            </v>
      </c>
      <c r="AQ154" t="str">
        <f t="shared" si="126"/>
        <v xml:space="preserve">                      </v>
      </c>
      <c r="AR154" t="str">
        <f t="shared" si="127"/>
        <v/>
      </c>
      <c r="AS154" t="str">
        <f t="shared" si="128"/>
        <v>0</v>
      </c>
      <c r="AT154" t="str">
        <f t="shared" si="129"/>
        <v xml:space="preserve">["VXP"] =    0; </v>
      </c>
      <c r="AU154" t="str">
        <f t="shared" si="130"/>
        <v>0</v>
      </c>
      <c r="AV154" t="str">
        <f t="shared" si="131"/>
        <v xml:space="preserve">["LP"] =  0; </v>
      </c>
      <c r="AW154" t="str">
        <f t="shared" si="132"/>
        <v>0</v>
      </c>
      <c r="AX154" t="str">
        <f t="shared" si="133"/>
        <v xml:space="preserve">["REP"] =     0; </v>
      </c>
      <c r="AY154">
        <f>IF(LEN(P154)&gt;0,VLOOKUP(P154,Faction!A$2:B$77,2,FALSE),1)</f>
        <v>1</v>
      </c>
      <c r="AZ154" t="str">
        <f t="shared" si="134"/>
        <v xml:space="preserve">["FACTION"] =  1; </v>
      </c>
      <c r="BA154" t="str">
        <f t="shared" si="113"/>
        <v/>
      </c>
      <c r="BB154" t="str">
        <f t="shared" si="135"/>
        <v xml:space="preserve">["MIN_LVL"] =   "6"; </v>
      </c>
      <c r="BC154" t="str">
        <f t="shared" si="136"/>
        <v xml:space="preserve">                  </v>
      </c>
      <c r="BD154" t="str">
        <f t="shared" si="137"/>
        <v xml:space="preserve">["NAME"] = { ["EN"] = "Baggins' Birthday"; }; </v>
      </c>
      <c r="BE154" t="str">
        <f t="shared" si="138"/>
        <v xml:space="preserve">["LORE"] = { ["EN"] = "Listen to all twelve of the hobbits' stories about Bilbo Baggins' adventures."; }; </v>
      </c>
      <c r="BF154" t="str">
        <f t="shared" si="139"/>
        <v xml:space="preserve">["SUMMARY"] = { ["EN"] = "Complete 12 quests."; }; </v>
      </c>
      <c r="BG154" t="str">
        <f t="shared" si="140"/>
        <v xml:space="preserve">["TITLE"] = { ["EN"] = "Chronicler"; }; </v>
      </c>
      <c r="BH154" t="str">
        <f t="shared" si="141"/>
        <v/>
      </c>
      <c r="BI154" t="str">
        <f t="shared" si="142"/>
        <v/>
      </c>
      <c r="BJ154" t="str">
        <f t="shared" si="144"/>
        <v>};</v>
      </c>
    </row>
    <row r="155" spans="1:62" x14ac:dyDescent="0.25">
      <c r="C155" s="2" t="s">
        <v>889</v>
      </c>
      <c r="D155" s="2" t="s">
        <v>812</v>
      </c>
      <c r="V155">
        <v>138</v>
      </c>
      <c r="X155" t="str">
        <f t="shared" si="112"/>
        <v>[154] = {["CAT_ID"] = 138; }; -- Harvest Festival</v>
      </c>
      <c r="Y155" s="1" t="str">
        <f t="shared" si="114"/>
        <v>[154] = {                                           ["TYPE"] = 14;                       ["SUBTYPE"] =   0;                                   ["VXP"] =    0; ["LP"] =  0; ["REP"] =     0; ["FACTION"] =  1;                                        ["NAME"] = { ["EN"] = "Harvest Festival"; }; };</v>
      </c>
      <c r="Z155">
        <f t="shared" si="143"/>
        <v>154</v>
      </c>
      <c r="AA155" t="str">
        <f t="shared" si="115"/>
        <v>[154] = {</v>
      </c>
      <c r="AB155" t="str">
        <f t="shared" si="116"/>
        <v xml:space="preserve">                     </v>
      </c>
      <c r="AC155" t="str">
        <f t="shared" si="117"/>
        <v/>
      </c>
      <c r="AD155" t="str">
        <f t="shared" si="118"/>
        <v xml:space="preserve">["CAT_ID"] = 138; </v>
      </c>
      <c r="AE155" t="str">
        <f t="shared" si="119"/>
        <v/>
      </c>
      <c r="AF155" s="1" t="str">
        <f t="shared" si="120"/>
        <v xml:space="preserve">                      </v>
      </c>
      <c r="AG155">
        <f>VLOOKUP(D155,Type!A$2:B$16,2,FALSE)</f>
        <v>14</v>
      </c>
      <c r="AH155" t="str">
        <f t="shared" si="121"/>
        <v xml:space="preserve">["TYPE"] = 14; </v>
      </c>
      <c r="AI155" t="str">
        <f t="shared" si="122"/>
        <v xml:space="preserve">                      </v>
      </c>
      <c r="AJ155" t="str">
        <f>IF(AND(F155="Class",NOT(ISBLANK(E155))),VLOOKUP(E155,Class!A$1:B$12,2,FALSE),"")</f>
        <v/>
      </c>
      <c r="AK155" t="str">
        <f>IF(AND(F155="Vocation",NOT(ISBLANK(E155))),VLOOKUP(E155,Vocation!A$1:B$8,2,FALSE),"")</f>
        <v/>
      </c>
      <c r="AL155" t="str">
        <f>IF(AND(F155="Race",NOT(ISBLANK(E155))),VLOOKUP(E155,Race!A$1:B$9,2,),"")</f>
        <v/>
      </c>
      <c r="AM155" t="str">
        <f t="shared" si="123"/>
        <v xml:space="preserve">  0</v>
      </c>
      <c r="AN155" t="str">
        <f t="shared" si="124"/>
        <v xml:space="preserve">["SUBTYPE"] =   0; </v>
      </c>
      <c r="AO155" t="str">
        <f>IF(NOT(ISBLANK(G155)),VLOOKUP(G155,Type!D$2:E$6,2,FALSE),"")</f>
        <v/>
      </c>
      <c r="AP155" t="str">
        <f t="shared" si="125"/>
        <v xml:space="preserve">            </v>
      </c>
      <c r="AQ155" t="str">
        <f t="shared" si="126"/>
        <v xml:space="preserve">                      </v>
      </c>
      <c r="AR155" t="str">
        <f t="shared" si="127"/>
        <v/>
      </c>
      <c r="AS155" t="str">
        <f t="shared" si="128"/>
        <v>0</v>
      </c>
      <c r="AT155" t="str">
        <f t="shared" si="129"/>
        <v xml:space="preserve">["VXP"] =    0; </v>
      </c>
      <c r="AU155" t="str">
        <f t="shared" si="130"/>
        <v>0</v>
      </c>
      <c r="AV155" t="str">
        <f t="shared" si="131"/>
        <v xml:space="preserve">["LP"] =  0; </v>
      </c>
      <c r="AW155" t="str">
        <f t="shared" si="132"/>
        <v>0</v>
      </c>
      <c r="AX155" t="str">
        <f t="shared" si="133"/>
        <v xml:space="preserve">["REP"] =     0; </v>
      </c>
      <c r="AY155">
        <f>IF(LEN(P155)&gt;0,VLOOKUP(P155,Faction!A$2:B$77,2,FALSE),1)</f>
        <v>1</v>
      </c>
      <c r="AZ155" t="str">
        <f t="shared" si="134"/>
        <v xml:space="preserve">["FACTION"] =  1; </v>
      </c>
      <c r="BA155" t="str">
        <f t="shared" si="113"/>
        <v/>
      </c>
      <c r="BB155" t="str">
        <f t="shared" si="135"/>
        <v xml:space="preserve">                     </v>
      </c>
      <c r="BC155" t="str">
        <f t="shared" si="136"/>
        <v xml:space="preserve">                  </v>
      </c>
      <c r="BD155" t="str">
        <f t="shared" si="137"/>
        <v xml:space="preserve">["NAME"] = { ["EN"] = "Harvest Festival"; }; </v>
      </c>
      <c r="BE155" t="str">
        <f t="shared" si="138"/>
        <v/>
      </c>
      <c r="BF155" t="str">
        <f t="shared" si="139"/>
        <v/>
      </c>
      <c r="BG155" t="str">
        <f t="shared" si="140"/>
        <v/>
      </c>
      <c r="BH155" t="str">
        <f t="shared" si="141"/>
        <v/>
      </c>
      <c r="BI155" t="str">
        <f t="shared" si="142"/>
        <v/>
      </c>
      <c r="BJ155" t="str">
        <f t="shared" si="144"/>
        <v>};</v>
      </c>
    </row>
    <row r="156" spans="1:62" x14ac:dyDescent="0.25">
      <c r="A156">
        <v>1879217542</v>
      </c>
      <c r="B156">
        <v>124</v>
      </c>
      <c r="C156" t="s">
        <v>824</v>
      </c>
      <c r="D156" t="s">
        <v>24</v>
      </c>
      <c r="E156" t="s">
        <v>889</v>
      </c>
      <c r="Q156" t="s">
        <v>951</v>
      </c>
      <c r="R156" t="s">
        <v>890</v>
      </c>
      <c r="X156" t="str">
        <f t="shared" si="112"/>
        <v>[155] = {["ID"] = 1879217542; }; -- Consume Consumables -- Specimen Jars: Gross Bugs (Harvest Festival)</v>
      </c>
      <c r="Y156" s="1" t="str">
        <f t="shared" si="114"/>
        <v>[155]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3"/>
        <v>155</v>
      </c>
      <c r="AA156" t="str">
        <f t="shared" si="115"/>
        <v>[155] = {</v>
      </c>
      <c r="AB156" t="str">
        <f t="shared" si="116"/>
        <v xml:space="preserve">["ID"] = 1879217542; </v>
      </c>
      <c r="AC156" t="str">
        <f t="shared" si="117"/>
        <v xml:space="preserve">["ID"] = 1879217542; </v>
      </c>
      <c r="AD156" t="str">
        <f t="shared" si="118"/>
        <v/>
      </c>
      <c r="AE156" t="str">
        <f t="shared" si="119"/>
        <v xml:space="preserve"> (Harvest Festival)</v>
      </c>
      <c r="AF156" s="1" t="str">
        <f t="shared" si="120"/>
        <v xml:space="preserve">["SAVE_INDEX"] = 124; </v>
      </c>
      <c r="AG156">
        <f>VLOOKUP(D156,Type!A$2:B$16,2,FALSE)</f>
        <v>12</v>
      </c>
      <c r="AH156" t="str">
        <f t="shared" si="121"/>
        <v xml:space="preserve">["TYPE"] = 12; </v>
      </c>
      <c r="AI156" t="str">
        <f t="shared" si="122"/>
        <v xml:space="preserve">                      </v>
      </c>
      <c r="AJ156" t="str">
        <f>IF(AND(F156="Class",NOT(ISBLANK(E156))),VLOOKUP(E156,Class!A$1:B$12,2,FALSE),"")</f>
        <v/>
      </c>
      <c r="AK156" t="str">
        <f>IF(AND(F156="Vocation",NOT(ISBLANK(E156))),VLOOKUP(E156,Vocation!A$1:B$8,2,FALSE),"")</f>
        <v/>
      </c>
      <c r="AL156" t="str">
        <f>IF(AND(F156="Race",NOT(ISBLANK(E156))),VLOOKUP(E156,Race!A$1:B$9,2,),"")</f>
        <v/>
      </c>
      <c r="AM156" t="str">
        <f t="shared" si="123"/>
        <v xml:space="preserve">  0</v>
      </c>
      <c r="AN156" t="str">
        <f t="shared" si="124"/>
        <v xml:space="preserve">["SUBTYPE"] =   0; </v>
      </c>
      <c r="AO156" t="str">
        <f>IF(NOT(ISBLANK(G156)),VLOOKUP(G156,Type!D$2:E$6,2,FALSE),"")</f>
        <v/>
      </c>
      <c r="AP156" t="str">
        <f t="shared" si="125"/>
        <v xml:space="preserve">            </v>
      </c>
      <c r="AQ156" t="str">
        <f t="shared" si="126"/>
        <v xml:space="preserve">                      </v>
      </c>
      <c r="AR156" t="str">
        <f t="shared" si="127"/>
        <v/>
      </c>
      <c r="AS156" t="str">
        <f t="shared" si="128"/>
        <v>0</v>
      </c>
      <c r="AT156" t="str">
        <f t="shared" si="129"/>
        <v xml:space="preserve">["VXP"] =    0; </v>
      </c>
      <c r="AU156" t="str">
        <f t="shared" si="130"/>
        <v>0</v>
      </c>
      <c r="AV156" t="str">
        <f t="shared" si="131"/>
        <v xml:space="preserve">["LP"] =  0; </v>
      </c>
      <c r="AW156" t="str">
        <f t="shared" si="132"/>
        <v>0</v>
      </c>
      <c r="AX156" t="str">
        <f t="shared" si="133"/>
        <v xml:space="preserve">["REP"] =     0; </v>
      </c>
      <c r="AY156">
        <f>IF(LEN(P156)&gt;0,VLOOKUP(P156,Faction!A$2:B$77,2,FALSE),1)</f>
        <v>1</v>
      </c>
      <c r="AZ156" t="str">
        <f t="shared" si="134"/>
        <v xml:space="preserve">["FACTION"] =  1; </v>
      </c>
      <c r="BA156" t="str">
        <f t="shared" si="113"/>
        <v/>
      </c>
      <c r="BB156" t="str">
        <f t="shared" si="135"/>
        <v xml:space="preserve">                     </v>
      </c>
      <c r="BC156" t="str">
        <f t="shared" si="136"/>
        <v xml:space="preserve">                  </v>
      </c>
      <c r="BD156" t="str">
        <f t="shared" si="137"/>
        <v xml:space="preserve">["NAME"] = { ["EN"] = "Consume Consumables -- Specimen Jars: Gross Bugs"; }; </v>
      </c>
      <c r="BE156" t="str">
        <f t="shared" si="138"/>
        <v xml:space="preserve">["LORE"] = { ["EN"] = "Specimen jars: gross bugs can be purchased during the Fall Festival. You should use specimen jars: gross bugs many times to accomplish this deed."; }; </v>
      </c>
      <c r="BF156" t="str">
        <f t="shared" si="139"/>
        <v xml:space="preserve">["SUMMARY"] = { ["EN"] = "Use specimen jars: gross bugs 300 times"; }; </v>
      </c>
      <c r="BG156" t="str">
        <f t="shared" si="140"/>
        <v/>
      </c>
      <c r="BH156" t="str">
        <f t="shared" si="141"/>
        <v/>
      </c>
      <c r="BI156" t="str">
        <f t="shared" si="142"/>
        <v/>
      </c>
      <c r="BJ156" t="str">
        <f t="shared" si="144"/>
        <v>};</v>
      </c>
    </row>
    <row r="157" spans="1:62" x14ac:dyDescent="0.25">
      <c r="A157">
        <v>1879217541</v>
      </c>
      <c r="B157">
        <v>125</v>
      </c>
      <c r="C157" t="s">
        <v>891</v>
      </c>
      <c r="D157" t="s">
        <v>24</v>
      </c>
      <c r="E157" t="s">
        <v>889</v>
      </c>
      <c r="Q157" t="s">
        <v>952</v>
      </c>
      <c r="R157" t="s">
        <v>892</v>
      </c>
      <c r="X157" t="str">
        <f t="shared" si="112"/>
        <v>[156] = {["ID"] = 1879217541; }; -- Consume Consumables: Applications of 'Coveritol' (Harvest Festival)</v>
      </c>
      <c r="Y157" s="1" t="str">
        <f t="shared" si="114"/>
        <v>[156]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3"/>
        <v>156</v>
      </c>
      <c r="AA157" t="str">
        <f t="shared" si="115"/>
        <v>[156] = {</v>
      </c>
      <c r="AB157" t="str">
        <f t="shared" si="116"/>
        <v xml:space="preserve">["ID"] = 1879217541; </v>
      </c>
      <c r="AC157" t="str">
        <f t="shared" si="117"/>
        <v xml:space="preserve">["ID"] = 1879217541; </v>
      </c>
      <c r="AD157" t="str">
        <f t="shared" si="118"/>
        <v/>
      </c>
      <c r="AE157" t="str">
        <f t="shared" si="119"/>
        <v xml:space="preserve"> (Harvest Festival)</v>
      </c>
      <c r="AF157" s="1" t="str">
        <f t="shared" si="120"/>
        <v xml:space="preserve">["SAVE_INDEX"] = 125; </v>
      </c>
      <c r="AG157">
        <f>VLOOKUP(D157,Type!A$2:B$16,2,FALSE)</f>
        <v>12</v>
      </c>
      <c r="AH157" t="str">
        <f t="shared" si="121"/>
        <v xml:space="preserve">["TYPE"] = 12; </v>
      </c>
      <c r="AI157" t="str">
        <f t="shared" si="122"/>
        <v xml:space="preserve">                      </v>
      </c>
      <c r="AJ157" t="str">
        <f>IF(AND(F157="Class",NOT(ISBLANK(E157))),VLOOKUP(E157,Class!A$1:B$12,2,FALSE),"")</f>
        <v/>
      </c>
      <c r="AK157" t="str">
        <f>IF(AND(F157="Vocation",NOT(ISBLANK(E157))),VLOOKUP(E157,Vocation!A$1:B$8,2,FALSE),"")</f>
        <v/>
      </c>
      <c r="AL157" t="str">
        <f>IF(AND(F157="Race",NOT(ISBLANK(E157))),VLOOKUP(E157,Race!A$1:B$9,2,),"")</f>
        <v/>
      </c>
      <c r="AM157" t="str">
        <f t="shared" si="123"/>
        <v xml:space="preserve">  0</v>
      </c>
      <c r="AN157" t="str">
        <f t="shared" si="124"/>
        <v xml:space="preserve">["SUBTYPE"] =   0; </v>
      </c>
      <c r="AO157" t="str">
        <f>IF(NOT(ISBLANK(G157)),VLOOKUP(G157,Type!D$2:E$6,2,FALSE),"")</f>
        <v/>
      </c>
      <c r="AP157" t="str">
        <f t="shared" si="125"/>
        <v xml:space="preserve">            </v>
      </c>
      <c r="AQ157" t="str">
        <f t="shared" si="126"/>
        <v xml:space="preserve">                      </v>
      </c>
      <c r="AR157" t="str">
        <f t="shared" si="127"/>
        <v/>
      </c>
      <c r="AS157" t="str">
        <f t="shared" si="128"/>
        <v>0</v>
      </c>
      <c r="AT157" t="str">
        <f t="shared" si="129"/>
        <v xml:space="preserve">["VXP"] =    0; </v>
      </c>
      <c r="AU157" t="str">
        <f t="shared" si="130"/>
        <v>0</v>
      </c>
      <c r="AV157" t="str">
        <f t="shared" si="131"/>
        <v xml:space="preserve">["LP"] =  0; </v>
      </c>
      <c r="AW157" t="str">
        <f t="shared" si="132"/>
        <v>0</v>
      </c>
      <c r="AX157" t="str">
        <f t="shared" si="133"/>
        <v xml:space="preserve">["REP"] =     0; </v>
      </c>
      <c r="AY157">
        <f>IF(LEN(P157)&gt;0,VLOOKUP(P157,Faction!A$2:B$77,2,FALSE),1)</f>
        <v>1</v>
      </c>
      <c r="AZ157" t="str">
        <f t="shared" si="134"/>
        <v xml:space="preserve">["FACTION"] =  1; </v>
      </c>
      <c r="BA157" t="str">
        <f t="shared" si="113"/>
        <v/>
      </c>
      <c r="BB157" t="str">
        <f t="shared" si="135"/>
        <v xml:space="preserve">                     </v>
      </c>
      <c r="BC157" t="str">
        <f t="shared" si="136"/>
        <v xml:space="preserve">                  </v>
      </c>
      <c r="BD157" t="str">
        <f t="shared" si="137"/>
        <v xml:space="preserve">["NAME"] = { ["EN"] = "Consume Consumables: Applications of 'Coveritol'"; }; </v>
      </c>
      <c r="BE157" t="str">
        <f t="shared" si="138"/>
        <v xml:space="preserve">["LORE"] = { ["EN"] = "Applications of 'Coveritol' can be purchased during the Fall Festival. You should use Applications of 'Coveritol' many times to accomplish this deed."; }; </v>
      </c>
      <c r="BF157" t="str">
        <f t="shared" si="139"/>
        <v xml:space="preserve">["SUMMARY"] = { ["EN"] = "Use applications of 'Coveritol' 300 times"; }; </v>
      </c>
      <c r="BG157" t="str">
        <f t="shared" si="140"/>
        <v/>
      </c>
      <c r="BH157" t="str">
        <f t="shared" si="141"/>
        <v/>
      </c>
      <c r="BI157" t="str">
        <f t="shared" si="142"/>
        <v/>
      </c>
      <c r="BJ157" t="str">
        <f t="shared" si="144"/>
        <v>};</v>
      </c>
    </row>
    <row r="158" spans="1:62" x14ac:dyDescent="0.25">
      <c r="A158">
        <v>1879217537</v>
      </c>
      <c r="B158">
        <v>126</v>
      </c>
      <c r="C158" t="s">
        <v>825</v>
      </c>
      <c r="D158" t="s">
        <v>24</v>
      </c>
      <c r="E158" t="s">
        <v>889</v>
      </c>
      <c r="Q158" t="s">
        <v>954</v>
      </c>
      <c r="R158" t="s">
        <v>953</v>
      </c>
      <c r="X158" t="str">
        <f t="shared" si="112"/>
        <v>[157] = {["ID"] = 1879217537; }; -- Consume Consumables: Black Silk Gloves (Harvest Festival)</v>
      </c>
      <c r="Y158" s="1" t="str">
        <f t="shared" si="114"/>
        <v>[157]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8">
        <f t="shared" si="143"/>
        <v>157</v>
      </c>
      <c r="AA158" t="str">
        <f t="shared" si="115"/>
        <v>[157] = {</v>
      </c>
      <c r="AB158" t="str">
        <f t="shared" si="116"/>
        <v xml:space="preserve">["ID"] = 1879217537; </v>
      </c>
      <c r="AC158" t="str">
        <f t="shared" si="117"/>
        <v xml:space="preserve">["ID"] = 1879217537; </v>
      </c>
      <c r="AD158" t="str">
        <f t="shared" si="118"/>
        <v/>
      </c>
      <c r="AE158" t="str">
        <f t="shared" si="119"/>
        <v xml:space="preserve"> (Harvest Festival)</v>
      </c>
      <c r="AF158" s="1" t="str">
        <f t="shared" si="120"/>
        <v xml:space="preserve">["SAVE_INDEX"] = 126; </v>
      </c>
      <c r="AG158">
        <f>VLOOKUP(D158,Type!A$2:B$16,2,FALSE)</f>
        <v>12</v>
      </c>
      <c r="AH158" t="str">
        <f t="shared" si="121"/>
        <v xml:space="preserve">["TYPE"] = 12; </v>
      </c>
      <c r="AI158" t="str">
        <f t="shared" si="122"/>
        <v xml:space="preserve">                      </v>
      </c>
      <c r="AJ158" t="str">
        <f>IF(AND(F158="Class",NOT(ISBLANK(E158))),VLOOKUP(E158,Class!A$1:B$12,2,FALSE),"")</f>
        <v/>
      </c>
      <c r="AK158" t="str">
        <f>IF(AND(F158="Vocation",NOT(ISBLANK(E158))),VLOOKUP(E158,Vocation!A$1:B$8,2,FALSE),"")</f>
        <v/>
      </c>
      <c r="AL158" t="str">
        <f>IF(AND(F158="Race",NOT(ISBLANK(E158))),VLOOKUP(E158,Race!A$1:B$9,2,),"")</f>
        <v/>
      </c>
      <c r="AM158" t="str">
        <f t="shared" si="123"/>
        <v xml:space="preserve">  0</v>
      </c>
      <c r="AN158" t="str">
        <f t="shared" si="124"/>
        <v xml:space="preserve">["SUBTYPE"] =   0; </v>
      </c>
      <c r="AO158" t="str">
        <f>IF(NOT(ISBLANK(G158)),VLOOKUP(G158,Type!D$2:E$6,2,FALSE),"")</f>
        <v/>
      </c>
      <c r="AP158" t="str">
        <f t="shared" si="125"/>
        <v xml:space="preserve">            </v>
      </c>
      <c r="AQ158" t="str">
        <f t="shared" si="126"/>
        <v xml:space="preserve">                      </v>
      </c>
      <c r="AR158" t="str">
        <f t="shared" si="127"/>
        <v/>
      </c>
      <c r="AS158" t="str">
        <f t="shared" si="128"/>
        <v>0</v>
      </c>
      <c r="AT158" t="str">
        <f t="shared" si="129"/>
        <v xml:space="preserve">["VXP"] =    0; </v>
      </c>
      <c r="AU158" t="str">
        <f t="shared" si="130"/>
        <v>0</v>
      </c>
      <c r="AV158" t="str">
        <f t="shared" si="131"/>
        <v xml:space="preserve">["LP"] =  0; </v>
      </c>
      <c r="AW158" t="str">
        <f t="shared" si="132"/>
        <v>0</v>
      </c>
      <c r="AX158" t="str">
        <f t="shared" si="133"/>
        <v xml:space="preserve">["REP"] =     0; </v>
      </c>
      <c r="AY158">
        <f>IF(LEN(P158)&gt;0,VLOOKUP(P158,Faction!A$2:B$77,2,FALSE),1)</f>
        <v>1</v>
      </c>
      <c r="AZ158" t="str">
        <f t="shared" si="134"/>
        <v xml:space="preserve">["FACTION"] =  1; </v>
      </c>
      <c r="BA158" t="str">
        <f t="shared" si="113"/>
        <v/>
      </c>
      <c r="BB158" t="str">
        <f t="shared" si="135"/>
        <v xml:space="preserve">                     </v>
      </c>
      <c r="BC158" t="str">
        <f t="shared" si="136"/>
        <v xml:space="preserve">                  </v>
      </c>
      <c r="BD158" t="str">
        <f t="shared" si="137"/>
        <v xml:space="preserve">["NAME"] = { ["EN"] = "Consume Consumables: Black Silk Gloves"; }; </v>
      </c>
      <c r="BE158" t="str">
        <f t="shared" si="138"/>
        <v xml:space="preserve">["LORE"] = { ["EN"] = "Black silk gloves can be purchased during the Fall Festival. You should use black silk gloves many times to accomplish this deed."; }; </v>
      </c>
      <c r="BF158" t="str">
        <f t="shared" si="139"/>
        <v xml:space="preserve">["SUMMARY"] = { ["EN"] = "Use black silk gloves 300 times"; }; </v>
      </c>
      <c r="BG158" t="str">
        <f t="shared" si="140"/>
        <v/>
      </c>
      <c r="BH158" t="str">
        <f t="shared" si="141"/>
        <v/>
      </c>
      <c r="BI158" t="str">
        <f t="shared" si="142"/>
        <v/>
      </c>
      <c r="BJ158" t="str">
        <f t="shared" si="144"/>
        <v>};</v>
      </c>
    </row>
    <row r="159" spans="1:62" x14ac:dyDescent="0.25">
      <c r="A159">
        <v>1879217540</v>
      </c>
      <c r="B159">
        <v>127</v>
      </c>
      <c r="C159" t="s">
        <v>826</v>
      </c>
      <c r="D159" t="s">
        <v>24</v>
      </c>
      <c r="E159" t="s">
        <v>889</v>
      </c>
      <c r="Q159" t="s">
        <v>956</v>
      </c>
      <c r="R159" t="s">
        <v>955</v>
      </c>
      <c r="X159" t="str">
        <f t="shared" si="112"/>
        <v>[158] = {["ID"] = 1879217540; }; -- Consume Consumables: Buckets of Fear (Harvest Festival)</v>
      </c>
      <c r="Y159" s="1" t="str">
        <f t="shared" si="114"/>
        <v>[158]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59">
        <f t="shared" si="143"/>
        <v>158</v>
      </c>
      <c r="AA159" t="str">
        <f t="shared" si="115"/>
        <v>[158] = {</v>
      </c>
      <c r="AB159" t="str">
        <f t="shared" si="116"/>
        <v xml:space="preserve">["ID"] = 1879217540; </v>
      </c>
      <c r="AC159" t="str">
        <f t="shared" si="117"/>
        <v xml:space="preserve">["ID"] = 1879217540; </v>
      </c>
      <c r="AD159" t="str">
        <f t="shared" si="118"/>
        <v/>
      </c>
      <c r="AE159" t="str">
        <f t="shared" si="119"/>
        <v xml:space="preserve"> (Harvest Festival)</v>
      </c>
      <c r="AF159" s="1" t="str">
        <f t="shared" si="120"/>
        <v xml:space="preserve">["SAVE_INDEX"] = 127; </v>
      </c>
      <c r="AG159">
        <f>VLOOKUP(D159,Type!A$2:B$16,2,FALSE)</f>
        <v>12</v>
      </c>
      <c r="AH159" t="str">
        <f t="shared" si="121"/>
        <v xml:space="preserve">["TYPE"] = 12; </v>
      </c>
      <c r="AI159" t="str">
        <f t="shared" si="122"/>
        <v xml:space="preserve">                      </v>
      </c>
      <c r="AJ159" t="str">
        <f>IF(AND(F159="Class",NOT(ISBLANK(E159))),VLOOKUP(E159,Class!A$1:B$12,2,FALSE),"")</f>
        <v/>
      </c>
      <c r="AK159" t="str">
        <f>IF(AND(F159="Vocation",NOT(ISBLANK(E159))),VLOOKUP(E159,Vocation!A$1:B$8,2,FALSE),"")</f>
        <v/>
      </c>
      <c r="AL159" t="str">
        <f>IF(AND(F159="Race",NOT(ISBLANK(E159))),VLOOKUP(E159,Race!A$1:B$9,2,),"")</f>
        <v/>
      </c>
      <c r="AM159" t="str">
        <f t="shared" si="123"/>
        <v xml:space="preserve">  0</v>
      </c>
      <c r="AN159" t="str">
        <f t="shared" si="124"/>
        <v xml:space="preserve">["SUBTYPE"] =   0; </v>
      </c>
      <c r="AO159" t="str">
        <f>IF(NOT(ISBLANK(G159)),VLOOKUP(G159,Type!D$2:E$6,2,FALSE),"")</f>
        <v/>
      </c>
      <c r="AP159" t="str">
        <f t="shared" si="125"/>
        <v xml:space="preserve">            </v>
      </c>
      <c r="AQ159" t="str">
        <f t="shared" si="126"/>
        <v xml:space="preserve">                      </v>
      </c>
      <c r="AR159" t="str">
        <f t="shared" si="127"/>
        <v/>
      </c>
      <c r="AS159" t="str">
        <f t="shared" si="128"/>
        <v>0</v>
      </c>
      <c r="AT159" t="str">
        <f t="shared" si="129"/>
        <v xml:space="preserve">["VXP"] =    0; </v>
      </c>
      <c r="AU159" t="str">
        <f t="shared" si="130"/>
        <v>0</v>
      </c>
      <c r="AV159" t="str">
        <f t="shared" si="131"/>
        <v xml:space="preserve">["LP"] =  0; </v>
      </c>
      <c r="AW159" t="str">
        <f t="shared" si="132"/>
        <v>0</v>
      </c>
      <c r="AX159" t="str">
        <f t="shared" si="133"/>
        <v xml:space="preserve">["REP"] =     0; </v>
      </c>
      <c r="AY159">
        <f>IF(LEN(P159)&gt;0,VLOOKUP(P159,Faction!A$2:B$77,2,FALSE),1)</f>
        <v>1</v>
      </c>
      <c r="AZ159" t="str">
        <f t="shared" si="134"/>
        <v xml:space="preserve">["FACTION"] =  1; </v>
      </c>
      <c r="BA159" t="str">
        <f t="shared" si="113"/>
        <v/>
      </c>
      <c r="BB159" t="str">
        <f t="shared" si="135"/>
        <v xml:space="preserve">                     </v>
      </c>
      <c r="BC159" t="str">
        <f t="shared" si="136"/>
        <v xml:space="preserve">                  </v>
      </c>
      <c r="BD159" t="str">
        <f t="shared" si="137"/>
        <v xml:space="preserve">["NAME"] = { ["EN"] = "Consume Consumables: Buckets of Fear"; }; </v>
      </c>
      <c r="BE159" t="str">
        <f t="shared" si="138"/>
        <v xml:space="preserve">["LORE"] = { ["EN"] = "Buckets of fear can be purchased during the Fall Festival. You should use buckets of fear many times to accomplish this deed."; }; </v>
      </c>
      <c r="BF159" t="str">
        <f t="shared" si="139"/>
        <v xml:space="preserve">["SUMMARY"] = { ["EN"] = "Use buckets of fear 300 times."; }; </v>
      </c>
      <c r="BG159" t="str">
        <f t="shared" si="140"/>
        <v/>
      </c>
      <c r="BH159" t="str">
        <f t="shared" si="141"/>
        <v/>
      </c>
      <c r="BI159" t="str">
        <f t="shared" si="142"/>
        <v/>
      </c>
      <c r="BJ159" t="str">
        <f t="shared" si="144"/>
        <v>};</v>
      </c>
    </row>
    <row r="160" spans="1:62" x14ac:dyDescent="0.25">
      <c r="A160">
        <v>1879217538</v>
      </c>
      <c r="B160">
        <v>128</v>
      </c>
      <c r="C160" t="s">
        <v>827</v>
      </c>
      <c r="D160" t="s">
        <v>24</v>
      </c>
      <c r="E160" t="s">
        <v>889</v>
      </c>
      <c r="Q160" t="s">
        <v>958</v>
      </c>
      <c r="R160" t="s">
        <v>957</v>
      </c>
      <c r="X160" t="str">
        <f t="shared" si="112"/>
        <v>[159] = {["ID"] = 1879217538; }; -- Consume Consumables: Candles and Mirrors (Harvest Festival)</v>
      </c>
      <c r="Y160" s="1" t="str">
        <f t="shared" si="114"/>
        <v>[159]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0">
        <f t="shared" si="143"/>
        <v>159</v>
      </c>
      <c r="AA160" t="str">
        <f t="shared" si="115"/>
        <v>[159] = {</v>
      </c>
      <c r="AB160" t="str">
        <f t="shared" si="116"/>
        <v xml:space="preserve">["ID"] = 1879217538; </v>
      </c>
      <c r="AC160" t="str">
        <f t="shared" si="117"/>
        <v xml:space="preserve">["ID"] = 1879217538; </v>
      </c>
      <c r="AD160" t="str">
        <f t="shared" si="118"/>
        <v/>
      </c>
      <c r="AE160" t="str">
        <f t="shared" si="119"/>
        <v xml:space="preserve"> (Harvest Festival)</v>
      </c>
      <c r="AF160" s="1" t="str">
        <f t="shared" si="120"/>
        <v xml:space="preserve">["SAVE_INDEX"] = 128; </v>
      </c>
      <c r="AG160">
        <f>VLOOKUP(D160,Type!A$2:B$16,2,FALSE)</f>
        <v>12</v>
      </c>
      <c r="AH160" t="str">
        <f t="shared" si="121"/>
        <v xml:space="preserve">["TYPE"] = 12; </v>
      </c>
      <c r="AI160" t="str">
        <f t="shared" si="122"/>
        <v xml:space="preserve">                      </v>
      </c>
      <c r="AJ160" t="str">
        <f>IF(AND(F160="Class",NOT(ISBLANK(E160))),VLOOKUP(E160,Class!A$1:B$12,2,FALSE),"")</f>
        <v/>
      </c>
      <c r="AK160" t="str">
        <f>IF(AND(F160="Vocation",NOT(ISBLANK(E160))),VLOOKUP(E160,Vocation!A$1:B$8,2,FALSE),"")</f>
        <v/>
      </c>
      <c r="AL160" t="str">
        <f>IF(AND(F160="Race",NOT(ISBLANK(E160))),VLOOKUP(E160,Race!A$1:B$9,2,),"")</f>
        <v/>
      </c>
      <c r="AM160" t="str">
        <f t="shared" si="123"/>
        <v xml:space="preserve">  0</v>
      </c>
      <c r="AN160" t="str">
        <f t="shared" si="124"/>
        <v xml:space="preserve">["SUBTYPE"] =   0; </v>
      </c>
      <c r="AO160" t="str">
        <f>IF(NOT(ISBLANK(G160)),VLOOKUP(G160,Type!D$2:E$6,2,FALSE),"")</f>
        <v/>
      </c>
      <c r="AP160" t="str">
        <f t="shared" si="125"/>
        <v xml:space="preserve">            </v>
      </c>
      <c r="AQ160" t="str">
        <f t="shared" si="126"/>
        <v xml:space="preserve">                      </v>
      </c>
      <c r="AR160" t="str">
        <f t="shared" si="127"/>
        <v/>
      </c>
      <c r="AS160" t="str">
        <f t="shared" si="128"/>
        <v>0</v>
      </c>
      <c r="AT160" t="str">
        <f t="shared" si="129"/>
        <v xml:space="preserve">["VXP"] =    0; </v>
      </c>
      <c r="AU160" t="str">
        <f t="shared" si="130"/>
        <v>0</v>
      </c>
      <c r="AV160" t="str">
        <f t="shared" si="131"/>
        <v xml:space="preserve">["LP"] =  0; </v>
      </c>
      <c r="AW160" t="str">
        <f t="shared" si="132"/>
        <v>0</v>
      </c>
      <c r="AX160" t="str">
        <f t="shared" si="133"/>
        <v xml:space="preserve">["REP"] =     0; </v>
      </c>
      <c r="AY160">
        <f>IF(LEN(P160)&gt;0,VLOOKUP(P160,Faction!A$2:B$77,2,FALSE),1)</f>
        <v>1</v>
      </c>
      <c r="AZ160" t="str">
        <f t="shared" si="134"/>
        <v xml:space="preserve">["FACTION"] =  1; </v>
      </c>
      <c r="BA160" t="str">
        <f t="shared" si="113"/>
        <v/>
      </c>
      <c r="BB160" t="str">
        <f t="shared" si="135"/>
        <v xml:space="preserve">                     </v>
      </c>
      <c r="BC160" t="str">
        <f t="shared" si="136"/>
        <v xml:space="preserve">                  </v>
      </c>
      <c r="BD160" t="str">
        <f t="shared" si="137"/>
        <v xml:space="preserve">["NAME"] = { ["EN"] = "Consume Consumables: Candles and Mirrors"; }; </v>
      </c>
      <c r="BE160" t="str">
        <f t="shared" si="138"/>
        <v xml:space="preserve">["LORE"] = { ["EN"] = "Candles and mirrors can be purchased during the Fall Festival. You should use candles and mirrors many times to accomplish this deed."; }; </v>
      </c>
      <c r="BF160" t="str">
        <f t="shared" si="139"/>
        <v xml:space="preserve">["SUMMARY"] = { ["EN"] = "Use candles and mirrors 300 times."; }; </v>
      </c>
      <c r="BG160" t="str">
        <f t="shared" si="140"/>
        <v/>
      </c>
      <c r="BH160" t="str">
        <f t="shared" si="141"/>
        <v/>
      </c>
      <c r="BI160" t="str">
        <f t="shared" si="142"/>
        <v/>
      </c>
      <c r="BJ160" t="str">
        <f t="shared" si="144"/>
        <v>};</v>
      </c>
    </row>
    <row r="161" spans="1:62" x14ac:dyDescent="0.25">
      <c r="A161">
        <v>1879217539</v>
      </c>
      <c r="B161">
        <v>129</v>
      </c>
      <c r="C161" t="s">
        <v>836</v>
      </c>
      <c r="D161" t="s">
        <v>24</v>
      </c>
      <c r="E161" t="s">
        <v>889</v>
      </c>
      <c r="Q161" t="s">
        <v>978</v>
      </c>
      <c r="R161" t="s">
        <v>977</v>
      </c>
      <c r="X161" t="str">
        <f t="shared" si="112"/>
        <v>[160] = {["ID"] = 1879217539; }; -- Consume Consumables: Potent Bird-seed (Harvest Festival)</v>
      </c>
      <c r="Y161" s="1" t="str">
        <f t="shared" si="114"/>
        <v>[160]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1">
        <f t="shared" si="143"/>
        <v>160</v>
      </c>
      <c r="AA161" t="str">
        <f t="shared" si="115"/>
        <v>[160] = {</v>
      </c>
      <c r="AB161" t="str">
        <f t="shared" si="116"/>
        <v xml:space="preserve">["ID"] = 1879217539; </v>
      </c>
      <c r="AC161" t="str">
        <f t="shared" si="117"/>
        <v xml:space="preserve">["ID"] = 1879217539; </v>
      </c>
      <c r="AD161" t="str">
        <f t="shared" si="118"/>
        <v/>
      </c>
      <c r="AE161" t="str">
        <f t="shared" si="119"/>
        <v xml:space="preserve"> (Harvest Festival)</v>
      </c>
      <c r="AF161" s="1" t="str">
        <f t="shared" si="120"/>
        <v xml:space="preserve">["SAVE_INDEX"] = 129; </v>
      </c>
      <c r="AG161">
        <f>VLOOKUP(D161,Type!A$2:B$16,2,FALSE)</f>
        <v>12</v>
      </c>
      <c r="AH161" t="str">
        <f t="shared" si="121"/>
        <v xml:space="preserve">["TYPE"] = 12; </v>
      </c>
      <c r="AI161" t="str">
        <f t="shared" si="122"/>
        <v xml:space="preserve">                      </v>
      </c>
      <c r="AJ161" t="str">
        <f>IF(AND(F161="Class",NOT(ISBLANK(E161))),VLOOKUP(E161,Class!A$1:B$12,2,FALSE),"")</f>
        <v/>
      </c>
      <c r="AK161" t="str">
        <f>IF(AND(F161="Vocation",NOT(ISBLANK(E161))),VLOOKUP(E161,Vocation!A$1:B$8,2,FALSE),"")</f>
        <v/>
      </c>
      <c r="AL161" t="str">
        <f>IF(AND(F161="Race",NOT(ISBLANK(E161))),VLOOKUP(E161,Race!A$1:B$9,2,),"")</f>
        <v/>
      </c>
      <c r="AM161" t="str">
        <f t="shared" si="123"/>
        <v xml:space="preserve">  0</v>
      </c>
      <c r="AN161" t="str">
        <f t="shared" si="124"/>
        <v xml:space="preserve">["SUBTYPE"] =   0; </v>
      </c>
      <c r="AO161" t="str">
        <f>IF(NOT(ISBLANK(G161)),VLOOKUP(G161,Type!D$2:E$6,2,FALSE),"")</f>
        <v/>
      </c>
      <c r="AP161" t="str">
        <f t="shared" si="125"/>
        <v xml:space="preserve">            </v>
      </c>
      <c r="AQ161" t="str">
        <f t="shared" si="126"/>
        <v xml:space="preserve">                      </v>
      </c>
      <c r="AR161" t="str">
        <f t="shared" si="127"/>
        <v/>
      </c>
      <c r="AS161" t="str">
        <f t="shared" si="128"/>
        <v>0</v>
      </c>
      <c r="AT161" t="str">
        <f t="shared" si="129"/>
        <v xml:space="preserve">["VXP"] =    0; </v>
      </c>
      <c r="AU161" t="str">
        <f t="shared" si="130"/>
        <v>0</v>
      </c>
      <c r="AV161" t="str">
        <f t="shared" si="131"/>
        <v xml:space="preserve">["LP"] =  0; </v>
      </c>
      <c r="AW161" t="str">
        <f t="shared" si="132"/>
        <v>0</v>
      </c>
      <c r="AX161" t="str">
        <f t="shared" si="133"/>
        <v xml:space="preserve">["REP"] =     0; </v>
      </c>
      <c r="AY161">
        <f>IF(LEN(P161)&gt;0,VLOOKUP(P161,Faction!A$2:B$77,2,FALSE),1)</f>
        <v>1</v>
      </c>
      <c r="AZ161" t="str">
        <f t="shared" si="134"/>
        <v xml:space="preserve">["FACTION"] =  1; </v>
      </c>
      <c r="BA161" t="str">
        <f t="shared" si="113"/>
        <v/>
      </c>
      <c r="BB161" t="str">
        <f t="shared" si="135"/>
        <v xml:space="preserve">                     </v>
      </c>
      <c r="BC161" t="str">
        <f t="shared" si="136"/>
        <v xml:space="preserve">                  </v>
      </c>
      <c r="BD161" t="str">
        <f t="shared" si="137"/>
        <v xml:space="preserve">["NAME"] = { ["EN"] = "Consume Consumables: Potent Bird-seed"; }; </v>
      </c>
      <c r="BE161" t="str">
        <f t="shared" si="138"/>
        <v xml:space="preserve">["LORE"] = { ["EN"] = "Potent bird-seed can be purchased during the Fall Festival. You should use potent bird-seed many times to accomplish this deed."; }; </v>
      </c>
      <c r="BF161" t="str">
        <f t="shared" si="139"/>
        <v xml:space="preserve">["SUMMARY"] = { ["EN"] = "Use potent bird-seed 300 times."; }; </v>
      </c>
      <c r="BG161" t="str">
        <f t="shared" si="140"/>
        <v/>
      </c>
      <c r="BH161" t="str">
        <f t="shared" si="141"/>
        <v/>
      </c>
      <c r="BI161" t="str">
        <f t="shared" si="142"/>
        <v/>
      </c>
      <c r="BJ161" t="str">
        <f t="shared" si="144"/>
        <v>};</v>
      </c>
    </row>
    <row r="162" spans="1:62" x14ac:dyDescent="0.25">
      <c r="A162">
        <v>1879210649</v>
      </c>
      <c r="B162">
        <v>130</v>
      </c>
      <c r="C162" t="s">
        <v>838</v>
      </c>
      <c r="D162" t="s">
        <v>24</v>
      </c>
      <c r="E162" t="s">
        <v>889</v>
      </c>
      <c r="Q162" t="s">
        <v>982</v>
      </c>
      <c r="R162" t="s">
        <v>983</v>
      </c>
      <c r="X162" t="str">
        <f t="shared" si="112"/>
        <v>[161] = {["ID"] = 1879210649; }; -- Consume Consumables: Spider-legs (Harvest Festival)</v>
      </c>
      <c r="Y162" s="1" t="str">
        <f t="shared" si="114"/>
        <v>[161]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2">
        <f t="shared" si="143"/>
        <v>161</v>
      </c>
      <c r="AA162" t="str">
        <f t="shared" si="115"/>
        <v>[161] = {</v>
      </c>
      <c r="AB162" t="str">
        <f t="shared" si="116"/>
        <v xml:space="preserve">["ID"] = 1879210649; </v>
      </c>
      <c r="AC162" t="str">
        <f t="shared" si="117"/>
        <v xml:space="preserve">["ID"] = 1879210649; </v>
      </c>
      <c r="AD162" t="str">
        <f t="shared" si="118"/>
        <v/>
      </c>
      <c r="AE162" t="str">
        <f t="shared" si="119"/>
        <v xml:space="preserve"> (Harvest Festival)</v>
      </c>
      <c r="AF162" s="1" t="str">
        <f t="shared" si="120"/>
        <v xml:space="preserve">["SAVE_INDEX"] = 130; </v>
      </c>
      <c r="AG162">
        <f>VLOOKUP(D162,Type!A$2:B$16,2,FALSE)</f>
        <v>12</v>
      </c>
      <c r="AH162" t="str">
        <f t="shared" si="121"/>
        <v xml:space="preserve">["TYPE"] = 12; </v>
      </c>
      <c r="AI162" t="str">
        <f t="shared" si="122"/>
        <v xml:space="preserve">                      </v>
      </c>
      <c r="AJ162" t="str">
        <f>IF(AND(F162="Class",NOT(ISBLANK(E162))),VLOOKUP(E162,Class!A$1:B$12,2,FALSE),"")</f>
        <v/>
      </c>
      <c r="AK162" t="str">
        <f>IF(AND(F162="Vocation",NOT(ISBLANK(E162))),VLOOKUP(E162,Vocation!A$1:B$8,2,FALSE),"")</f>
        <v/>
      </c>
      <c r="AL162" t="str">
        <f>IF(AND(F162="Race",NOT(ISBLANK(E162))),VLOOKUP(E162,Race!A$1:B$9,2,),"")</f>
        <v/>
      </c>
      <c r="AM162" t="str">
        <f t="shared" si="123"/>
        <v xml:space="preserve">  0</v>
      </c>
      <c r="AN162" t="str">
        <f t="shared" si="124"/>
        <v xml:space="preserve">["SUBTYPE"] =   0; </v>
      </c>
      <c r="AO162" t="str">
        <f>IF(NOT(ISBLANK(G162)),VLOOKUP(G162,Type!D$2:E$6,2,FALSE),"")</f>
        <v/>
      </c>
      <c r="AP162" t="str">
        <f t="shared" si="125"/>
        <v xml:space="preserve">            </v>
      </c>
      <c r="AQ162" t="str">
        <f t="shared" si="126"/>
        <v xml:space="preserve">                      </v>
      </c>
      <c r="AR162" t="str">
        <f t="shared" si="127"/>
        <v/>
      </c>
      <c r="AS162" t="str">
        <f t="shared" si="128"/>
        <v>0</v>
      </c>
      <c r="AT162" t="str">
        <f t="shared" si="129"/>
        <v xml:space="preserve">["VXP"] =    0; </v>
      </c>
      <c r="AU162" t="str">
        <f t="shared" si="130"/>
        <v>0</v>
      </c>
      <c r="AV162" t="str">
        <f t="shared" si="131"/>
        <v xml:space="preserve">["LP"] =  0; </v>
      </c>
      <c r="AW162" t="str">
        <f t="shared" si="132"/>
        <v>0</v>
      </c>
      <c r="AX162" t="str">
        <f t="shared" si="133"/>
        <v xml:space="preserve">["REP"] =     0; </v>
      </c>
      <c r="AY162">
        <f>IF(LEN(P162)&gt;0,VLOOKUP(P162,Faction!A$2:B$77,2,FALSE),1)</f>
        <v>1</v>
      </c>
      <c r="AZ162" t="str">
        <f t="shared" si="134"/>
        <v xml:space="preserve">["FACTION"] =  1; </v>
      </c>
      <c r="BA162" t="str">
        <f t="shared" si="113"/>
        <v/>
      </c>
      <c r="BB162" t="str">
        <f t="shared" si="135"/>
        <v xml:space="preserve">                     </v>
      </c>
      <c r="BC162" t="str">
        <f t="shared" si="136"/>
        <v xml:space="preserve">                  </v>
      </c>
      <c r="BD162" t="str">
        <f t="shared" si="137"/>
        <v xml:space="preserve">["NAME"] = { ["EN"] = "Consume Consumables: Spider-legs"; }; </v>
      </c>
      <c r="BE162" t="str">
        <f t="shared" si="138"/>
        <v xml:space="preserve">["LORE"] = { ["EN"] = "Spider-legs can be purchased during the Fall Festival. You should use spider-legs many times to accomplish this deed."; }; </v>
      </c>
      <c r="BF162" t="str">
        <f t="shared" si="139"/>
        <v xml:space="preserve">["SUMMARY"] = { ["EN"] = "Use spider-legs 300 times."; }; </v>
      </c>
      <c r="BG162" t="str">
        <f t="shared" si="140"/>
        <v/>
      </c>
      <c r="BH162" t="str">
        <f t="shared" si="141"/>
        <v/>
      </c>
      <c r="BI162" t="str">
        <f t="shared" si="142"/>
        <v/>
      </c>
      <c r="BJ162" t="str">
        <f t="shared" si="144"/>
        <v>};</v>
      </c>
    </row>
    <row r="163" spans="1:62" x14ac:dyDescent="0.25">
      <c r="A163">
        <v>1879191253</v>
      </c>
      <c r="B163">
        <v>131</v>
      </c>
      <c r="C163" t="s">
        <v>859</v>
      </c>
      <c r="D163" t="s">
        <v>24</v>
      </c>
      <c r="E163" t="s">
        <v>889</v>
      </c>
      <c r="M163" t="s">
        <v>1033</v>
      </c>
      <c r="Q163" t="s">
        <v>1032</v>
      </c>
      <c r="R163" t="s">
        <v>1031</v>
      </c>
      <c r="S163">
        <v>0</v>
      </c>
      <c r="T163">
        <v>6</v>
      </c>
      <c r="X163" t="str">
        <f t="shared" si="112"/>
        <v>[162] = {["ID"] = 1879191253; }; -- The Haunted Burrow (Harvest Festival)</v>
      </c>
      <c r="Y163" s="1" t="str">
        <f t="shared" si="114"/>
        <v>[162] = {["ID"] = 1879191253; ["SAVE_INDEX"] = 131; ["TYPE"] = 12;                       ["SUBTYPE"] =   0;                                   ["VXP"] =    0; ["LP"] =  0; ["REP"] =     0; ["FACTION"] =  1; ["MIN_LVL"] =   "6";                   ["NAME"] = { ["EN"] = "The Haunted Burrow"; }; ["LORE"] = { ["EN"] = "The Haunted Burrow offers a wide array of activities."; }; ["SUMMARY"] = { ["EN"] = "Complete 7 quests"; }; ["TITLE"] = { ["EN"] = "Burrower"; }; };</v>
      </c>
      <c r="Z163">
        <f t="shared" si="143"/>
        <v>162</v>
      </c>
      <c r="AA163" t="str">
        <f t="shared" si="115"/>
        <v>[162] = {</v>
      </c>
      <c r="AB163" t="str">
        <f t="shared" si="116"/>
        <v xml:space="preserve">["ID"] = 1879191253; </v>
      </c>
      <c r="AC163" t="str">
        <f t="shared" si="117"/>
        <v xml:space="preserve">["ID"] = 1879191253; </v>
      </c>
      <c r="AD163" t="str">
        <f t="shared" si="118"/>
        <v/>
      </c>
      <c r="AE163" t="str">
        <f t="shared" si="119"/>
        <v xml:space="preserve"> (Harvest Festival)</v>
      </c>
      <c r="AF163" s="1" t="str">
        <f t="shared" si="120"/>
        <v xml:space="preserve">["SAVE_INDEX"] = 131; </v>
      </c>
      <c r="AG163">
        <f>VLOOKUP(D163,Type!A$2:B$16,2,FALSE)</f>
        <v>12</v>
      </c>
      <c r="AH163" t="str">
        <f t="shared" si="121"/>
        <v xml:space="preserve">["TYPE"] = 12; </v>
      </c>
      <c r="AI163" t="str">
        <f t="shared" si="122"/>
        <v xml:space="preserve">                      </v>
      </c>
      <c r="AJ163" t="str">
        <f>IF(AND(F163="Class",NOT(ISBLANK(E163))),VLOOKUP(E163,Class!A$1:B$12,2,FALSE),"")</f>
        <v/>
      </c>
      <c r="AK163" t="str">
        <f>IF(AND(F163="Vocation",NOT(ISBLANK(E163))),VLOOKUP(E163,Vocation!A$1:B$8,2,FALSE),"")</f>
        <v/>
      </c>
      <c r="AL163" t="str">
        <f>IF(AND(F163="Race",NOT(ISBLANK(E163))),VLOOKUP(E163,Race!A$1:B$9,2,),"")</f>
        <v/>
      </c>
      <c r="AM163" t="str">
        <f t="shared" si="123"/>
        <v xml:space="preserve">  0</v>
      </c>
      <c r="AN163" t="str">
        <f t="shared" si="124"/>
        <v xml:space="preserve">["SUBTYPE"] =   0; </v>
      </c>
      <c r="AO163" t="str">
        <f>IF(NOT(ISBLANK(G163)),VLOOKUP(G163,Type!D$2:E$6,2,FALSE),"")</f>
        <v/>
      </c>
      <c r="AP163" t="str">
        <f t="shared" si="125"/>
        <v xml:space="preserve">            </v>
      </c>
      <c r="AQ163" t="str">
        <f t="shared" si="126"/>
        <v xml:space="preserve">                      </v>
      </c>
      <c r="AR163" t="str">
        <f t="shared" si="127"/>
        <v/>
      </c>
      <c r="AS163" t="str">
        <f t="shared" si="128"/>
        <v>0</v>
      </c>
      <c r="AT163" t="str">
        <f t="shared" si="129"/>
        <v xml:space="preserve">["VXP"] =    0; </v>
      </c>
      <c r="AU163" t="str">
        <f t="shared" si="130"/>
        <v>0</v>
      </c>
      <c r="AV163" t="str">
        <f t="shared" si="131"/>
        <v xml:space="preserve">["LP"] =  0; </v>
      </c>
      <c r="AW163" t="str">
        <f t="shared" si="132"/>
        <v>0</v>
      </c>
      <c r="AX163" t="str">
        <f t="shared" si="133"/>
        <v xml:space="preserve">["REP"] =     0; </v>
      </c>
      <c r="AY163">
        <f>IF(LEN(P163)&gt;0,VLOOKUP(P163,Faction!A$2:B$77,2,FALSE),1)</f>
        <v>1</v>
      </c>
      <c r="AZ163" t="str">
        <f t="shared" si="134"/>
        <v xml:space="preserve">["FACTION"] =  1; </v>
      </c>
      <c r="BA163" t="str">
        <f t="shared" si="113"/>
        <v/>
      </c>
      <c r="BB163" t="str">
        <f t="shared" si="135"/>
        <v xml:space="preserve">["MIN_LVL"] =   "6"; </v>
      </c>
      <c r="BC163" t="str">
        <f t="shared" si="136"/>
        <v xml:space="preserve">                  </v>
      </c>
      <c r="BD163" t="str">
        <f t="shared" si="137"/>
        <v xml:space="preserve">["NAME"] = { ["EN"] = "The Haunted Burrow"; }; </v>
      </c>
      <c r="BE163" t="str">
        <f t="shared" si="138"/>
        <v xml:space="preserve">["LORE"] = { ["EN"] = "The Haunted Burrow offers a wide array of activities."; }; </v>
      </c>
      <c r="BF163" t="str">
        <f t="shared" si="139"/>
        <v xml:space="preserve">["SUMMARY"] = { ["EN"] = "Complete 7 quests"; }; </v>
      </c>
      <c r="BG163" t="str">
        <f t="shared" si="140"/>
        <v xml:space="preserve">["TITLE"] = { ["EN"] = "Burrower"; }; </v>
      </c>
      <c r="BH163" t="str">
        <f t="shared" si="141"/>
        <v/>
      </c>
      <c r="BI163" t="str">
        <f t="shared" si="142"/>
        <v/>
      </c>
      <c r="BJ163" t="str">
        <f t="shared" si="144"/>
        <v>};</v>
      </c>
    </row>
    <row r="164" spans="1:62" x14ac:dyDescent="0.25">
      <c r="A164">
        <v>1879380513</v>
      </c>
      <c r="B164">
        <v>132</v>
      </c>
      <c r="C164" t="s">
        <v>897</v>
      </c>
      <c r="D164" t="s">
        <v>24</v>
      </c>
      <c r="E164" t="s">
        <v>889</v>
      </c>
      <c r="M164" t="s">
        <v>3527</v>
      </c>
      <c r="Q164" t="s">
        <v>1035</v>
      </c>
      <c r="R164" t="s">
        <v>2171</v>
      </c>
      <c r="S164">
        <v>0</v>
      </c>
      <c r="T164">
        <v>6</v>
      </c>
      <c r="X164" t="str">
        <f t="shared" si="112"/>
        <v>[163] = {["ID"] = 1879380513; }; -- The Wistmead Wheat Maze (Harvest Festival)</v>
      </c>
      <c r="Y164" s="1" t="str">
        <f t="shared" si="114"/>
        <v>[163]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4">
        <f t="shared" si="143"/>
        <v>163</v>
      </c>
      <c r="AA164" t="str">
        <f t="shared" si="115"/>
        <v>[163] = {</v>
      </c>
      <c r="AB164" t="str">
        <f t="shared" si="116"/>
        <v xml:space="preserve">["ID"] = 1879380513; </v>
      </c>
      <c r="AC164" t="str">
        <f t="shared" si="117"/>
        <v xml:space="preserve">["ID"] = 1879380513; </v>
      </c>
      <c r="AD164" t="str">
        <f t="shared" si="118"/>
        <v/>
      </c>
      <c r="AE164" t="str">
        <f t="shared" si="119"/>
        <v xml:space="preserve"> (Harvest Festival)</v>
      </c>
      <c r="AF164" s="1" t="str">
        <f t="shared" si="120"/>
        <v xml:space="preserve">["SAVE_INDEX"] = 132; </v>
      </c>
      <c r="AG164">
        <f>VLOOKUP(D164,Type!A$2:B$16,2,FALSE)</f>
        <v>12</v>
      </c>
      <c r="AH164" t="str">
        <f t="shared" si="121"/>
        <v xml:space="preserve">["TYPE"] = 12; </v>
      </c>
      <c r="AI164" t="str">
        <f t="shared" si="122"/>
        <v xml:space="preserve">                      </v>
      </c>
      <c r="AJ164" t="str">
        <f>IF(AND(F164="Class",NOT(ISBLANK(E164))),VLOOKUP(E164,Class!A$1:B$12,2,FALSE),"")</f>
        <v/>
      </c>
      <c r="AK164" t="str">
        <f>IF(AND(F164="Vocation",NOT(ISBLANK(E164))),VLOOKUP(E164,Vocation!A$1:B$8,2,FALSE),"")</f>
        <v/>
      </c>
      <c r="AL164" t="str">
        <f>IF(AND(F164="Race",NOT(ISBLANK(E164))),VLOOKUP(E164,Race!A$1:B$9,2,),"")</f>
        <v/>
      </c>
      <c r="AM164" t="str">
        <f t="shared" si="123"/>
        <v xml:space="preserve">  0</v>
      </c>
      <c r="AN164" t="str">
        <f t="shared" si="124"/>
        <v xml:space="preserve">["SUBTYPE"] =   0; </v>
      </c>
      <c r="AO164" t="str">
        <f>IF(NOT(ISBLANK(G164)),VLOOKUP(G164,Type!D$2:E$6,2,FALSE),"")</f>
        <v/>
      </c>
      <c r="AP164" t="str">
        <f t="shared" si="125"/>
        <v xml:space="preserve">            </v>
      </c>
      <c r="AQ164" t="str">
        <f t="shared" si="126"/>
        <v xml:space="preserve">                      </v>
      </c>
      <c r="AR164" t="str">
        <f t="shared" si="127"/>
        <v/>
      </c>
      <c r="AS164" t="str">
        <f t="shared" si="128"/>
        <v>0</v>
      </c>
      <c r="AT164" t="str">
        <f t="shared" si="129"/>
        <v xml:space="preserve">["VXP"] =    0; </v>
      </c>
      <c r="AU164" t="str">
        <f t="shared" si="130"/>
        <v>0</v>
      </c>
      <c r="AV164" t="str">
        <f t="shared" si="131"/>
        <v xml:space="preserve">["LP"] =  0; </v>
      </c>
      <c r="AW164" t="str">
        <f t="shared" si="132"/>
        <v>0</v>
      </c>
      <c r="AX164" t="str">
        <f t="shared" si="133"/>
        <v xml:space="preserve">["REP"] =     0; </v>
      </c>
      <c r="AY164">
        <f>IF(LEN(P164)&gt;0,VLOOKUP(P164,Faction!A$2:B$77,2,FALSE),1)</f>
        <v>1</v>
      </c>
      <c r="AZ164" t="str">
        <f t="shared" si="134"/>
        <v xml:space="preserve">["FACTION"] =  1; </v>
      </c>
      <c r="BA164" t="str">
        <f t="shared" si="113"/>
        <v/>
      </c>
      <c r="BB164" t="str">
        <f t="shared" si="135"/>
        <v xml:space="preserve">["MIN_LVL"] =   "6"; </v>
      </c>
      <c r="BC164" t="str">
        <f t="shared" si="136"/>
        <v xml:space="preserve">                  </v>
      </c>
      <c r="BD164" t="str">
        <f t="shared" si="137"/>
        <v xml:space="preserve">["NAME"] = { ["EN"] = "The Wistmead Wheat Maze"; }; </v>
      </c>
      <c r="BE164" t="str">
        <f t="shared" si="138"/>
        <v xml:space="preserve">["LORE"] = { ["EN"] = "The Wistmead wheat maze has many amazing challenges."; }; </v>
      </c>
      <c r="BF164" t="str">
        <f t="shared" si="139"/>
        <v xml:space="preserve">["SUMMARY"] = { ["EN"] = "Complete 5 Challenging and 5 Cheat quests"; }; </v>
      </c>
      <c r="BG164" t="str">
        <f t="shared" si="140"/>
        <v xml:space="preserve">["TITLE"] = { ["EN"] = "Maze-master"; }; </v>
      </c>
      <c r="BH164" t="str">
        <f t="shared" si="141"/>
        <v/>
      </c>
      <c r="BI164" t="str">
        <f t="shared" si="142"/>
        <v/>
      </c>
      <c r="BJ164" t="str">
        <f t="shared" si="144"/>
        <v>};</v>
      </c>
    </row>
    <row r="165" spans="1:62" x14ac:dyDescent="0.25">
      <c r="A165">
        <v>1879381431</v>
      </c>
      <c r="B165">
        <v>133</v>
      </c>
      <c r="C165" t="s">
        <v>911</v>
      </c>
      <c r="D165" t="s">
        <v>24</v>
      </c>
      <c r="E165" t="s">
        <v>889</v>
      </c>
      <c r="M165" t="s">
        <v>1044</v>
      </c>
      <c r="Q165" t="s">
        <v>1043</v>
      </c>
      <c r="R165" t="s">
        <v>1042</v>
      </c>
      <c r="S165">
        <v>0</v>
      </c>
      <c r="T165">
        <v>6</v>
      </c>
      <c r="X165" t="str">
        <f t="shared" si="112"/>
        <v>[164] = {["ID"] = 1879381431; }; -- Treats or Trickery: Bottom of the Barrel (Harvest Festival)</v>
      </c>
      <c r="Y165" s="1" t="str">
        <f t="shared" si="114"/>
        <v>[164]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3"/>
        <v>164</v>
      </c>
      <c r="AA165" t="str">
        <f t="shared" si="115"/>
        <v>[164] = {</v>
      </c>
      <c r="AB165" t="str">
        <f t="shared" si="116"/>
        <v xml:space="preserve">["ID"] = 1879381431; </v>
      </c>
      <c r="AC165" t="str">
        <f t="shared" si="117"/>
        <v xml:space="preserve">["ID"] = 1879381431; </v>
      </c>
      <c r="AD165" t="str">
        <f t="shared" si="118"/>
        <v/>
      </c>
      <c r="AE165" t="str">
        <f t="shared" si="119"/>
        <v xml:space="preserve"> (Harvest Festival)</v>
      </c>
      <c r="AF165" s="1" t="str">
        <f t="shared" si="120"/>
        <v xml:space="preserve">["SAVE_INDEX"] = 133; </v>
      </c>
      <c r="AG165">
        <f>VLOOKUP(D165,Type!A$2:B$16,2,FALSE)</f>
        <v>12</v>
      </c>
      <c r="AH165" t="str">
        <f t="shared" si="121"/>
        <v xml:space="preserve">["TYPE"] = 12; </v>
      </c>
      <c r="AI165" t="str">
        <f t="shared" si="122"/>
        <v xml:space="preserve">                      </v>
      </c>
      <c r="AJ165" t="str">
        <f>IF(AND(F165="Class",NOT(ISBLANK(E165))),VLOOKUP(E165,Class!A$1:B$12,2,FALSE),"")</f>
        <v/>
      </c>
      <c r="AK165" t="str">
        <f>IF(AND(F165="Vocation",NOT(ISBLANK(E165))),VLOOKUP(E165,Vocation!A$1:B$8,2,FALSE),"")</f>
        <v/>
      </c>
      <c r="AL165" t="str">
        <f>IF(AND(F165="Race",NOT(ISBLANK(E165))),VLOOKUP(E165,Race!A$1:B$9,2,),"")</f>
        <v/>
      </c>
      <c r="AM165" t="str">
        <f t="shared" si="123"/>
        <v xml:space="preserve">  0</v>
      </c>
      <c r="AN165" t="str">
        <f t="shared" si="124"/>
        <v xml:space="preserve">["SUBTYPE"] =   0; </v>
      </c>
      <c r="AO165" t="str">
        <f>IF(NOT(ISBLANK(G165)),VLOOKUP(G165,Type!D$2:E$6,2,FALSE),"")</f>
        <v/>
      </c>
      <c r="AP165" t="str">
        <f t="shared" si="125"/>
        <v xml:space="preserve">            </v>
      </c>
      <c r="AQ165" t="str">
        <f t="shared" si="126"/>
        <v xml:space="preserve">                      </v>
      </c>
      <c r="AR165" t="str">
        <f t="shared" si="127"/>
        <v/>
      </c>
      <c r="AS165" t="str">
        <f t="shared" si="128"/>
        <v>0</v>
      </c>
      <c r="AT165" t="str">
        <f t="shared" si="129"/>
        <v xml:space="preserve">["VXP"] =    0; </v>
      </c>
      <c r="AU165" t="str">
        <f t="shared" si="130"/>
        <v>0</v>
      </c>
      <c r="AV165" t="str">
        <f t="shared" si="131"/>
        <v xml:space="preserve">["LP"] =  0; </v>
      </c>
      <c r="AW165" t="str">
        <f t="shared" si="132"/>
        <v>0</v>
      </c>
      <c r="AX165" t="str">
        <f t="shared" si="133"/>
        <v xml:space="preserve">["REP"] =     0; </v>
      </c>
      <c r="AY165">
        <f>IF(LEN(P165)&gt;0,VLOOKUP(P165,Faction!A$2:B$77,2,FALSE),1)</f>
        <v>1</v>
      </c>
      <c r="AZ165" t="str">
        <f t="shared" si="134"/>
        <v xml:space="preserve">["FACTION"] =  1; </v>
      </c>
      <c r="BA165" t="str">
        <f t="shared" si="113"/>
        <v/>
      </c>
      <c r="BB165" t="str">
        <f t="shared" si="135"/>
        <v xml:space="preserve">["MIN_LVL"] =   "6"; </v>
      </c>
      <c r="BC165" t="str">
        <f t="shared" si="136"/>
        <v xml:space="preserve">                  </v>
      </c>
      <c r="BD165" t="str">
        <f t="shared" si="137"/>
        <v xml:space="preserve">["NAME"] = { ["EN"] = "Treats or Trickery: Bottom of the Barrel"; }; </v>
      </c>
      <c r="BE165" t="str">
        <f t="shared" si="138"/>
        <v xml:space="preserve">["LORE"] = { ["EN"] = "Some consider Treats or Trickery an outing; some, a preoccupation; others, a way of life."; }; </v>
      </c>
      <c r="BF165" t="str">
        <f t="shared" si="139"/>
        <v xml:space="preserve">["SUMMARY"] = { ["EN"] = "Complete Treats or Trickery for the majority of the Harvest Festival 20 times."; }; </v>
      </c>
      <c r="BG165" t="str">
        <f t="shared" si="140"/>
        <v xml:space="preserve">["TITLE"] = { ["EN"] = "No-teeth"; }; </v>
      </c>
      <c r="BH165" t="str">
        <f t="shared" si="141"/>
        <v/>
      </c>
      <c r="BI165" t="str">
        <f t="shared" si="142"/>
        <v/>
      </c>
      <c r="BJ165" t="str">
        <f t="shared" si="144"/>
        <v>};</v>
      </c>
    </row>
    <row r="166" spans="1:62" x14ac:dyDescent="0.25">
      <c r="A166">
        <v>1879381430</v>
      </c>
      <c r="B166">
        <v>134</v>
      </c>
      <c r="C166" t="s">
        <v>909</v>
      </c>
      <c r="D166" t="s">
        <v>24</v>
      </c>
      <c r="E166" t="s">
        <v>889</v>
      </c>
      <c r="M166" t="s">
        <v>1041</v>
      </c>
      <c r="Q166" t="s">
        <v>1040</v>
      </c>
      <c r="R166" t="s">
        <v>1039</v>
      </c>
      <c r="S166">
        <v>1</v>
      </c>
      <c r="T166">
        <v>6</v>
      </c>
      <c r="X166" t="str">
        <f t="shared" si="112"/>
        <v>[165] = {["ID"] = 1879381430; ["TIER"] = 1; }; -- Treats or Trickery: Seven-fold Foray (Harvest Festival)</v>
      </c>
      <c r="Y166" s="1" t="str">
        <f t="shared" si="114"/>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3"/>
        <v>165</v>
      </c>
      <c r="AA166" t="str">
        <f t="shared" si="115"/>
        <v>[165] = {</v>
      </c>
      <c r="AB166" t="str">
        <f t="shared" si="116"/>
        <v xml:space="preserve">["ID"] = 1879381430; </v>
      </c>
      <c r="AC166" t="str">
        <f t="shared" si="117"/>
        <v xml:space="preserve">["ID"] = 1879381430; </v>
      </c>
      <c r="AD166" t="str">
        <f t="shared" si="118"/>
        <v/>
      </c>
      <c r="AE166" t="str">
        <f t="shared" si="119"/>
        <v xml:space="preserve"> (Harvest Festival)</v>
      </c>
      <c r="AF166" s="1" t="str">
        <f t="shared" si="120"/>
        <v xml:space="preserve">["SAVE_INDEX"] = 134; </v>
      </c>
      <c r="AG166">
        <f>VLOOKUP(D166,Type!A$2:B$16,2,FALSE)</f>
        <v>12</v>
      </c>
      <c r="AH166" t="str">
        <f t="shared" si="121"/>
        <v xml:space="preserve">["TYPE"] = 12; </v>
      </c>
      <c r="AI166" t="str">
        <f t="shared" si="122"/>
        <v xml:space="preserve">                      </v>
      </c>
      <c r="AJ166" t="str">
        <f>IF(AND(F166="Class",NOT(ISBLANK(E166))),VLOOKUP(E166,Class!A$1:B$12,2,FALSE),"")</f>
        <v/>
      </c>
      <c r="AK166" t="str">
        <f>IF(AND(F166="Vocation",NOT(ISBLANK(E166))),VLOOKUP(E166,Vocation!A$1:B$8,2,FALSE),"")</f>
        <v/>
      </c>
      <c r="AL166" t="str">
        <f>IF(AND(F166="Race",NOT(ISBLANK(E166))),VLOOKUP(E166,Race!A$1:B$9,2,),"")</f>
        <v/>
      </c>
      <c r="AM166" t="str">
        <f t="shared" si="123"/>
        <v xml:space="preserve">  0</v>
      </c>
      <c r="AN166" t="str">
        <f t="shared" si="124"/>
        <v xml:space="preserve">["SUBTYPE"] =   0; </v>
      </c>
      <c r="AO166" t="str">
        <f>IF(NOT(ISBLANK(G166)),VLOOKUP(G166,Type!D$2:E$6,2,FALSE),"")</f>
        <v/>
      </c>
      <c r="AP166" t="str">
        <f t="shared" si="125"/>
        <v xml:space="preserve">            </v>
      </c>
      <c r="AQ166" t="str">
        <f t="shared" si="126"/>
        <v xml:space="preserve">                      </v>
      </c>
      <c r="AR166" t="str">
        <f t="shared" si="127"/>
        <v/>
      </c>
      <c r="AS166" t="str">
        <f t="shared" si="128"/>
        <v>0</v>
      </c>
      <c r="AT166" t="str">
        <f t="shared" si="129"/>
        <v xml:space="preserve">["VXP"] =    0; </v>
      </c>
      <c r="AU166" t="str">
        <f t="shared" si="130"/>
        <v>0</v>
      </c>
      <c r="AV166" t="str">
        <f t="shared" si="131"/>
        <v xml:space="preserve">["LP"] =  0; </v>
      </c>
      <c r="AW166" t="str">
        <f t="shared" si="132"/>
        <v>0</v>
      </c>
      <c r="AX166" t="str">
        <f t="shared" si="133"/>
        <v xml:space="preserve">["REP"] =     0; </v>
      </c>
      <c r="AY166">
        <f>IF(LEN(P166)&gt;0,VLOOKUP(P166,Faction!A$2:B$77,2,FALSE),1)</f>
        <v>1</v>
      </c>
      <c r="AZ166" t="str">
        <f t="shared" si="134"/>
        <v xml:space="preserve">["FACTION"] =  1; </v>
      </c>
      <c r="BA166" t="str">
        <f t="shared" si="113"/>
        <v xml:space="preserve">["TIER"] = 1; </v>
      </c>
      <c r="BB166" t="str">
        <f t="shared" si="135"/>
        <v xml:space="preserve">["MIN_LVL"] =   "6"; </v>
      </c>
      <c r="BC166" t="str">
        <f t="shared" si="136"/>
        <v xml:space="preserve">                  </v>
      </c>
      <c r="BD166" t="str">
        <f t="shared" si="137"/>
        <v xml:space="preserve">["NAME"] = { ["EN"] = "Treats or Trickery: Seven-fold Foray"; }; </v>
      </c>
      <c r="BE166" t="str">
        <f t="shared" si="138"/>
        <v xml:space="preserve">["LORE"] = { ["EN"] = "You promised Begonia Grubb you would put on a costume and join in Treats or Trickery. But is once really enough?"; }; </v>
      </c>
      <c r="BF166" t="str">
        <f t="shared" si="139"/>
        <v xml:space="preserve">["SUMMARY"] = { ["EN"] = "Complete a week's worth of Treats or Trickery"; }; </v>
      </c>
      <c r="BG166" t="str">
        <f t="shared" si="140"/>
        <v xml:space="preserve">["TITLE"] = { ["EN"] = "the Gluttonous"; }; </v>
      </c>
      <c r="BH166" t="str">
        <f t="shared" si="141"/>
        <v/>
      </c>
      <c r="BI166" t="str">
        <f t="shared" si="142"/>
        <v/>
      </c>
      <c r="BJ166" t="str">
        <f t="shared" si="144"/>
        <v>};</v>
      </c>
    </row>
    <row r="167" spans="1:62" x14ac:dyDescent="0.25">
      <c r="A167">
        <v>1879381429</v>
      </c>
      <c r="B167">
        <v>135</v>
      </c>
      <c r="C167" t="s">
        <v>906</v>
      </c>
      <c r="D167" t="s">
        <v>24</v>
      </c>
      <c r="E167" t="s">
        <v>889</v>
      </c>
      <c r="M167" t="s">
        <v>1038</v>
      </c>
      <c r="Q167" t="s">
        <v>1037</v>
      </c>
      <c r="R167" t="s">
        <v>1036</v>
      </c>
      <c r="S167">
        <v>2</v>
      </c>
      <c r="T167">
        <v>6</v>
      </c>
      <c r="X167" t="str">
        <f t="shared" si="112"/>
        <v>[166] = {["ID"] = 1879381429; ["TIER"] = 2; }; -- Treats or Trickery: First Harvest (Harvest Festival)</v>
      </c>
      <c r="Y167" s="1" t="str">
        <f t="shared" si="114"/>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3"/>
        <v>166</v>
      </c>
      <c r="AA167" t="str">
        <f t="shared" si="115"/>
        <v>[166] = {</v>
      </c>
      <c r="AB167" t="str">
        <f t="shared" si="116"/>
        <v xml:space="preserve">["ID"] = 1879381429; </v>
      </c>
      <c r="AC167" t="str">
        <f t="shared" si="117"/>
        <v xml:space="preserve">["ID"] = 1879381429; </v>
      </c>
      <c r="AD167" t="str">
        <f t="shared" si="118"/>
        <v/>
      </c>
      <c r="AE167" t="str">
        <f t="shared" si="119"/>
        <v xml:space="preserve"> (Harvest Festival)</v>
      </c>
      <c r="AF167" s="1" t="str">
        <f t="shared" si="120"/>
        <v xml:space="preserve">["SAVE_INDEX"] = 135; </v>
      </c>
      <c r="AG167">
        <f>VLOOKUP(D167,Type!A$2:B$16,2,FALSE)</f>
        <v>12</v>
      </c>
      <c r="AH167" t="str">
        <f t="shared" si="121"/>
        <v xml:space="preserve">["TYPE"] = 12; </v>
      </c>
      <c r="AI167" t="str">
        <f t="shared" si="122"/>
        <v xml:space="preserve">                      </v>
      </c>
      <c r="AJ167" t="str">
        <f>IF(AND(F167="Class",NOT(ISBLANK(E167))),VLOOKUP(E167,Class!A$1:B$12,2,FALSE),"")</f>
        <v/>
      </c>
      <c r="AK167" t="str">
        <f>IF(AND(F167="Vocation",NOT(ISBLANK(E167))),VLOOKUP(E167,Vocation!A$1:B$8,2,FALSE),"")</f>
        <v/>
      </c>
      <c r="AL167" t="str">
        <f>IF(AND(F167="Race",NOT(ISBLANK(E167))),VLOOKUP(E167,Race!A$1:B$9,2,),"")</f>
        <v/>
      </c>
      <c r="AM167" t="str">
        <f t="shared" si="123"/>
        <v xml:space="preserve">  0</v>
      </c>
      <c r="AN167" t="str">
        <f t="shared" si="124"/>
        <v xml:space="preserve">["SUBTYPE"] =   0; </v>
      </c>
      <c r="AO167" t="str">
        <f>IF(NOT(ISBLANK(G167)),VLOOKUP(G167,Type!D$2:E$6,2,FALSE),"")</f>
        <v/>
      </c>
      <c r="AP167" t="str">
        <f t="shared" si="125"/>
        <v xml:space="preserve">            </v>
      </c>
      <c r="AQ167" t="str">
        <f t="shared" si="126"/>
        <v xml:space="preserve">                      </v>
      </c>
      <c r="AR167" t="str">
        <f t="shared" si="127"/>
        <v/>
      </c>
      <c r="AS167" t="str">
        <f t="shared" si="128"/>
        <v>0</v>
      </c>
      <c r="AT167" t="str">
        <f t="shared" si="129"/>
        <v xml:space="preserve">["VXP"] =    0; </v>
      </c>
      <c r="AU167" t="str">
        <f t="shared" si="130"/>
        <v>0</v>
      </c>
      <c r="AV167" t="str">
        <f t="shared" si="131"/>
        <v xml:space="preserve">["LP"] =  0; </v>
      </c>
      <c r="AW167" t="str">
        <f t="shared" si="132"/>
        <v>0</v>
      </c>
      <c r="AX167" t="str">
        <f t="shared" si="133"/>
        <v xml:space="preserve">["REP"] =     0; </v>
      </c>
      <c r="AY167">
        <f>IF(LEN(P167)&gt;0,VLOOKUP(P167,Faction!A$2:B$77,2,FALSE),1)</f>
        <v>1</v>
      </c>
      <c r="AZ167" t="str">
        <f t="shared" si="134"/>
        <v xml:space="preserve">["FACTION"] =  1; </v>
      </c>
      <c r="BA167" t="str">
        <f t="shared" si="113"/>
        <v xml:space="preserve">["TIER"] = 2; </v>
      </c>
      <c r="BB167" t="str">
        <f t="shared" si="135"/>
        <v xml:space="preserve">["MIN_LVL"] =   "6"; </v>
      </c>
      <c r="BC167" t="str">
        <f t="shared" si="136"/>
        <v xml:space="preserve">                  </v>
      </c>
      <c r="BD167" t="str">
        <f t="shared" si="137"/>
        <v xml:space="preserve">["NAME"] = { ["EN"] = "Treats or Trickery: First Harvest"; }; </v>
      </c>
      <c r="BE167" t="str">
        <f t="shared" si="138"/>
        <v xml:space="preserve">["LORE"] = { ["EN"] = "You promised Begonia Grubb you would put on a costume and join in Treats or Trickery. And so you have."; }; </v>
      </c>
      <c r="BF167" t="str">
        <f t="shared" si="139"/>
        <v xml:space="preserve">["SUMMARY"] = { ["EN"] = "Complete Treats or Trickery"; }; </v>
      </c>
      <c r="BG167" t="str">
        <f t="shared" si="140"/>
        <v xml:space="preserve">["TITLE"] = { ["EN"] = "the Sampler"; }; </v>
      </c>
      <c r="BH167" t="str">
        <f t="shared" si="141"/>
        <v/>
      </c>
      <c r="BI167" t="str">
        <f t="shared" si="142"/>
        <v/>
      </c>
      <c r="BJ167" t="str">
        <f t="shared" si="144"/>
        <v>};</v>
      </c>
    </row>
    <row r="168" spans="1:62" x14ac:dyDescent="0.25">
      <c r="A168">
        <v>1879381433</v>
      </c>
      <c r="B168">
        <v>136</v>
      </c>
      <c r="C168" t="s">
        <v>910</v>
      </c>
      <c r="D168" t="s">
        <v>24</v>
      </c>
      <c r="E168" t="s">
        <v>889</v>
      </c>
      <c r="M168" t="s">
        <v>1051</v>
      </c>
      <c r="Q168" t="s">
        <v>1050</v>
      </c>
      <c r="R168" t="s">
        <v>1049</v>
      </c>
      <c r="S168">
        <v>0</v>
      </c>
      <c r="T168">
        <v>6</v>
      </c>
      <c r="X168" t="str">
        <f t="shared" si="112"/>
        <v>[167] = {["ID"] = 1879381433; }; -- Treats or Trickery: Clearing the Table (Harvest Festival)</v>
      </c>
      <c r="Y168" s="1" t="str">
        <f t="shared" si="114"/>
        <v>[167]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3"/>
        <v>167</v>
      </c>
      <c r="AA168" t="str">
        <f t="shared" si="115"/>
        <v>[167] = {</v>
      </c>
      <c r="AB168" t="str">
        <f t="shared" si="116"/>
        <v xml:space="preserve">["ID"] = 1879381433; </v>
      </c>
      <c r="AC168" t="str">
        <f t="shared" si="117"/>
        <v xml:space="preserve">["ID"] = 1879381433; </v>
      </c>
      <c r="AD168" t="str">
        <f t="shared" si="118"/>
        <v/>
      </c>
      <c r="AE168" t="str">
        <f t="shared" si="119"/>
        <v xml:space="preserve"> (Harvest Festival)</v>
      </c>
      <c r="AF168" s="1" t="str">
        <f t="shared" si="120"/>
        <v xml:space="preserve">["SAVE_INDEX"] = 136; </v>
      </c>
      <c r="AG168">
        <f>VLOOKUP(D168,Type!A$2:B$16,2,FALSE)</f>
        <v>12</v>
      </c>
      <c r="AH168" t="str">
        <f t="shared" si="121"/>
        <v xml:space="preserve">["TYPE"] = 12; </v>
      </c>
      <c r="AI168" t="str">
        <f t="shared" si="122"/>
        <v xml:space="preserve">                      </v>
      </c>
      <c r="AJ168" t="str">
        <f>IF(AND(F168="Class",NOT(ISBLANK(E168))),VLOOKUP(E168,Class!A$1:B$12,2,FALSE),"")</f>
        <v/>
      </c>
      <c r="AK168" t="str">
        <f>IF(AND(F168="Vocation",NOT(ISBLANK(E168))),VLOOKUP(E168,Vocation!A$1:B$8,2,FALSE),"")</f>
        <v/>
      </c>
      <c r="AL168" t="str">
        <f>IF(AND(F168="Race",NOT(ISBLANK(E168))),VLOOKUP(E168,Race!A$1:B$9,2,),"")</f>
        <v/>
      </c>
      <c r="AM168" t="str">
        <f t="shared" si="123"/>
        <v xml:space="preserve">  0</v>
      </c>
      <c r="AN168" t="str">
        <f t="shared" si="124"/>
        <v xml:space="preserve">["SUBTYPE"] =   0; </v>
      </c>
      <c r="AO168" t="str">
        <f>IF(NOT(ISBLANK(G168)),VLOOKUP(G168,Type!D$2:E$6,2,FALSE),"")</f>
        <v/>
      </c>
      <c r="AP168" t="str">
        <f t="shared" si="125"/>
        <v xml:space="preserve">            </v>
      </c>
      <c r="AQ168" t="str">
        <f t="shared" si="126"/>
        <v xml:space="preserve">                      </v>
      </c>
      <c r="AR168" t="str">
        <f t="shared" si="127"/>
        <v/>
      </c>
      <c r="AS168" t="str">
        <f t="shared" si="128"/>
        <v>0</v>
      </c>
      <c r="AT168" t="str">
        <f t="shared" si="129"/>
        <v xml:space="preserve">["VXP"] =    0; </v>
      </c>
      <c r="AU168" t="str">
        <f t="shared" si="130"/>
        <v>0</v>
      </c>
      <c r="AV168" t="str">
        <f t="shared" si="131"/>
        <v xml:space="preserve">["LP"] =  0; </v>
      </c>
      <c r="AW168" t="str">
        <f t="shared" si="132"/>
        <v>0</v>
      </c>
      <c r="AX168" t="str">
        <f t="shared" si="133"/>
        <v xml:space="preserve">["REP"] =     0; </v>
      </c>
      <c r="AY168">
        <f>IF(LEN(P168)&gt;0,VLOOKUP(P168,Faction!A$2:B$77,2,FALSE),1)</f>
        <v>1</v>
      </c>
      <c r="AZ168" t="str">
        <f t="shared" si="134"/>
        <v xml:space="preserve">["FACTION"] =  1; </v>
      </c>
      <c r="BA168" t="str">
        <f t="shared" si="113"/>
        <v/>
      </c>
      <c r="BB168" t="str">
        <f t="shared" si="135"/>
        <v xml:space="preserve">["MIN_LVL"] =   "6"; </v>
      </c>
      <c r="BC168" t="str">
        <f t="shared" si="136"/>
        <v xml:space="preserve">                  </v>
      </c>
      <c r="BD168" t="str">
        <f t="shared" si="137"/>
        <v xml:space="preserve">["NAME"] = { ["EN"] = "Treats or Trickery: Clearing the Table"; }; </v>
      </c>
      <c r="BE168" t="str">
        <f t="shared" si="138"/>
        <v xml:space="preserve">["LORE"] = { ["EN"] = "You have sampled wide and eaten deep of the Harvest Festival treats, but can you truly say you know each of them as well as the back of your own teeth?"; }; </v>
      </c>
      <c r="BF168" t="str">
        <f t="shared" si="139"/>
        <v xml:space="preserve">["SUMMARY"] = { ["EN"] = "Consume 20 of each of the 8 treats."; }; </v>
      </c>
      <c r="BG168" t="str">
        <f t="shared" si="140"/>
        <v xml:space="preserve">["TITLE"] = { ["EN"] = "All Tricked Out"; }; </v>
      </c>
      <c r="BH168" t="str">
        <f t="shared" si="141"/>
        <v/>
      </c>
      <c r="BI168" t="str">
        <f t="shared" si="142"/>
        <v/>
      </c>
      <c r="BJ168" t="str">
        <f t="shared" si="144"/>
        <v>};</v>
      </c>
    </row>
    <row r="169" spans="1:62" x14ac:dyDescent="0.25">
      <c r="A169">
        <v>1879381434</v>
      </c>
      <c r="B169">
        <v>137</v>
      </c>
      <c r="C169" t="s">
        <v>908</v>
      </c>
      <c r="D169" t="s">
        <v>24</v>
      </c>
      <c r="E169" t="s">
        <v>889</v>
      </c>
      <c r="M169" t="s">
        <v>3528</v>
      </c>
      <c r="Q169" t="s">
        <v>1047</v>
      </c>
      <c r="R169" t="s">
        <v>1046</v>
      </c>
      <c r="S169">
        <v>1</v>
      </c>
      <c r="T169">
        <v>6</v>
      </c>
      <c r="X169" t="str">
        <f t="shared" si="112"/>
        <v>[168] = {["ID"] = 1879381434; ["TIER"] = 1; }; -- Treats or Trickery: Second Helpings (Harvest Festival)</v>
      </c>
      <c r="Y169" s="1" t="str">
        <f t="shared" si="114"/>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3"/>
        <v>168</v>
      </c>
      <c r="AA169" t="str">
        <f t="shared" si="115"/>
        <v>[168] = {</v>
      </c>
      <c r="AB169" t="str">
        <f t="shared" si="116"/>
        <v xml:space="preserve">["ID"] = 1879381434; </v>
      </c>
      <c r="AC169" t="str">
        <f t="shared" si="117"/>
        <v xml:space="preserve">["ID"] = 1879381434; </v>
      </c>
      <c r="AD169" t="str">
        <f t="shared" si="118"/>
        <v/>
      </c>
      <c r="AE169" t="str">
        <f t="shared" si="119"/>
        <v xml:space="preserve"> (Harvest Festival)</v>
      </c>
      <c r="AF169" s="1" t="str">
        <f t="shared" si="120"/>
        <v xml:space="preserve">["SAVE_INDEX"] = 137; </v>
      </c>
      <c r="AG169">
        <f>VLOOKUP(D169,Type!A$2:B$16,2,FALSE)</f>
        <v>12</v>
      </c>
      <c r="AH169" t="str">
        <f t="shared" si="121"/>
        <v xml:space="preserve">["TYPE"] = 12; </v>
      </c>
      <c r="AI169" t="str">
        <f t="shared" si="122"/>
        <v xml:space="preserve">                      </v>
      </c>
      <c r="AJ169" t="str">
        <f>IF(AND(F169="Class",NOT(ISBLANK(E169))),VLOOKUP(E169,Class!A$1:B$12,2,FALSE),"")</f>
        <v/>
      </c>
      <c r="AK169" t="str">
        <f>IF(AND(F169="Vocation",NOT(ISBLANK(E169))),VLOOKUP(E169,Vocation!A$1:B$8,2,FALSE),"")</f>
        <v/>
      </c>
      <c r="AL169" t="str">
        <f>IF(AND(F169="Race",NOT(ISBLANK(E169))),VLOOKUP(E169,Race!A$1:B$9,2,),"")</f>
        <v/>
      </c>
      <c r="AM169" t="str">
        <f t="shared" si="123"/>
        <v xml:space="preserve">  0</v>
      </c>
      <c r="AN169" t="str">
        <f t="shared" si="124"/>
        <v xml:space="preserve">["SUBTYPE"] =   0; </v>
      </c>
      <c r="AO169" t="str">
        <f>IF(NOT(ISBLANK(G169)),VLOOKUP(G169,Type!D$2:E$6,2,FALSE),"")</f>
        <v/>
      </c>
      <c r="AP169" t="str">
        <f t="shared" si="125"/>
        <v xml:space="preserve">            </v>
      </c>
      <c r="AQ169" t="str">
        <f t="shared" si="126"/>
        <v xml:space="preserve">                      </v>
      </c>
      <c r="AR169" t="str">
        <f t="shared" si="127"/>
        <v/>
      </c>
      <c r="AS169" t="str">
        <f t="shared" si="128"/>
        <v>0</v>
      </c>
      <c r="AT169" t="str">
        <f t="shared" si="129"/>
        <v xml:space="preserve">["VXP"] =    0; </v>
      </c>
      <c r="AU169" t="str">
        <f t="shared" si="130"/>
        <v>0</v>
      </c>
      <c r="AV169" t="str">
        <f t="shared" si="131"/>
        <v xml:space="preserve">["LP"] =  0; </v>
      </c>
      <c r="AW169" t="str">
        <f t="shared" si="132"/>
        <v>0</v>
      </c>
      <c r="AX169" t="str">
        <f t="shared" si="133"/>
        <v xml:space="preserve">["REP"] =     0; </v>
      </c>
      <c r="AY169">
        <f>IF(LEN(P169)&gt;0,VLOOKUP(P169,Faction!A$2:B$77,2,FALSE),1)</f>
        <v>1</v>
      </c>
      <c r="AZ169" t="str">
        <f t="shared" si="134"/>
        <v xml:space="preserve">["FACTION"] =  1; </v>
      </c>
      <c r="BA169" t="str">
        <f t="shared" si="113"/>
        <v xml:space="preserve">["TIER"] = 1; </v>
      </c>
      <c r="BB169" t="str">
        <f t="shared" si="135"/>
        <v xml:space="preserve">["MIN_LVL"] =   "6"; </v>
      </c>
      <c r="BC169" t="str">
        <f t="shared" si="136"/>
        <v xml:space="preserve">                  </v>
      </c>
      <c r="BD169" t="str">
        <f t="shared" si="137"/>
        <v xml:space="preserve">["NAME"] = { ["EN"] = "Treats or Trickery: Second Helpings"; }; </v>
      </c>
      <c r="BE169" t="str">
        <f t="shared" si="138"/>
        <v xml:space="preserve">["LORE"] = { ["EN"] = "You have tasted every type of treat that could be gathered from a doormat during Harvest Festival once, to be sure, but have you made yourself truly sick on them?"; }; </v>
      </c>
      <c r="BF169" t="str">
        <f t="shared" si="139"/>
        <v xml:space="preserve">["SUMMARY"] = { ["EN"] = "Consume 20 treats."; }; </v>
      </c>
      <c r="BG169" t="str">
        <f t="shared" si="140"/>
        <v xml:space="preserve">["TITLE"] = { ["EN"] = "Well Treated"; }; </v>
      </c>
      <c r="BH169" t="str">
        <f t="shared" si="141"/>
        <v/>
      </c>
      <c r="BI169" t="str">
        <f t="shared" si="142"/>
        <v/>
      </c>
      <c r="BJ169" t="str">
        <f t="shared" si="144"/>
        <v>};</v>
      </c>
    </row>
    <row r="170" spans="1:62" x14ac:dyDescent="0.25">
      <c r="A170">
        <v>1879381432</v>
      </c>
      <c r="B170">
        <v>138</v>
      </c>
      <c r="C170" t="s">
        <v>907</v>
      </c>
      <c r="D170" t="s">
        <v>24</v>
      </c>
      <c r="E170" t="s">
        <v>889</v>
      </c>
      <c r="M170" t="s">
        <v>1045</v>
      </c>
      <c r="Q170" t="s">
        <v>1048</v>
      </c>
      <c r="R170" t="s">
        <v>2172</v>
      </c>
      <c r="S170">
        <v>2</v>
      </c>
      <c r="T170">
        <v>6</v>
      </c>
      <c r="X170" t="str">
        <f t="shared" si="112"/>
        <v>[169] = {["ID"] = 1879381432; ["TIER"] = 2; }; -- Treats or Trickery: Just a Taste (Harvest Festival)</v>
      </c>
      <c r="Y170" s="1" t="str">
        <f t="shared" si="114"/>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3"/>
        <v>169</v>
      </c>
      <c r="AA170" t="str">
        <f t="shared" si="115"/>
        <v>[169] = {</v>
      </c>
      <c r="AB170" t="str">
        <f t="shared" si="116"/>
        <v xml:space="preserve">["ID"] = 1879381432; </v>
      </c>
      <c r="AC170" t="str">
        <f t="shared" si="117"/>
        <v xml:space="preserve">["ID"] = 1879381432; </v>
      </c>
      <c r="AD170" t="str">
        <f t="shared" si="118"/>
        <v/>
      </c>
      <c r="AE170" t="str">
        <f t="shared" si="119"/>
        <v xml:space="preserve"> (Harvest Festival)</v>
      </c>
      <c r="AF170" s="1" t="str">
        <f t="shared" si="120"/>
        <v xml:space="preserve">["SAVE_INDEX"] = 138; </v>
      </c>
      <c r="AG170">
        <f>VLOOKUP(D170,Type!A$2:B$16,2,FALSE)</f>
        <v>12</v>
      </c>
      <c r="AH170" t="str">
        <f t="shared" si="121"/>
        <v xml:space="preserve">["TYPE"] = 12; </v>
      </c>
      <c r="AI170" t="str">
        <f t="shared" si="122"/>
        <v xml:space="preserve">                      </v>
      </c>
      <c r="AJ170" t="str">
        <f>IF(AND(F170="Class",NOT(ISBLANK(E170))),VLOOKUP(E170,Class!A$1:B$12,2,FALSE),"")</f>
        <v/>
      </c>
      <c r="AK170" t="str">
        <f>IF(AND(F170="Vocation",NOT(ISBLANK(E170))),VLOOKUP(E170,Vocation!A$1:B$8,2,FALSE),"")</f>
        <v/>
      </c>
      <c r="AL170" t="str">
        <f>IF(AND(F170="Race",NOT(ISBLANK(E170))),VLOOKUP(E170,Race!A$1:B$9,2,),"")</f>
        <v/>
      </c>
      <c r="AM170" t="str">
        <f t="shared" si="123"/>
        <v xml:space="preserve">  0</v>
      </c>
      <c r="AN170" t="str">
        <f t="shared" si="124"/>
        <v xml:space="preserve">["SUBTYPE"] =   0; </v>
      </c>
      <c r="AO170" t="str">
        <f>IF(NOT(ISBLANK(G170)),VLOOKUP(G170,Type!D$2:E$6,2,FALSE),"")</f>
        <v/>
      </c>
      <c r="AP170" t="str">
        <f t="shared" si="125"/>
        <v xml:space="preserve">            </v>
      </c>
      <c r="AQ170" t="str">
        <f t="shared" si="126"/>
        <v xml:space="preserve">                      </v>
      </c>
      <c r="AR170" t="str">
        <f t="shared" si="127"/>
        <v/>
      </c>
      <c r="AS170" t="str">
        <f t="shared" si="128"/>
        <v>0</v>
      </c>
      <c r="AT170" t="str">
        <f t="shared" si="129"/>
        <v xml:space="preserve">["VXP"] =    0; </v>
      </c>
      <c r="AU170" t="str">
        <f t="shared" si="130"/>
        <v>0</v>
      </c>
      <c r="AV170" t="str">
        <f t="shared" si="131"/>
        <v xml:space="preserve">["LP"] =  0; </v>
      </c>
      <c r="AW170" t="str">
        <f t="shared" si="132"/>
        <v>0</v>
      </c>
      <c r="AX170" t="str">
        <f t="shared" si="133"/>
        <v xml:space="preserve">["REP"] =     0; </v>
      </c>
      <c r="AY170">
        <f>IF(LEN(P170)&gt;0,VLOOKUP(P170,Faction!A$2:B$77,2,FALSE),1)</f>
        <v>1</v>
      </c>
      <c r="AZ170" t="str">
        <f t="shared" si="134"/>
        <v xml:space="preserve">["FACTION"] =  1; </v>
      </c>
      <c r="BA170" t="str">
        <f t="shared" si="113"/>
        <v xml:space="preserve">["TIER"] = 2; </v>
      </c>
      <c r="BB170" t="str">
        <f t="shared" si="135"/>
        <v xml:space="preserve">["MIN_LVL"] =   "6"; </v>
      </c>
      <c r="BC170" t="str">
        <f t="shared" si="136"/>
        <v xml:space="preserve">                  </v>
      </c>
      <c r="BD170" t="str">
        <f t="shared" si="137"/>
        <v xml:space="preserve">["NAME"] = { ["EN"] = "Treats or Trickery: Just a Taste"; }; </v>
      </c>
      <c r="BE170" t="str">
        <f t="shared" si="138"/>
        <v xml:space="preserve">["LORE"] = { ["EN"] = "You donned the costume and went from door to neighbourhood door. But have you tasted each kind of treat?"; }; </v>
      </c>
      <c r="BF170" t="str">
        <f t="shared" si="139"/>
        <v xml:space="preserve">["SUMMARY"] = { ["EN"] = "Try 8 different treats."; }; </v>
      </c>
      <c r="BG170" t="str">
        <f t="shared" si="140"/>
        <v xml:space="preserve">["TITLE"] = { ["EN"] = "Sweet-of-tooth"; }; </v>
      </c>
      <c r="BH170" t="str">
        <f t="shared" si="141"/>
        <v/>
      </c>
      <c r="BI170" t="str">
        <f t="shared" si="142"/>
        <v/>
      </c>
      <c r="BJ170" t="str">
        <f t="shared" si="144"/>
        <v>};</v>
      </c>
    </row>
    <row r="171" spans="1:62" x14ac:dyDescent="0.25">
      <c r="C171" s="2" t="s">
        <v>943</v>
      </c>
      <c r="D171" s="2" t="s">
        <v>812</v>
      </c>
      <c r="V171">
        <v>139</v>
      </c>
      <c r="X171" t="str">
        <f t="shared" si="112"/>
        <v>[170] = {["CAT_ID"] = 139; }; -- Durin's Day</v>
      </c>
      <c r="Y171" s="1" t="str">
        <f t="shared" si="114"/>
        <v>[170] = {                                           ["TYPE"] = 14;                       ["SUBTYPE"] =   0;                                   ["VXP"] =    0; ["LP"] =  0; ["REP"] =     0; ["FACTION"] =  1;                                        ["NAME"] = { ["EN"] = "Durin's Day"; }; };</v>
      </c>
      <c r="Z171">
        <f t="shared" si="143"/>
        <v>170</v>
      </c>
      <c r="AA171" t="str">
        <f t="shared" si="115"/>
        <v>[170] = {</v>
      </c>
      <c r="AB171" t="str">
        <f t="shared" si="116"/>
        <v xml:space="preserve">                     </v>
      </c>
      <c r="AC171" t="str">
        <f t="shared" si="117"/>
        <v/>
      </c>
      <c r="AD171" t="str">
        <f t="shared" si="118"/>
        <v xml:space="preserve">["CAT_ID"] = 139; </v>
      </c>
      <c r="AE171" t="str">
        <f t="shared" si="119"/>
        <v/>
      </c>
      <c r="AF171" s="1" t="str">
        <f t="shared" si="120"/>
        <v xml:space="preserve">                      </v>
      </c>
      <c r="AG171">
        <f>VLOOKUP(D171,Type!A$2:B$16,2,FALSE)</f>
        <v>14</v>
      </c>
      <c r="AH171" t="str">
        <f t="shared" si="121"/>
        <v xml:space="preserve">["TYPE"] = 14; </v>
      </c>
      <c r="AI171" t="str">
        <f t="shared" si="122"/>
        <v xml:space="preserve">                      </v>
      </c>
      <c r="AJ171" t="str">
        <f>IF(AND(F171="Class",NOT(ISBLANK(E171))),VLOOKUP(E171,Class!A$1:B$12,2,FALSE),"")</f>
        <v/>
      </c>
      <c r="AK171" t="str">
        <f>IF(AND(F171="Vocation",NOT(ISBLANK(E171))),VLOOKUP(E171,Vocation!A$1:B$8,2,FALSE),"")</f>
        <v/>
      </c>
      <c r="AL171" t="str">
        <f>IF(AND(F171="Race",NOT(ISBLANK(E171))),VLOOKUP(E171,Race!A$1:B$9,2,),"")</f>
        <v/>
      </c>
      <c r="AM171" t="str">
        <f t="shared" si="123"/>
        <v xml:space="preserve">  0</v>
      </c>
      <c r="AN171" t="str">
        <f t="shared" si="124"/>
        <v xml:space="preserve">["SUBTYPE"] =   0; </v>
      </c>
      <c r="AO171" t="str">
        <f>IF(NOT(ISBLANK(G171)),VLOOKUP(G171,Type!D$2:E$6,2,FALSE),"")</f>
        <v/>
      </c>
      <c r="AP171" t="str">
        <f t="shared" si="125"/>
        <v xml:space="preserve">            </v>
      </c>
      <c r="AQ171" t="str">
        <f t="shared" si="126"/>
        <v xml:space="preserve">                      </v>
      </c>
      <c r="AR171" t="str">
        <f t="shared" si="127"/>
        <v/>
      </c>
      <c r="AS171" t="str">
        <f t="shared" si="128"/>
        <v>0</v>
      </c>
      <c r="AT171" t="str">
        <f t="shared" si="129"/>
        <v xml:space="preserve">["VXP"] =    0; </v>
      </c>
      <c r="AU171" t="str">
        <f t="shared" si="130"/>
        <v>0</v>
      </c>
      <c r="AV171" t="str">
        <f t="shared" si="131"/>
        <v xml:space="preserve">["LP"] =  0; </v>
      </c>
      <c r="AW171" t="str">
        <f t="shared" si="132"/>
        <v>0</v>
      </c>
      <c r="AX171" t="str">
        <f t="shared" si="133"/>
        <v xml:space="preserve">["REP"] =     0; </v>
      </c>
      <c r="AY171">
        <f>IF(LEN(P171)&gt;0,VLOOKUP(P171,Faction!A$2:B$77,2,FALSE),1)</f>
        <v>1</v>
      </c>
      <c r="AZ171" t="str">
        <f t="shared" si="134"/>
        <v xml:space="preserve">["FACTION"] =  1; </v>
      </c>
      <c r="BA171" t="str">
        <f t="shared" si="113"/>
        <v/>
      </c>
      <c r="BB171" t="str">
        <f t="shared" si="135"/>
        <v xml:space="preserve">                     </v>
      </c>
      <c r="BC171" t="str">
        <f t="shared" si="136"/>
        <v xml:space="preserve">                  </v>
      </c>
      <c r="BD171" t="str">
        <f t="shared" si="137"/>
        <v xml:space="preserve">["NAME"] = { ["EN"] = "Durin's Day"; }; </v>
      </c>
      <c r="BE171" t="str">
        <f t="shared" si="138"/>
        <v/>
      </c>
      <c r="BF171" t="str">
        <f t="shared" si="139"/>
        <v/>
      </c>
      <c r="BG171" t="str">
        <f t="shared" si="140"/>
        <v/>
      </c>
      <c r="BH171" t="str">
        <f t="shared" si="141"/>
        <v/>
      </c>
      <c r="BI171" t="str">
        <f t="shared" si="142"/>
        <v/>
      </c>
      <c r="BJ171" t="str">
        <f t="shared" si="144"/>
        <v>};</v>
      </c>
    </row>
    <row r="172" spans="1:62" x14ac:dyDescent="0.25">
      <c r="A172">
        <v>1879371703</v>
      </c>
      <c r="B172">
        <v>139</v>
      </c>
      <c r="C172" t="s">
        <v>1103</v>
      </c>
      <c r="D172" t="s">
        <v>24</v>
      </c>
      <c r="E172" t="s">
        <v>943</v>
      </c>
      <c r="M172" t="s">
        <v>1105</v>
      </c>
      <c r="N172">
        <v>5</v>
      </c>
      <c r="Q172" t="s">
        <v>1106</v>
      </c>
      <c r="R172" t="s">
        <v>2169</v>
      </c>
      <c r="S172">
        <v>0</v>
      </c>
      <c r="X172" t="str">
        <f t="shared" si="112"/>
        <v>[171] = {["ID"] = 1879371703; }; -- Dedicated Observer of Durin's Day (Durin's Day)</v>
      </c>
      <c r="Y172" s="1" t="str">
        <f t="shared" si="114"/>
        <v>[171]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3"/>
        <v>171</v>
      </c>
      <c r="AA172" t="str">
        <f t="shared" si="115"/>
        <v>[171] = {</v>
      </c>
      <c r="AB172" t="str">
        <f t="shared" si="116"/>
        <v xml:space="preserve">["ID"] = 1879371703; </v>
      </c>
      <c r="AC172" t="str">
        <f t="shared" si="117"/>
        <v xml:space="preserve">["ID"] = 1879371703; </v>
      </c>
      <c r="AD172" t="str">
        <f t="shared" si="118"/>
        <v/>
      </c>
      <c r="AE172" t="str">
        <f t="shared" si="119"/>
        <v xml:space="preserve"> (Durin's Day)</v>
      </c>
      <c r="AF172" s="1" t="str">
        <f t="shared" si="120"/>
        <v xml:space="preserve">["SAVE_INDEX"] = 139; </v>
      </c>
      <c r="AG172">
        <f>VLOOKUP(D172,Type!A$2:B$16,2,FALSE)</f>
        <v>12</v>
      </c>
      <c r="AH172" t="str">
        <f t="shared" si="121"/>
        <v xml:space="preserve">["TYPE"] = 12; </v>
      </c>
      <c r="AI172" t="str">
        <f t="shared" si="122"/>
        <v xml:space="preserve">                      </v>
      </c>
      <c r="AJ172" t="str">
        <f>IF(AND(F172="Class",NOT(ISBLANK(E172))),VLOOKUP(E172,Class!A$1:B$12,2,FALSE),"")</f>
        <v/>
      </c>
      <c r="AK172" t="str">
        <f>IF(AND(F172="Vocation",NOT(ISBLANK(E172))),VLOOKUP(E172,Vocation!A$1:B$8,2,FALSE),"")</f>
        <v/>
      </c>
      <c r="AL172" t="str">
        <f>IF(AND(F172="Race",NOT(ISBLANK(E172))),VLOOKUP(E172,Race!A$1:B$9,2,),"")</f>
        <v/>
      </c>
      <c r="AM172" t="str">
        <f t="shared" si="123"/>
        <v xml:space="preserve">  0</v>
      </c>
      <c r="AN172" t="str">
        <f t="shared" si="124"/>
        <v xml:space="preserve">["SUBTYPE"] =   0; </v>
      </c>
      <c r="AO172" t="str">
        <f>IF(NOT(ISBLANK(G172)),VLOOKUP(G172,Type!D$2:E$6,2,FALSE),"")</f>
        <v/>
      </c>
      <c r="AP172" t="str">
        <f t="shared" si="125"/>
        <v xml:space="preserve">            </v>
      </c>
      <c r="AQ172" t="str">
        <f t="shared" si="126"/>
        <v xml:space="preserve">                      </v>
      </c>
      <c r="AR172" t="str">
        <f t="shared" si="127"/>
        <v/>
      </c>
      <c r="AS172" t="str">
        <f t="shared" si="128"/>
        <v>0</v>
      </c>
      <c r="AT172" t="str">
        <f t="shared" si="129"/>
        <v xml:space="preserve">["VXP"] =    0; </v>
      </c>
      <c r="AU172" t="str">
        <f t="shared" si="130"/>
        <v>5</v>
      </c>
      <c r="AV172" t="str">
        <f t="shared" si="131"/>
        <v xml:space="preserve">["LP"] =  5; </v>
      </c>
      <c r="AW172" t="str">
        <f t="shared" si="132"/>
        <v>0</v>
      </c>
      <c r="AX172" t="str">
        <f t="shared" si="133"/>
        <v xml:space="preserve">["REP"] =     0; </v>
      </c>
      <c r="AY172">
        <f>IF(LEN(P172)&gt;0,VLOOKUP(P172,Faction!A$2:B$77,2,FALSE),1)</f>
        <v>1</v>
      </c>
      <c r="AZ172" t="str">
        <f t="shared" si="134"/>
        <v xml:space="preserve">["FACTION"] =  1; </v>
      </c>
      <c r="BA172" t="str">
        <f t="shared" si="113"/>
        <v/>
      </c>
      <c r="BB172" t="str">
        <f t="shared" si="135"/>
        <v xml:space="preserve">                     </v>
      </c>
      <c r="BC172" t="str">
        <f t="shared" si="136"/>
        <v xml:space="preserve">                  </v>
      </c>
      <c r="BD172" t="str">
        <f t="shared" si="137"/>
        <v xml:space="preserve">["NAME"] = { ["EN"] = "Dedicated Observer of Durin's Day"; }; </v>
      </c>
      <c r="BE172" t="str">
        <f t="shared" si="138"/>
        <v xml:space="preserve">["LORE"] = { ["EN"] = "Thrice you have stood up on the side of Erebor for Durin's Day, and saw what the sun revealed when it touched the dwarf-wrought stone."; }; </v>
      </c>
      <c r="BF172" t="str">
        <f t="shared" si="139"/>
        <v xml:space="preserve">["SUMMARY"] = { ["EN"] = "Complete the quest Durin's Day Upon Erebor a third time."; }; </v>
      </c>
      <c r="BG172" t="str">
        <f t="shared" si="140"/>
        <v xml:space="preserve">["TITLE"] = { ["EN"] = "Who Has Heard the Thrush's Knock"; }; </v>
      </c>
      <c r="BH172" t="str">
        <f t="shared" si="141"/>
        <v/>
      </c>
      <c r="BI172" t="str">
        <f t="shared" si="142"/>
        <v/>
      </c>
      <c r="BJ172" t="str">
        <f t="shared" si="144"/>
        <v>};</v>
      </c>
    </row>
    <row r="173" spans="1:62" x14ac:dyDescent="0.25">
      <c r="A173">
        <v>1879371704</v>
      </c>
      <c r="B173">
        <v>140</v>
      </c>
      <c r="C173" t="s">
        <v>1102</v>
      </c>
      <c r="D173" t="s">
        <v>24</v>
      </c>
      <c r="E173" t="s">
        <v>943</v>
      </c>
      <c r="M173" t="s">
        <v>1104</v>
      </c>
      <c r="N173">
        <v>5</v>
      </c>
      <c r="Q173" t="s">
        <v>1107</v>
      </c>
      <c r="R173" t="s">
        <v>2170</v>
      </c>
      <c r="S173">
        <v>1</v>
      </c>
      <c r="X173" t="str">
        <f t="shared" si="112"/>
        <v>[172] = {["ID"] = 1879371704; ["TIER"] = 1; }; -- Repeat Observer of Durin's Day (Durin's Day)</v>
      </c>
      <c r="Y173" s="1" t="str">
        <f t="shared" si="114"/>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3"/>
        <v>172</v>
      </c>
      <c r="AA173" t="str">
        <f t="shared" si="115"/>
        <v>[172] = {</v>
      </c>
      <c r="AB173" t="str">
        <f t="shared" si="116"/>
        <v xml:space="preserve">["ID"] = 1879371704; </v>
      </c>
      <c r="AC173" t="str">
        <f t="shared" si="117"/>
        <v xml:space="preserve">["ID"] = 1879371704; </v>
      </c>
      <c r="AD173" t="str">
        <f t="shared" si="118"/>
        <v/>
      </c>
      <c r="AE173" t="str">
        <f t="shared" si="119"/>
        <v xml:space="preserve"> (Durin's Day)</v>
      </c>
      <c r="AF173" s="1" t="str">
        <f t="shared" si="120"/>
        <v xml:space="preserve">["SAVE_INDEX"] = 140; </v>
      </c>
      <c r="AG173">
        <f>VLOOKUP(D173,Type!A$2:B$16,2,FALSE)</f>
        <v>12</v>
      </c>
      <c r="AH173" t="str">
        <f t="shared" si="121"/>
        <v xml:space="preserve">["TYPE"] = 12; </v>
      </c>
      <c r="AI173" t="str">
        <f t="shared" si="122"/>
        <v xml:space="preserve">                      </v>
      </c>
      <c r="AJ173" t="str">
        <f>IF(AND(F173="Class",NOT(ISBLANK(E173))),VLOOKUP(E173,Class!A$1:B$12,2,FALSE),"")</f>
        <v/>
      </c>
      <c r="AK173" t="str">
        <f>IF(AND(F173="Vocation",NOT(ISBLANK(E173))),VLOOKUP(E173,Vocation!A$1:B$8,2,FALSE),"")</f>
        <v/>
      </c>
      <c r="AL173" t="str">
        <f>IF(AND(F173="Race",NOT(ISBLANK(E173))),VLOOKUP(E173,Race!A$1:B$9,2,),"")</f>
        <v/>
      </c>
      <c r="AM173" t="str">
        <f t="shared" si="123"/>
        <v xml:space="preserve">  0</v>
      </c>
      <c r="AN173" t="str">
        <f t="shared" si="124"/>
        <v xml:space="preserve">["SUBTYPE"] =   0; </v>
      </c>
      <c r="AO173" t="str">
        <f>IF(NOT(ISBLANK(G173)),VLOOKUP(G173,Type!D$2:E$6,2,FALSE),"")</f>
        <v/>
      </c>
      <c r="AP173" t="str">
        <f t="shared" si="125"/>
        <v xml:space="preserve">            </v>
      </c>
      <c r="AQ173" t="str">
        <f t="shared" si="126"/>
        <v xml:space="preserve">                      </v>
      </c>
      <c r="AR173" t="str">
        <f t="shared" si="127"/>
        <v/>
      </c>
      <c r="AS173" t="str">
        <f t="shared" si="128"/>
        <v>0</v>
      </c>
      <c r="AT173" t="str">
        <f t="shared" si="129"/>
        <v xml:space="preserve">["VXP"] =    0; </v>
      </c>
      <c r="AU173" t="str">
        <f t="shared" si="130"/>
        <v>5</v>
      </c>
      <c r="AV173" t="str">
        <f t="shared" si="131"/>
        <v xml:space="preserve">["LP"] =  5; </v>
      </c>
      <c r="AW173" t="str">
        <f t="shared" si="132"/>
        <v>0</v>
      </c>
      <c r="AX173" t="str">
        <f t="shared" si="133"/>
        <v xml:space="preserve">["REP"] =     0; </v>
      </c>
      <c r="AY173">
        <f>IF(LEN(P173)&gt;0,VLOOKUP(P173,Faction!A$2:B$77,2,FALSE),1)</f>
        <v>1</v>
      </c>
      <c r="AZ173" t="str">
        <f t="shared" si="134"/>
        <v xml:space="preserve">["FACTION"] =  1; </v>
      </c>
      <c r="BA173" t="str">
        <f t="shared" si="113"/>
        <v xml:space="preserve">["TIER"] = 1; </v>
      </c>
      <c r="BB173" t="str">
        <f t="shared" si="135"/>
        <v xml:space="preserve">                     </v>
      </c>
      <c r="BC173" t="str">
        <f t="shared" si="136"/>
        <v xml:space="preserve">                  </v>
      </c>
      <c r="BD173" t="str">
        <f t="shared" si="137"/>
        <v xml:space="preserve">["NAME"] = { ["EN"] = "Repeat Observer of Durin's Day"; }; </v>
      </c>
      <c r="BE173" t="str">
        <f t="shared" si="138"/>
        <v xml:space="preserve">["LORE"] = { ["EN"] = "You stood not once but twice up on the side of Erebor for Durin's Day, and saw what the sun revealed when it touched the dwarf-wrought stone."; }; </v>
      </c>
      <c r="BF173" t="str">
        <f t="shared" si="139"/>
        <v xml:space="preserve">["SUMMARY"] = { ["EN"] = "Complete the quest Durin's Day Upon Erebor a second time."; }; </v>
      </c>
      <c r="BG173" t="str">
        <f t="shared" si="140"/>
        <v xml:space="preserve">["TITLE"] = { ["EN"] = "Witness to the Sun and Moon"; }; </v>
      </c>
      <c r="BH173" t="str">
        <f t="shared" si="141"/>
        <v/>
      </c>
      <c r="BI173" t="str">
        <f t="shared" si="142"/>
        <v/>
      </c>
      <c r="BJ173" t="str">
        <f t="shared" si="144"/>
        <v>};</v>
      </c>
    </row>
    <row r="174" spans="1:62" x14ac:dyDescent="0.25">
      <c r="A174">
        <v>1879370524</v>
      </c>
      <c r="B174">
        <v>141</v>
      </c>
      <c r="C174" t="s">
        <v>1101</v>
      </c>
      <c r="D174" t="s">
        <v>24</v>
      </c>
      <c r="E174" t="s">
        <v>943</v>
      </c>
      <c r="M174" t="s">
        <v>1101</v>
      </c>
      <c r="N174">
        <v>5</v>
      </c>
      <c r="Q174" t="s">
        <v>1108</v>
      </c>
      <c r="R174" t="s">
        <v>2168</v>
      </c>
      <c r="S174">
        <v>2</v>
      </c>
      <c r="X174" t="str">
        <f t="shared" si="112"/>
        <v>[173] = {["ID"] = 1879370524; ["TIER"] = 2; }; -- Observer of Durin's Day (Durin's Day)</v>
      </c>
      <c r="Y174" s="1" t="str">
        <f t="shared" si="114"/>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3"/>
        <v>173</v>
      </c>
      <c r="AA174" t="str">
        <f t="shared" si="115"/>
        <v>[173] = {</v>
      </c>
      <c r="AB174" t="str">
        <f t="shared" si="116"/>
        <v xml:space="preserve">["ID"] = 1879370524; </v>
      </c>
      <c r="AC174" t="str">
        <f t="shared" si="117"/>
        <v xml:space="preserve">["ID"] = 1879370524; </v>
      </c>
      <c r="AD174" t="str">
        <f t="shared" si="118"/>
        <v/>
      </c>
      <c r="AE174" t="str">
        <f t="shared" si="119"/>
        <v xml:space="preserve"> (Durin's Day)</v>
      </c>
      <c r="AF174" s="1" t="str">
        <f t="shared" si="120"/>
        <v xml:space="preserve">["SAVE_INDEX"] = 141; </v>
      </c>
      <c r="AG174">
        <f>VLOOKUP(D174,Type!A$2:B$16,2,FALSE)</f>
        <v>12</v>
      </c>
      <c r="AH174" t="str">
        <f t="shared" si="121"/>
        <v xml:space="preserve">["TYPE"] = 12; </v>
      </c>
      <c r="AI174" t="str">
        <f t="shared" si="122"/>
        <v xml:space="preserve">                      </v>
      </c>
      <c r="AJ174" t="str">
        <f>IF(AND(F174="Class",NOT(ISBLANK(E174))),VLOOKUP(E174,Class!A$1:B$12,2,FALSE),"")</f>
        <v/>
      </c>
      <c r="AK174" t="str">
        <f>IF(AND(F174="Vocation",NOT(ISBLANK(E174))),VLOOKUP(E174,Vocation!A$1:B$8,2,FALSE),"")</f>
        <v/>
      </c>
      <c r="AL174" t="str">
        <f>IF(AND(F174="Race",NOT(ISBLANK(E174))),VLOOKUP(E174,Race!A$1:B$9,2,),"")</f>
        <v/>
      </c>
      <c r="AM174" t="str">
        <f t="shared" si="123"/>
        <v xml:space="preserve">  0</v>
      </c>
      <c r="AN174" t="str">
        <f t="shared" si="124"/>
        <v xml:space="preserve">["SUBTYPE"] =   0; </v>
      </c>
      <c r="AO174" t="str">
        <f>IF(NOT(ISBLANK(G174)),VLOOKUP(G174,Type!D$2:E$6,2,FALSE),"")</f>
        <v/>
      </c>
      <c r="AP174" t="str">
        <f t="shared" si="125"/>
        <v xml:space="preserve">            </v>
      </c>
      <c r="AQ174" t="str">
        <f t="shared" si="126"/>
        <v xml:space="preserve">                      </v>
      </c>
      <c r="AR174" t="str">
        <f t="shared" si="127"/>
        <v/>
      </c>
      <c r="AS174" t="str">
        <f t="shared" si="128"/>
        <v>0</v>
      </c>
      <c r="AT174" t="str">
        <f t="shared" si="129"/>
        <v xml:space="preserve">["VXP"] =    0; </v>
      </c>
      <c r="AU174" t="str">
        <f t="shared" si="130"/>
        <v>5</v>
      </c>
      <c r="AV174" t="str">
        <f t="shared" si="131"/>
        <v xml:space="preserve">["LP"] =  5; </v>
      </c>
      <c r="AW174" t="str">
        <f t="shared" si="132"/>
        <v>0</v>
      </c>
      <c r="AX174" t="str">
        <f t="shared" si="133"/>
        <v xml:space="preserve">["REP"] =     0; </v>
      </c>
      <c r="AY174">
        <f>IF(LEN(P174)&gt;0,VLOOKUP(P174,Faction!A$2:B$77,2,FALSE),1)</f>
        <v>1</v>
      </c>
      <c r="AZ174" t="str">
        <f t="shared" si="134"/>
        <v xml:space="preserve">["FACTION"] =  1; </v>
      </c>
      <c r="BA174" t="str">
        <f t="shared" si="113"/>
        <v xml:space="preserve">["TIER"] = 2; </v>
      </c>
      <c r="BB174" t="str">
        <f t="shared" si="135"/>
        <v xml:space="preserve">                     </v>
      </c>
      <c r="BC174" t="str">
        <f t="shared" si="136"/>
        <v xml:space="preserve">                  </v>
      </c>
      <c r="BD174" t="str">
        <f t="shared" si="137"/>
        <v xml:space="preserve">["NAME"] = { ["EN"] = "Observer of Durin's Day"; }; </v>
      </c>
      <c r="BE174" t="str">
        <f t="shared" si="138"/>
        <v xml:space="preserve">["LORE"] = { ["EN"] = "You stood up on the side of Erebor for Durin's Day, and saw what the sun revealed when it touched the dwarf-wrought stone."; }; </v>
      </c>
      <c r="BF174" t="str">
        <f t="shared" si="139"/>
        <v xml:space="preserve">["SUMMARY"] = { ["EN"] = "Complete the quest Durin's Day Upon Erebor."; }; </v>
      </c>
      <c r="BG174" t="str">
        <f t="shared" si="140"/>
        <v xml:space="preserve">["TITLE"] = { ["EN"] = "Observer of Durin's Day"; }; </v>
      </c>
      <c r="BH174" t="str">
        <f t="shared" si="141"/>
        <v/>
      </c>
      <c r="BI174" t="str">
        <f t="shared" si="142"/>
        <v/>
      </c>
      <c r="BJ174" t="str">
        <f t="shared" si="144"/>
        <v>};</v>
      </c>
    </row>
    <row r="175" spans="1:62" x14ac:dyDescent="0.25">
      <c r="C175" s="2" t="s">
        <v>736</v>
      </c>
      <c r="D175" s="2" t="s">
        <v>812</v>
      </c>
      <c r="S175">
        <v>0</v>
      </c>
      <c r="V175">
        <v>140</v>
      </c>
      <c r="X175" t="str">
        <f t="shared" si="112"/>
        <v>[174] = {["CAT_ID"] = 140; }; -- Yule Festival</v>
      </c>
      <c r="Y175" s="1" t="str">
        <f t="shared" si="114"/>
        <v>[174] = {                                           ["TYPE"] = 14;                       ["SUBTYPE"] =   0;                                   ["VXP"] =    0; ["LP"] =  0; ["REP"] =     0; ["FACTION"] =  1;                                        ["NAME"] = { ["EN"] = "Yule Festival"; }; };</v>
      </c>
      <c r="Z175">
        <f t="shared" si="143"/>
        <v>174</v>
      </c>
      <c r="AA175" t="str">
        <f t="shared" si="115"/>
        <v>[174] = {</v>
      </c>
      <c r="AB175" t="str">
        <f t="shared" si="116"/>
        <v xml:space="preserve">                     </v>
      </c>
      <c r="AC175" t="str">
        <f t="shared" si="117"/>
        <v/>
      </c>
      <c r="AD175" t="str">
        <f t="shared" si="118"/>
        <v xml:space="preserve">["CAT_ID"] = 140; </v>
      </c>
      <c r="AE175" t="str">
        <f t="shared" si="119"/>
        <v/>
      </c>
      <c r="AF175" s="1" t="str">
        <f t="shared" si="120"/>
        <v xml:space="preserve">                      </v>
      </c>
      <c r="AG175">
        <f>VLOOKUP(D175,Type!A$2:B$16,2,FALSE)</f>
        <v>14</v>
      </c>
      <c r="AH175" t="str">
        <f t="shared" si="121"/>
        <v xml:space="preserve">["TYPE"] = 14; </v>
      </c>
      <c r="AI175" t="str">
        <f t="shared" si="122"/>
        <v xml:space="preserve">                      </v>
      </c>
      <c r="AJ175" t="str">
        <f>IF(AND(F175="Class",NOT(ISBLANK(E175))),VLOOKUP(E175,Class!A$1:B$12,2,FALSE),"")</f>
        <v/>
      </c>
      <c r="AK175" t="str">
        <f>IF(AND(F175="Vocation",NOT(ISBLANK(E175))),VLOOKUP(E175,Vocation!A$1:B$8,2,FALSE),"")</f>
        <v/>
      </c>
      <c r="AL175" t="str">
        <f>IF(AND(F175="Race",NOT(ISBLANK(E175))),VLOOKUP(E175,Race!A$1:B$9,2,),"")</f>
        <v/>
      </c>
      <c r="AM175" t="str">
        <f t="shared" si="123"/>
        <v xml:space="preserve">  0</v>
      </c>
      <c r="AN175" t="str">
        <f t="shared" si="124"/>
        <v xml:space="preserve">["SUBTYPE"] =   0; </v>
      </c>
      <c r="AO175" t="str">
        <f>IF(NOT(ISBLANK(G175)),VLOOKUP(G175,Type!D$2:E$6,2,FALSE),"")</f>
        <v/>
      </c>
      <c r="AP175" t="str">
        <f t="shared" si="125"/>
        <v xml:space="preserve">            </v>
      </c>
      <c r="AQ175" t="str">
        <f t="shared" si="126"/>
        <v xml:space="preserve">                      </v>
      </c>
      <c r="AR175" t="str">
        <f t="shared" si="127"/>
        <v/>
      </c>
      <c r="AS175" t="str">
        <f t="shared" si="128"/>
        <v>0</v>
      </c>
      <c r="AT175" t="str">
        <f t="shared" si="129"/>
        <v xml:space="preserve">["VXP"] =    0; </v>
      </c>
      <c r="AU175" t="str">
        <f t="shared" si="130"/>
        <v>0</v>
      </c>
      <c r="AV175" t="str">
        <f t="shared" si="131"/>
        <v xml:space="preserve">["LP"] =  0; </v>
      </c>
      <c r="AW175" t="str">
        <f t="shared" si="132"/>
        <v>0</v>
      </c>
      <c r="AX175" t="str">
        <f t="shared" si="133"/>
        <v xml:space="preserve">["REP"] =     0; </v>
      </c>
      <c r="AY175">
        <f>IF(LEN(P175)&gt;0,VLOOKUP(P175,Faction!A$2:B$77,2,FALSE),1)</f>
        <v>1</v>
      </c>
      <c r="AZ175" t="str">
        <f t="shared" si="134"/>
        <v xml:space="preserve">["FACTION"] =  1; </v>
      </c>
      <c r="BA175" t="str">
        <f t="shared" si="113"/>
        <v/>
      </c>
      <c r="BB175" t="str">
        <f t="shared" si="135"/>
        <v xml:space="preserve">                     </v>
      </c>
      <c r="BC175" t="str">
        <f t="shared" si="136"/>
        <v xml:space="preserve">                  </v>
      </c>
      <c r="BD175" t="str">
        <f t="shared" si="137"/>
        <v xml:space="preserve">["NAME"] = { ["EN"] = "Yule Festival"; }; </v>
      </c>
      <c r="BE175" t="str">
        <f t="shared" si="138"/>
        <v/>
      </c>
      <c r="BF175" t="str">
        <f t="shared" si="139"/>
        <v/>
      </c>
      <c r="BG175" t="str">
        <f t="shared" si="140"/>
        <v/>
      </c>
      <c r="BH175" t="str">
        <f t="shared" si="141"/>
        <v/>
      </c>
      <c r="BI175" t="str">
        <f t="shared" si="142"/>
        <v/>
      </c>
      <c r="BJ175" t="str">
        <f t="shared" si="144"/>
        <v>};</v>
      </c>
    </row>
    <row r="176" spans="1:62" x14ac:dyDescent="0.25">
      <c r="A176">
        <v>1879199422</v>
      </c>
      <c r="B176">
        <v>142</v>
      </c>
      <c r="C176" t="s">
        <v>737</v>
      </c>
      <c r="D176" t="s">
        <v>24</v>
      </c>
      <c r="E176" t="s">
        <v>736</v>
      </c>
      <c r="M176" t="s">
        <v>738</v>
      </c>
      <c r="Q176" t="s">
        <v>740</v>
      </c>
      <c r="R176" t="s">
        <v>739</v>
      </c>
      <c r="S176">
        <v>0</v>
      </c>
      <c r="T176">
        <v>6</v>
      </c>
      <c r="X176" t="str">
        <f t="shared" si="112"/>
        <v>[175] = {["ID"] = 1879199422; }; -- A Monstrous Feast (Yule Festival)</v>
      </c>
      <c r="Y176" s="1" t="str">
        <f t="shared" si="114"/>
        <v>[175]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6">
        <f t="shared" si="143"/>
        <v>175</v>
      </c>
      <c r="AA176" t="str">
        <f t="shared" si="115"/>
        <v>[175] = {</v>
      </c>
      <c r="AB176" t="str">
        <f t="shared" si="116"/>
        <v xml:space="preserve">["ID"] = 1879199422; </v>
      </c>
      <c r="AC176" t="str">
        <f t="shared" si="117"/>
        <v xml:space="preserve">["ID"] = 1879199422; </v>
      </c>
      <c r="AD176" t="str">
        <f t="shared" si="118"/>
        <v/>
      </c>
      <c r="AE176" t="str">
        <f t="shared" si="119"/>
        <v xml:space="preserve"> (Yule Festival)</v>
      </c>
      <c r="AF176" s="1" t="str">
        <f t="shared" si="120"/>
        <v xml:space="preserve">["SAVE_INDEX"] = 142; </v>
      </c>
      <c r="AG176">
        <f>VLOOKUP(D176,Type!A$2:B$16,2,FALSE)</f>
        <v>12</v>
      </c>
      <c r="AH176" t="str">
        <f t="shared" si="121"/>
        <v xml:space="preserve">["TYPE"] = 12; </v>
      </c>
      <c r="AI176" t="str">
        <f t="shared" si="122"/>
        <v xml:space="preserve">                      </v>
      </c>
      <c r="AJ176" t="str">
        <f>IF(AND(F176="Class",NOT(ISBLANK(E176))),VLOOKUP(E176,Class!A$1:B$12,2,FALSE),"")</f>
        <v/>
      </c>
      <c r="AK176" t="str">
        <f>IF(AND(F176="Vocation",NOT(ISBLANK(E176))),VLOOKUP(E176,Vocation!A$1:B$8,2,FALSE),"")</f>
        <v/>
      </c>
      <c r="AL176" t="str">
        <f>IF(AND(F176="Race",NOT(ISBLANK(E176))),VLOOKUP(E176,Race!A$1:B$9,2,),"")</f>
        <v/>
      </c>
      <c r="AM176" t="str">
        <f t="shared" si="123"/>
        <v xml:space="preserve">  0</v>
      </c>
      <c r="AN176" t="str">
        <f t="shared" si="124"/>
        <v xml:space="preserve">["SUBTYPE"] =   0; </v>
      </c>
      <c r="AO176" t="str">
        <f>IF(NOT(ISBLANK(G176)),VLOOKUP(G176,Type!D$2:E$6,2,FALSE),"")</f>
        <v/>
      </c>
      <c r="AP176" t="str">
        <f t="shared" si="125"/>
        <v xml:space="preserve">            </v>
      </c>
      <c r="AQ176" t="str">
        <f t="shared" si="126"/>
        <v xml:space="preserve">                      </v>
      </c>
      <c r="AR176" t="str">
        <f t="shared" si="127"/>
        <v/>
      </c>
      <c r="AS176" t="str">
        <f t="shared" si="128"/>
        <v>0</v>
      </c>
      <c r="AT176" t="str">
        <f t="shared" si="129"/>
        <v xml:space="preserve">["VXP"] =    0; </v>
      </c>
      <c r="AU176" t="str">
        <f t="shared" si="130"/>
        <v>0</v>
      </c>
      <c r="AV176" t="str">
        <f t="shared" si="131"/>
        <v xml:space="preserve">["LP"] =  0; </v>
      </c>
      <c r="AW176" t="str">
        <f t="shared" si="132"/>
        <v>0</v>
      </c>
      <c r="AX176" t="str">
        <f t="shared" si="133"/>
        <v xml:space="preserve">["REP"] =     0; </v>
      </c>
      <c r="AY176">
        <f>IF(LEN(P176)&gt;0,VLOOKUP(P176,Faction!A$2:B$77,2,FALSE),1)</f>
        <v>1</v>
      </c>
      <c r="AZ176" t="str">
        <f t="shared" si="134"/>
        <v xml:space="preserve">["FACTION"] =  1; </v>
      </c>
      <c r="BA176" t="str">
        <f t="shared" si="113"/>
        <v/>
      </c>
      <c r="BB176" t="str">
        <f t="shared" si="135"/>
        <v xml:space="preserve">["MIN_LVL"] =   "6"; </v>
      </c>
      <c r="BC176" t="str">
        <f t="shared" si="136"/>
        <v xml:space="preserve">                  </v>
      </c>
      <c r="BD176" t="str">
        <f t="shared" si="137"/>
        <v xml:space="preserve">["NAME"] = { ["EN"] = "A Monstrous Feast"; }; </v>
      </c>
      <c r="BE176" t="str">
        <f t="shared" si="138"/>
        <v xml:space="preserve">["LORE"] = { ["EN"] = "You must complete the full eating contest several times."; }; </v>
      </c>
      <c r="BF176" t="str">
        <f t="shared" si="139"/>
        <v xml:space="preserve">["SUMMARY"] = { ["EN"] = "Complete The Biggest Stomach of Them All 8 times."; }; </v>
      </c>
      <c r="BG176" t="str">
        <f t="shared" si="140"/>
        <v xml:space="preserve">["TITLE"] = { ["EN"] = "Feast-beast"; }; </v>
      </c>
      <c r="BH176" t="str">
        <f t="shared" si="141"/>
        <v/>
      </c>
      <c r="BI176" t="str">
        <f t="shared" si="142"/>
        <v/>
      </c>
      <c r="BJ176" t="str">
        <f t="shared" si="144"/>
        <v>};</v>
      </c>
    </row>
    <row r="177" spans="1:62" x14ac:dyDescent="0.25">
      <c r="A177">
        <v>1879286631</v>
      </c>
      <c r="B177">
        <v>144</v>
      </c>
      <c r="C177" t="s">
        <v>750</v>
      </c>
      <c r="D177" t="s">
        <v>24</v>
      </c>
      <c r="E177" t="s">
        <v>736</v>
      </c>
      <c r="M177" t="s">
        <v>750</v>
      </c>
      <c r="N177">
        <v>5</v>
      </c>
      <c r="Q177" t="s">
        <v>754</v>
      </c>
      <c r="R177" t="s">
        <v>2163</v>
      </c>
      <c r="S177">
        <v>0</v>
      </c>
      <c r="X177" t="str">
        <f t="shared" si="112"/>
        <v>[176] = {["ID"] = 1879286631; }; -- Thespian (Yule Festival)</v>
      </c>
      <c r="Y177" s="1" t="str">
        <f t="shared" si="114"/>
        <v>[176]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7">
        <f t="shared" si="143"/>
        <v>176</v>
      </c>
      <c r="AA177" t="str">
        <f t="shared" si="115"/>
        <v>[176] = {</v>
      </c>
      <c r="AB177" t="str">
        <f t="shared" si="116"/>
        <v xml:space="preserve">["ID"] = 1879286631; </v>
      </c>
      <c r="AC177" t="str">
        <f t="shared" si="117"/>
        <v xml:space="preserve">["ID"] = 1879286631; </v>
      </c>
      <c r="AD177" t="str">
        <f t="shared" si="118"/>
        <v/>
      </c>
      <c r="AE177" t="str">
        <f t="shared" si="119"/>
        <v xml:space="preserve"> (Yule Festival)</v>
      </c>
      <c r="AF177" s="1" t="str">
        <f t="shared" si="120"/>
        <v xml:space="preserve">["SAVE_INDEX"] = 144; </v>
      </c>
      <c r="AG177">
        <f>VLOOKUP(D177,Type!A$2:B$16,2,FALSE)</f>
        <v>12</v>
      </c>
      <c r="AH177" t="str">
        <f t="shared" si="121"/>
        <v xml:space="preserve">["TYPE"] = 12; </v>
      </c>
      <c r="AI177" t="str">
        <f t="shared" si="122"/>
        <v xml:space="preserve">                      </v>
      </c>
      <c r="AJ177" t="str">
        <f>IF(AND(F177="Class",NOT(ISBLANK(E177))),VLOOKUP(E177,Class!A$1:B$12,2,FALSE),"")</f>
        <v/>
      </c>
      <c r="AK177" t="str">
        <f>IF(AND(F177="Vocation",NOT(ISBLANK(E177))),VLOOKUP(E177,Vocation!A$1:B$8,2,FALSE),"")</f>
        <v/>
      </c>
      <c r="AL177" t="str">
        <f>IF(AND(F177="Race",NOT(ISBLANK(E177))),VLOOKUP(E177,Race!A$1:B$9,2,),"")</f>
        <v/>
      </c>
      <c r="AM177" t="str">
        <f t="shared" si="123"/>
        <v xml:space="preserve">  0</v>
      </c>
      <c r="AN177" t="str">
        <f t="shared" si="124"/>
        <v xml:space="preserve">["SUBTYPE"] =   0; </v>
      </c>
      <c r="AO177" t="str">
        <f>IF(NOT(ISBLANK(G177)),VLOOKUP(G177,Type!D$2:E$6,2,FALSE),"")</f>
        <v/>
      </c>
      <c r="AP177" t="str">
        <f t="shared" si="125"/>
        <v xml:space="preserve">            </v>
      </c>
      <c r="AQ177" t="str">
        <f t="shared" si="126"/>
        <v xml:space="preserve">                      </v>
      </c>
      <c r="AR177" t="str">
        <f t="shared" si="127"/>
        <v/>
      </c>
      <c r="AS177" t="str">
        <f t="shared" si="128"/>
        <v>0</v>
      </c>
      <c r="AT177" t="str">
        <f t="shared" si="129"/>
        <v xml:space="preserve">["VXP"] =    0; </v>
      </c>
      <c r="AU177" t="str">
        <f t="shared" si="130"/>
        <v>5</v>
      </c>
      <c r="AV177" t="str">
        <f t="shared" si="131"/>
        <v xml:space="preserve">["LP"] =  5; </v>
      </c>
      <c r="AW177" t="str">
        <f t="shared" si="132"/>
        <v>0</v>
      </c>
      <c r="AX177" t="str">
        <f t="shared" si="133"/>
        <v xml:space="preserve">["REP"] =     0; </v>
      </c>
      <c r="AY177">
        <f>IF(LEN(P177)&gt;0,VLOOKUP(P177,Faction!A$2:B$77,2,FALSE),1)</f>
        <v>1</v>
      </c>
      <c r="AZ177" t="str">
        <f t="shared" si="134"/>
        <v xml:space="preserve">["FACTION"] =  1; </v>
      </c>
      <c r="BA177" t="str">
        <f t="shared" si="113"/>
        <v/>
      </c>
      <c r="BB177" t="str">
        <f t="shared" si="135"/>
        <v xml:space="preserve">                     </v>
      </c>
      <c r="BC177" t="str">
        <f t="shared" si="136"/>
        <v xml:space="preserve">                  </v>
      </c>
      <c r="BD177" t="str">
        <f t="shared" si="137"/>
        <v xml:space="preserve">["NAME"] = { ["EN"] = "Thespian"; }; </v>
      </c>
      <c r="BE177" t="str">
        <f t="shared" si="138"/>
        <v xml:space="preserve">["LORE"] = { ["EN"] = "You have earned the Thespian title by participating in the Yule Festival Play."; }; </v>
      </c>
      <c r="BF177" t="str">
        <f t="shared" si="139"/>
        <v xml:space="preserve">["SUMMARY"] = { ["EN"] = "Successfully play Protagonist, Villain, and Extra during the Frostbluff Theatre play."; }; </v>
      </c>
      <c r="BG177" t="str">
        <f t="shared" si="140"/>
        <v xml:space="preserve">["TITLE"] = { ["EN"] = "Thespian"; }; </v>
      </c>
      <c r="BH177" t="str">
        <f t="shared" si="141"/>
        <v/>
      </c>
      <c r="BI177" t="str">
        <f t="shared" si="142"/>
        <v/>
      </c>
      <c r="BJ177" t="str">
        <f t="shared" si="144"/>
        <v>};</v>
      </c>
    </row>
    <row r="178" spans="1:62" x14ac:dyDescent="0.25">
      <c r="A178">
        <v>1879200235</v>
      </c>
      <c r="C178" t="s">
        <v>750</v>
      </c>
      <c r="D178" t="s">
        <v>24</v>
      </c>
      <c r="E178" t="s">
        <v>736</v>
      </c>
      <c r="M178" t="s">
        <v>750</v>
      </c>
      <c r="N178">
        <v>5</v>
      </c>
      <c r="Q178" t="s">
        <v>3540</v>
      </c>
      <c r="R178" t="s">
        <v>3541</v>
      </c>
      <c r="S178">
        <v>0</v>
      </c>
      <c r="X178" t="str">
        <f t="shared" si="112"/>
        <v>[177] = {["ID"] = 1879200235; }; -- Thespian (Yule Festival)</v>
      </c>
      <c r="Y178" s="1" t="str">
        <f t="shared" si="114"/>
        <v>[177] = {["ID"] = 1879200235;                       ["TYPE"] = 12;                       ["SUBTYPE"] =   0;                                   ["VXP"] =    0; ["LP"] =  5; ["REP"] =     0; ["FACTION"] =  1;                                        ["NAME"] = { ["EN"] = "Thespian"; }; ["LORE"] = { ["EN"] = "You have earned the Thespian title."; }; ["SUMMARY"] = { ["EN"] = "Obtain Title Writ - Thespian"; }; ["TITLE"] = { ["EN"] = "Thespian"; }; };</v>
      </c>
      <c r="Z178">
        <f t="shared" si="143"/>
        <v>177</v>
      </c>
      <c r="AA178" t="str">
        <f t="shared" si="115"/>
        <v>[177] = {</v>
      </c>
      <c r="AB178" t="str">
        <f t="shared" si="116"/>
        <v xml:space="preserve">["ID"] = 1879200235; </v>
      </c>
      <c r="AC178" t="str">
        <f t="shared" si="117"/>
        <v xml:space="preserve">["ID"] = 1879200235; </v>
      </c>
      <c r="AD178" t="str">
        <f t="shared" si="118"/>
        <v/>
      </c>
      <c r="AE178" t="str">
        <f t="shared" si="119"/>
        <v xml:space="preserve"> (Yule Festival)</v>
      </c>
      <c r="AF178" s="1" t="str">
        <f t="shared" si="120"/>
        <v xml:space="preserve">                      </v>
      </c>
      <c r="AG178">
        <f>VLOOKUP(D178,Type!A$2:B$16,2,FALSE)</f>
        <v>12</v>
      </c>
      <c r="AH178" t="str">
        <f t="shared" si="121"/>
        <v xml:space="preserve">["TYPE"] = 12; </v>
      </c>
      <c r="AI178" t="str">
        <f t="shared" si="122"/>
        <v xml:space="preserve">                      </v>
      </c>
      <c r="AJ178" t="str">
        <f>IF(AND(F178="Class",NOT(ISBLANK(E178))),VLOOKUP(E178,Class!A$1:B$12,2,FALSE),"")</f>
        <v/>
      </c>
      <c r="AK178" t="str">
        <f>IF(AND(F178="Vocation",NOT(ISBLANK(E178))),VLOOKUP(E178,Vocation!A$1:B$8,2,FALSE),"")</f>
        <v/>
      </c>
      <c r="AL178" t="str">
        <f>IF(AND(F178="Race",NOT(ISBLANK(E178))),VLOOKUP(E178,Race!A$1:B$9,2,),"")</f>
        <v/>
      </c>
      <c r="AM178" t="str">
        <f t="shared" si="123"/>
        <v xml:space="preserve">  0</v>
      </c>
      <c r="AN178" t="str">
        <f t="shared" si="124"/>
        <v xml:space="preserve">["SUBTYPE"] =   0; </v>
      </c>
      <c r="AO178" t="str">
        <f>IF(NOT(ISBLANK(G178)),VLOOKUP(G178,Type!D$2:E$6,2,FALSE),"")</f>
        <v/>
      </c>
      <c r="AP178" t="str">
        <f t="shared" si="125"/>
        <v xml:space="preserve">            </v>
      </c>
      <c r="AQ178" t="str">
        <f t="shared" si="126"/>
        <v xml:space="preserve">                      </v>
      </c>
      <c r="AR178" t="str">
        <f t="shared" si="127"/>
        <v/>
      </c>
      <c r="AS178" t="str">
        <f t="shared" si="128"/>
        <v>0</v>
      </c>
      <c r="AT178" t="str">
        <f t="shared" si="129"/>
        <v xml:space="preserve">["VXP"] =    0; </v>
      </c>
      <c r="AU178" t="str">
        <f t="shared" si="130"/>
        <v>5</v>
      </c>
      <c r="AV178" t="str">
        <f t="shared" si="131"/>
        <v xml:space="preserve">["LP"] =  5; </v>
      </c>
      <c r="AW178" t="str">
        <f t="shared" si="132"/>
        <v>0</v>
      </c>
      <c r="AX178" t="str">
        <f t="shared" si="133"/>
        <v xml:space="preserve">["REP"] =     0; </v>
      </c>
      <c r="AY178">
        <f>IF(LEN(P178)&gt;0,VLOOKUP(P178,Faction!A$2:B$77,2,FALSE),1)</f>
        <v>1</v>
      </c>
      <c r="AZ178" t="str">
        <f t="shared" si="134"/>
        <v xml:space="preserve">["FACTION"] =  1; </v>
      </c>
      <c r="BA178" t="str">
        <f t="shared" si="113"/>
        <v/>
      </c>
      <c r="BB178" t="str">
        <f t="shared" si="135"/>
        <v xml:space="preserve">                     </v>
      </c>
      <c r="BC178" t="str">
        <f t="shared" si="136"/>
        <v xml:space="preserve">                  </v>
      </c>
      <c r="BD178" t="str">
        <f t="shared" si="137"/>
        <v xml:space="preserve">["NAME"] = { ["EN"] = "Thespian"; }; </v>
      </c>
      <c r="BE178" t="str">
        <f t="shared" si="138"/>
        <v xml:space="preserve">["LORE"] = { ["EN"] = "You have earned the Thespian title."; }; </v>
      </c>
      <c r="BF178" t="str">
        <f t="shared" si="139"/>
        <v xml:space="preserve">["SUMMARY"] = { ["EN"] = "Obtain Title Writ - Thespian"; }; </v>
      </c>
      <c r="BG178" t="str">
        <f t="shared" si="140"/>
        <v xml:space="preserve">["TITLE"] = { ["EN"] = "Thespian"; }; </v>
      </c>
      <c r="BH178" t="str">
        <f t="shared" si="141"/>
        <v/>
      </c>
      <c r="BI178" t="str">
        <f t="shared" si="142"/>
        <v/>
      </c>
      <c r="BJ178" t="str">
        <f t="shared" si="144"/>
        <v>};</v>
      </c>
    </row>
    <row r="179" spans="1:62" x14ac:dyDescent="0.25">
      <c r="A179">
        <v>1879302699</v>
      </c>
      <c r="B179">
        <v>143</v>
      </c>
      <c r="C179" t="s">
        <v>755</v>
      </c>
      <c r="D179" t="s">
        <v>24</v>
      </c>
      <c r="E179" t="s">
        <v>736</v>
      </c>
      <c r="M179" t="s">
        <v>3509</v>
      </c>
      <c r="N179">
        <v>5</v>
      </c>
      <c r="Q179" t="s">
        <v>756</v>
      </c>
      <c r="R179" t="s">
        <v>2956</v>
      </c>
      <c r="S179">
        <v>0</v>
      </c>
      <c r="X179" t="str">
        <f t="shared" si="112"/>
        <v>[178] = {["ID"] = 1879302699; }; -- The Bard (Yule Festival)</v>
      </c>
      <c r="Y179" s="1" t="str">
        <f t="shared" si="114"/>
        <v>[178]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3"/>
        <v>178</v>
      </c>
      <c r="AA179" t="str">
        <f t="shared" si="115"/>
        <v>[178] = {</v>
      </c>
      <c r="AB179" t="str">
        <f t="shared" si="116"/>
        <v xml:space="preserve">["ID"] = 1879302699; </v>
      </c>
      <c r="AC179" t="str">
        <f t="shared" si="117"/>
        <v xml:space="preserve">["ID"] = 1879302699; </v>
      </c>
      <c r="AD179" t="str">
        <f t="shared" si="118"/>
        <v/>
      </c>
      <c r="AE179" t="str">
        <f t="shared" si="119"/>
        <v xml:space="preserve"> (Yule Festival)</v>
      </c>
      <c r="AF179" s="1" t="str">
        <f t="shared" si="120"/>
        <v xml:space="preserve">["SAVE_INDEX"] = 143; </v>
      </c>
      <c r="AG179">
        <f>VLOOKUP(D179,Type!A$2:B$16,2,FALSE)</f>
        <v>12</v>
      </c>
      <c r="AH179" t="str">
        <f t="shared" si="121"/>
        <v xml:space="preserve">["TYPE"] = 12; </v>
      </c>
      <c r="AI179" t="str">
        <f t="shared" si="122"/>
        <v xml:space="preserve">                      </v>
      </c>
      <c r="AJ179" t="str">
        <f>IF(AND(F179="Class",NOT(ISBLANK(E179))),VLOOKUP(E179,Class!A$1:B$12,2,FALSE),"")</f>
        <v/>
      </c>
      <c r="AK179" t="str">
        <f>IF(AND(F179="Vocation",NOT(ISBLANK(E179))),VLOOKUP(E179,Vocation!A$1:B$8,2,FALSE),"")</f>
        <v/>
      </c>
      <c r="AL179" t="str">
        <f>IF(AND(F179="Race",NOT(ISBLANK(E179))),VLOOKUP(E179,Race!A$1:B$9,2,),"")</f>
        <v/>
      </c>
      <c r="AM179" t="str">
        <f t="shared" si="123"/>
        <v xml:space="preserve">  0</v>
      </c>
      <c r="AN179" t="str">
        <f t="shared" si="124"/>
        <v xml:space="preserve">["SUBTYPE"] =   0; </v>
      </c>
      <c r="AO179" t="str">
        <f>IF(NOT(ISBLANK(G179)),VLOOKUP(G179,Type!D$2:E$6,2,FALSE),"")</f>
        <v/>
      </c>
      <c r="AP179" t="str">
        <f t="shared" si="125"/>
        <v xml:space="preserve">            </v>
      </c>
      <c r="AQ179" t="str">
        <f t="shared" si="126"/>
        <v xml:space="preserve">                      </v>
      </c>
      <c r="AR179" t="str">
        <f t="shared" si="127"/>
        <v/>
      </c>
      <c r="AS179" t="str">
        <f t="shared" si="128"/>
        <v>0</v>
      </c>
      <c r="AT179" t="str">
        <f t="shared" si="129"/>
        <v xml:space="preserve">["VXP"] =    0; </v>
      </c>
      <c r="AU179" t="str">
        <f t="shared" si="130"/>
        <v>5</v>
      </c>
      <c r="AV179" t="str">
        <f t="shared" si="131"/>
        <v xml:space="preserve">["LP"] =  5; </v>
      </c>
      <c r="AW179" t="str">
        <f t="shared" si="132"/>
        <v>0</v>
      </c>
      <c r="AX179" t="str">
        <f t="shared" si="133"/>
        <v xml:space="preserve">["REP"] =     0; </v>
      </c>
      <c r="AY179">
        <f>IF(LEN(P179)&gt;0,VLOOKUP(P179,Faction!A$2:B$77,2,FALSE),1)</f>
        <v>1</v>
      </c>
      <c r="AZ179" t="str">
        <f t="shared" si="134"/>
        <v xml:space="preserve">["FACTION"] =  1; </v>
      </c>
      <c r="BA179" t="str">
        <f t="shared" si="113"/>
        <v/>
      </c>
      <c r="BB179" t="str">
        <f t="shared" si="135"/>
        <v xml:space="preserve">                     </v>
      </c>
      <c r="BC179" t="str">
        <f t="shared" si="136"/>
        <v xml:space="preserve">                  </v>
      </c>
      <c r="BD179" t="str">
        <f t="shared" si="137"/>
        <v xml:space="preserve">["NAME"] = { ["EN"] = "The Bard"; }; </v>
      </c>
      <c r="BE179" t="str">
        <f t="shared" si="138"/>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39"/>
        <v xml:space="preserve">["SUMMARY"] = { ["EN"] = "Complete performance and audience deeds at the Frostbluff Theatre play."; }; </v>
      </c>
      <c r="BG179" t="str">
        <f t="shared" si="140"/>
        <v xml:space="preserve">["TITLE"] = { ["EN"] = "the Bard"; }; </v>
      </c>
      <c r="BH179" t="str">
        <f t="shared" si="141"/>
        <v/>
      </c>
      <c r="BI179" t="str">
        <f t="shared" si="142"/>
        <v/>
      </c>
      <c r="BJ179" t="str">
        <f t="shared" si="144"/>
        <v>};</v>
      </c>
    </row>
    <row r="180" spans="1:62" x14ac:dyDescent="0.25">
      <c r="A180">
        <v>1879200621</v>
      </c>
      <c r="B180">
        <v>146</v>
      </c>
      <c r="C180" t="s">
        <v>751</v>
      </c>
      <c r="D180" t="s">
        <v>24</v>
      </c>
      <c r="E180" t="s">
        <v>736</v>
      </c>
      <c r="M180" t="s">
        <v>751</v>
      </c>
      <c r="N180">
        <v>5</v>
      </c>
      <c r="Q180" t="s">
        <v>758</v>
      </c>
      <c r="R180" t="s">
        <v>757</v>
      </c>
      <c r="S180">
        <v>1</v>
      </c>
      <c r="X180" t="str">
        <f t="shared" si="112"/>
        <v>[179] = {["ID"] = 1879200621; ["TIER"] = 1; }; -- Villain (Yule Festival)</v>
      </c>
      <c r="Y180" s="1" t="str">
        <f t="shared" si="114"/>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3"/>
        <v>179</v>
      </c>
      <c r="AA180" t="str">
        <f t="shared" si="115"/>
        <v>[179] = {</v>
      </c>
      <c r="AB180" t="str">
        <f t="shared" si="116"/>
        <v xml:space="preserve">["ID"] = 1879200621; </v>
      </c>
      <c r="AC180" t="str">
        <f t="shared" si="117"/>
        <v xml:space="preserve">["ID"] = 1879200621; </v>
      </c>
      <c r="AD180" t="str">
        <f t="shared" si="118"/>
        <v/>
      </c>
      <c r="AE180" t="str">
        <f t="shared" si="119"/>
        <v xml:space="preserve"> (Yule Festival)</v>
      </c>
      <c r="AF180" s="1" t="str">
        <f t="shared" si="120"/>
        <v xml:space="preserve">["SAVE_INDEX"] = 146; </v>
      </c>
      <c r="AG180">
        <f>VLOOKUP(D180,Type!A$2:B$16,2,FALSE)</f>
        <v>12</v>
      </c>
      <c r="AH180" t="str">
        <f t="shared" si="121"/>
        <v xml:space="preserve">["TYPE"] = 12; </v>
      </c>
      <c r="AI180" t="str">
        <f t="shared" si="122"/>
        <v xml:space="preserve">                      </v>
      </c>
      <c r="AJ180" t="str">
        <f>IF(AND(F180="Class",NOT(ISBLANK(E180))),VLOOKUP(E180,Class!A$1:B$12,2,FALSE),"")</f>
        <v/>
      </c>
      <c r="AK180" t="str">
        <f>IF(AND(F180="Vocation",NOT(ISBLANK(E180))),VLOOKUP(E180,Vocation!A$1:B$8,2,FALSE),"")</f>
        <v/>
      </c>
      <c r="AL180" t="str">
        <f>IF(AND(F180="Race",NOT(ISBLANK(E180))),VLOOKUP(E180,Race!A$1:B$9,2,),"")</f>
        <v/>
      </c>
      <c r="AM180" t="str">
        <f t="shared" si="123"/>
        <v xml:space="preserve">  0</v>
      </c>
      <c r="AN180" t="str">
        <f t="shared" si="124"/>
        <v xml:space="preserve">["SUBTYPE"] =   0; </v>
      </c>
      <c r="AO180" t="str">
        <f>IF(NOT(ISBLANK(G180)),VLOOKUP(G180,Type!D$2:E$6,2,FALSE),"")</f>
        <v/>
      </c>
      <c r="AP180" t="str">
        <f t="shared" si="125"/>
        <v xml:space="preserve">            </v>
      </c>
      <c r="AQ180" t="str">
        <f t="shared" si="126"/>
        <v xml:space="preserve">                      </v>
      </c>
      <c r="AR180" t="str">
        <f t="shared" si="127"/>
        <v/>
      </c>
      <c r="AS180" t="str">
        <f t="shared" si="128"/>
        <v>0</v>
      </c>
      <c r="AT180" t="str">
        <f t="shared" si="129"/>
        <v xml:space="preserve">["VXP"] =    0; </v>
      </c>
      <c r="AU180" t="str">
        <f t="shared" si="130"/>
        <v>5</v>
      </c>
      <c r="AV180" t="str">
        <f t="shared" si="131"/>
        <v xml:space="preserve">["LP"] =  5; </v>
      </c>
      <c r="AW180" t="str">
        <f t="shared" si="132"/>
        <v>0</v>
      </c>
      <c r="AX180" t="str">
        <f t="shared" si="133"/>
        <v xml:space="preserve">["REP"] =     0; </v>
      </c>
      <c r="AY180">
        <f>IF(LEN(P180)&gt;0,VLOOKUP(P180,Faction!A$2:B$77,2,FALSE),1)</f>
        <v>1</v>
      </c>
      <c r="AZ180" t="str">
        <f t="shared" si="134"/>
        <v xml:space="preserve">["FACTION"] =  1; </v>
      </c>
      <c r="BA180" t="str">
        <f t="shared" si="113"/>
        <v xml:space="preserve">["TIER"] = 1; </v>
      </c>
      <c r="BB180" t="str">
        <f t="shared" si="135"/>
        <v xml:space="preserve">                     </v>
      </c>
      <c r="BC180" t="str">
        <f t="shared" si="136"/>
        <v xml:space="preserve">                  </v>
      </c>
      <c r="BD180" t="str">
        <f t="shared" si="137"/>
        <v xml:space="preserve">["NAME"] = { ["EN"] = "Villain"; }; </v>
      </c>
      <c r="BE180" t="str">
        <f t="shared" si="138"/>
        <v xml:space="preserve">["LORE"] = { ["EN"] = "You have earned the Villain title."; }; </v>
      </c>
      <c r="BF180" t="str">
        <f t="shared" si="139"/>
        <v xml:space="preserve">["SUMMARY"] = { ["EN"] = "Successfully use an appropriate emote twice in a row as Gandalf during a single Frostbluff Theatre play performance"; }; </v>
      </c>
      <c r="BG180" t="str">
        <f t="shared" si="140"/>
        <v xml:space="preserve">["TITLE"] = { ["EN"] = "Villain"; }; </v>
      </c>
      <c r="BH180" t="str">
        <f t="shared" si="141"/>
        <v/>
      </c>
      <c r="BI180" t="str">
        <f t="shared" si="142"/>
        <v/>
      </c>
      <c r="BJ180" t="str">
        <f t="shared" si="144"/>
        <v>};</v>
      </c>
    </row>
    <row r="181" spans="1:62" x14ac:dyDescent="0.25">
      <c r="A181">
        <v>1879200620</v>
      </c>
      <c r="B181">
        <v>145</v>
      </c>
      <c r="C181" t="s">
        <v>746</v>
      </c>
      <c r="D181" t="s">
        <v>24</v>
      </c>
      <c r="E181" t="s">
        <v>736</v>
      </c>
      <c r="M181" t="s">
        <v>746</v>
      </c>
      <c r="N181">
        <v>5</v>
      </c>
      <c r="Q181" t="s">
        <v>752</v>
      </c>
      <c r="R181" t="s">
        <v>747</v>
      </c>
      <c r="S181">
        <v>1</v>
      </c>
      <c r="X181" t="str">
        <f t="shared" si="112"/>
        <v>[180] = {["ID"] = 1879200620; ["TIER"] = 1; }; -- Protagonist (Yule Festival)</v>
      </c>
      <c r="Y181" s="1" t="str">
        <f t="shared" si="114"/>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3"/>
        <v>180</v>
      </c>
      <c r="AA181" t="str">
        <f t="shared" si="115"/>
        <v>[180] = {</v>
      </c>
      <c r="AB181" t="str">
        <f t="shared" si="116"/>
        <v xml:space="preserve">["ID"] = 1879200620; </v>
      </c>
      <c r="AC181" t="str">
        <f t="shared" si="117"/>
        <v xml:space="preserve">["ID"] = 1879200620; </v>
      </c>
      <c r="AD181" t="str">
        <f t="shared" si="118"/>
        <v/>
      </c>
      <c r="AE181" t="str">
        <f t="shared" si="119"/>
        <v xml:space="preserve"> (Yule Festival)</v>
      </c>
      <c r="AF181" s="1" t="str">
        <f t="shared" si="120"/>
        <v xml:space="preserve">["SAVE_INDEX"] = 145; </v>
      </c>
      <c r="AG181">
        <f>VLOOKUP(D181,Type!A$2:B$16,2,FALSE)</f>
        <v>12</v>
      </c>
      <c r="AH181" t="str">
        <f t="shared" si="121"/>
        <v xml:space="preserve">["TYPE"] = 12; </v>
      </c>
      <c r="AI181" t="str">
        <f t="shared" si="122"/>
        <v xml:space="preserve">                      </v>
      </c>
      <c r="AJ181" t="str">
        <f>IF(AND(F181="Class",NOT(ISBLANK(E181))),VLOOKUP(E181,Class!A$1:B$12,2,FALSE),"")</f>
        <v/>
      </c>
      <c r="AK181" t="str">
        <f>IF(AND(F181="Vocation",NOT(ISBLANK(E181))),VLOOKUP(E181,Vocation!A$1:B$8,2,FALSE),"")</f>
        <v/>
      </c>
      <c r="AL181" t="str">
        <f>IF(AND(F181="Race",NOT(ISBLANK(E181))),VLOOKUP(E181,Race!A$1:B$9,2,),"")</f>
        <v/>
      </c>
      <c r="AM181" t="str">
        <f t="shared" si="123"/>
        <v xml:space="preserve">  0</v>
      </c>
      <c r="AN181" t="str">
        <f t="shared" si="124"/>
        <v xml:space="preserve">["SUBTYPE"] =   0; </v>
      </c>
      <c r="AO181" t="str">
        <f>IF(NOT(ISBLANK(G181)),VLOOKUP(G181,Type!D$2:E$6,2,FALSE),"")</f>
        <v/>
      </c>
      <c r="AP181" t="str">
        <f t="shared" si="125"/>
        <v xml:space="preserve">            </v>
      </c>
      <c r="AQ181" t="str">
        <f t="shared" si="126"/>
        <v xml:space="preserve">                      </v>
      </c>
      <c r="AR181" t="str">
        <f t="shared" si="127"/>
        <v/>
      </c>
      <c r="AS181" t="str">
        <f t="shared" si="128"/>
        <v>0</v>
      </c>
      <c r="AT181" t="str">
        <f t="shared" si="129"/>
        <v xml:space="preserve">["VXP"] =    0; </v>
      </c>
      <c r="AU181" t="str">
        <f t="shared" si="130"/>
        <v>5</v>
      </c>
      <c r="AV181" t="str">
        <f t="shared" si="131"/>
        <v xml:space="preserve">["LP"] =  5; </v>
      </c>
      <c r="AW181" t="str">
        <f t="shared" si="132"/>
        <v>0</v>
      </c>
      <c r="AX181" t="str">
        <f t="shared" si="133"/>
        <v xml:space="preserve">["REP"] =     0; </v>
      </c>
      <c r="AY181">
        <f>IF(LEN(P181)&gt;0,VLOOKUP(P181,Faction!A$2:B$77,2,FALSE),1)</f>
        <v>1</v>
      </c>
      <c r="AZ181" t="str">
        <f t="shared" si="134"/>
        <v xml:space="preserve">["FACTION"] =  1; </v>
      </c>
      <c r="BA181" t="str">
        <f t="shared" si="113"/>
        <v xml:space="preserve">["TIER"] = 1; </v>
      </c>
      <c r="BB181" t="str">
        <f t="shared" si="135"/>
        <v xml:space="preserve">                     </v>
      </c>
      <c r="BC181" t="str">
        <f t="shared" si="136"/>
        <v xml:space="preserve">                  </v>
      </c>
      <c r="BD181" t="str">
        <f t="shared" si="137"/>
        <v xml:space="preserve">["NAME"] = { ["EN"] = "Protagonist"; }; </v>
      </c>
      <c r="BE181" t="str">
        <f t="shared" si="138"/>
        <v xml:space="preserve">["LORE"] = { ["EN"] = "You have earned the Protagonist title."; }; </v>
      </c>
      <c r="BF181" t="str">
        <f t="shared" si="139"/>
        <v xml:space="preserve">["SUMMARY"] = { ["EN"] = "Successfully use an appropriate emote twice in a row as Bilbo Baggins during a single Frostbluff Theatre play performance"; }; </v>
      </c>
      <c r="BG181" t="str">
        <f t="shared" si="140"/>
        <v xml:space="preserve">["TITLE"] = { ["EN"] = "Protagonist"; }; </v>
      </c>
      <c r="BH181" t="str">
        <f t="shared" si="141"/>
        <v/>
      </c>
      <c r="BI181" t="str">
        <f t="shared" si="142"/>
        <v/>
      </c>
      <c r="BJ181" t="str">
        <f t="shared" si="144"/>
        <v>};</v>
      </c>
    </row>
    <row r="182" spans="1:62" x14ac:dyDescent="0.25">
      <c r="A182">
        <v>1879200619</v>
      </c>
      <c r="B182">
        <v>147</v>
      </c>
      <c r="C182" t="s">
        <v>741</v>
      </c>
      <c r="D182" t="s">
        <v>24</v>
      </c>
      <c r="E182" t="s">
        <v>736</v>
      </c>
      <c r="M182" t="s">
        <v>741</v>
      </c>
      <c r="N182">
        <v>5</v>
      </c>
      <c r="Q182" t="s">
        <v>3374</v>
      </c>
      <c r="R182" t="s">
        <v>742</v>
      </c>
      <c r="S182">
        <v>1</v>
      </c>
      <c r="X182" t="str">
        <f t="shared" si="112"/>
        <v>[181] = {["ID"] = 1879200619; ["TIER"] = 1; }; -- Extra (Yule Festival)</v>
      </c>
      <c r="Y182" s="1" t="str">
        <f t="shared" si="114"/>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3"/>
        <v>181</v>
      </c>
      <c r="AA182" t="str">
        <f t="shared" si="115"/>
        <v>[181] = {</v>
      </c>
      <c r="AB182" t="str">
        <f t="shared" si="116"/>
        <v xml:space="preserve">["ID"] = 1879200619; </v>
      </c>
      <c r="AC182" t="str">
        <f t="shared" si="117"/>
        <v xml:space="preserve">["ID"] = 1879200619; </v>
      </c>
      <c r="AD182" t="str">
        <f t="shared" si="118"/>
        <v/>
      </c>
      <c r="AE182" t="str">
        <f t="shared" si="119"/>
        <v xml:space="preserve"> (Yule Festival)</v>
      </c>
      <c r="AF182" s="1" t="str">
        <f t="shared" si="120"/>
        <v xml:space="preserve">["SAVE_INDEX"] = 147; </v>
      </c>
      <c r="AG182">
        <f>VLOOKUP(D182,Type!A$2:B$16,2,FALSE)</f>
        <v>12</v>
      </c>
      <c r="AH182" t="str">
        <f t="shared" si="121"/>
        <v xml:space="preserve">["TYPE"] = 12; </v>
      </c>
      <c r="AI182" t="str">
        <f t="shared" si="122"/>
        <v xml:space="preserve">                      </v>
      </c>
      <c r="AJ182" t="str">
        <f>IF(AND(F182="Class",NOT(ISBLANK(E182))),VLOOKUP(E182,Class!A$1:B$12,2,FALSE),"")</f>
        <v/>
      </c>
      <c r="AK182" t="str">
        <f>IF(AND(F182="Vocation",NOT(ISBLANK(E182))),VLOOKUP(E182,Vocation!A$1:B$8,2,FALSE),"")</f>
        <v/>
      </c>
      <c r="AL182" t="str">
        <f>IF(AND(F182="Race",NOT(ISBLANK(E182))),VLOOKUP(E182,Race!A$1:B$9,2,),"")</f>
        <v/>
      </c>
      <c r="AM182" t="str">
        <f t="shared" si="123"/>
        <v xml:space="preserve">  0</v>
      </c>
      <c r="AN182" t="str">
        <f t="shared" si="124"/>
        <v xml:space="preserve">["SUBTYPE"] =   0; </v>
      </c>
      <c r="AO182" t="str">
        <f>IF(NOT(ISBLANK(G182)),VLOOKUP(G182,Type!D$2:E$6,2,FALSE),"")</f>
        <v/>
      </c>
      <c r="AP182" t="str">
        <f t="shared" si="125"/>
        <v xml:space="preserve">            </v>
      </c>
      <c r="AQ182" t="str">
        <f t="shared" si="126"/>
        <v xml:space="preserve">                      </v>
      </c>
      <c r="AR182" t="str">
        <f t="shared" si="127"/>
        <v/>
      </c>
      <c r="AS182" t="str">
        <f t="shared" si="128"/>
        <v>0</v>
      </c>
      <c r="AT182" t="str">
        <f t="shared" si="129"/>
        <v xml:space="preserve">["VXP"] =    0; </v>
      </c>
      <c r="AU182" t="str">
        <f t="shared" si="130"/>
        <v>5</v>
      </c>
      <c r="AV182" t="str">
        <f t="shared" si="131"/>
        <v xml:space="preserve">["LP"] =  5; </v>
      </c>
      <c r="AW182" t="str">
        <f t="shared" si="132"/>
        <v>0</v>
      </c>
      <c r="AX182" t="str">
        <f t="shared" si="133"/>
        <v xml:space="preserve">["REP"] =     0; </v>
      </c>
      <c r="AY182">
        <f>IF(LEN(P182)&gt;0,VLOOKUP(P182,Faction!A$2:B$77,2,FALSE),1)</f>
        <v>1</v>
      </c>
      <c r="AZ182" t="str">
        <f t="shared" si="134"/>
        <v xml:space="preserve">["FACTION"] =  1; </v>
      </c>
      <c r="BA182" t="str">
        <f t="shared" si="113"/>
        <v xml:space="preserve">["TIER"] = 1; </v>
      </c>
      <c r="BB182" t="str">
        <f t="shared" si="135"/>
        <v xml:space="preserve">                     </v>
      </c>
      <c r="BC182" t="str">
        <f t="shared" si="136"/>
        <v xml:space="preserve">                  </v>
      </c>
      <c r="BD182" t="str">
        <f t="shared" si="137"/>
        <v xml:space="preserve">["NAME"] = { ["EN"] = "Extra"; }; </v>
      </c>
      <c r="BE182" t="str">
        <f t="shared" si="138"/>
        <v xml:space="preserve">["LORE"] = { ["EN"] = "You have earned the Extra title."; }; </v>
      </c>
      <c r="BF182" t="str">
        <f t="shared" si="139"/>
        <v xml:space="preserve">["SUMMARY"] = { ["EN"] = "Successfully use an appropriate emote twice in a row as the Partygoer during a single Frostbluff Theatre play performance"; }; </v>
      </c>
      <c r="BG182" t="str">
        <f t="shared" si="140"/>
        <v xml:space="preserve">["TITLE"] = { ["EN"] = "Extra"; }; </v>
      </c>
      <c r="BH182" t="str">
        <f t="shared" si="141"/>
        <v/>
      </c>
      <c r="BI182" t="str">
        <f t="shared" si="142"/>
        <v/>
      </c>
      <c r="BJ182" t="str">
        <f t="shared" si="144"/>
        <v>};</v>
      </c>
    </row>
    <row r="183" spans="1:62" x14ac:dyDescent="0.25">
      <c r="A183">
        <v>1879200239</v>
      </c>
      <c r="B183">
        <v>149</v>
      </c>
      <c r="C183" t="s">
        <v>743</v>
      </c>
      <c r="D183" t="s">
        <v>24</v>
      </c>
      <c r="E183" t="s">
        <v>736</v>
      </c>
      <c r="M183" t="s">
        <v>743</v>
      </c>
      <c r="N183">
        <v>5</v>
      </c>
      <c r="Q183" t="s">
        <v>745</v>
      </c>
      <c r="R183" t="s">
        <v>744</v>
      </c>
      <c r="S183">
        <v>1</v>
      </c>
      <c r="X183" t="str">
        <f t="shared" si="112"/>
        <v>[182] = {["ID"] = 1879200239; ["TIER"] = 1; }; -- Laughing-stock (Yule Festival)</v>
      </c>
      <c r="Y183" s="1" t="str">
        <f t="shared" si="114"/>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3"/>
        <v>182</v>
      </c>
      <c r="AA183" t="str">
        <f t="shared" si="115"/>
        <v>[182] = {</v>
      </c>
      <c r="AB183" t="str">
        <f t="shared" si="116"/>
        <v xml:space="preserve">["ID"] = 1879200239; </v>
      </c>
      <c r="AC183" t="str">
        <f t="shared" si="117"/>
        <v xml:space="preserve">["ID"] = 1879200239; </v>
      </c>
      <c r="AD183" t="str">
        <f t="shared" si="118"/>
        <v/>
      </c>
      <c r="AE183" t="str">
        <f t="shared" si="119"/>
        <v xml:space="preserve"> (Yule Festival)</v>
      </c>
      <c r="AF183" s="1" t="str">
        <f t="shared" si="120"/>
        <v xml:space="preserve">["SAVE_INDEX"] = 149; </v>
      </c>
      <c r="AG183">
        <f>VLOOKUP(D183,Type!A$2:B$16,2,FALSE)</f>
        <v>12</v>
      </c>
      <c r="AH183" t="str">
        <f t="shared" si="121"/>
        <v xml:space="preserve">["TYPE"] = 12; </v>
      </c>
      <c r="AI183" t="str">
        <f t="shared" si="122"/>
        <v xml:space="preserve">                      </v>
      </c>
      <c r="AJ183" t="str">
        <f>IF(AND(F183="Class",NOT(ISBLANK(E183))),VLOOKUP(E183,Class!A$1:B$12,2,FALSE),"")</f>
        <v/>
      </c>
      <c r="AK183" t="str">
        <f>IF(AND(F183="Vocation",NOT(ISBLANK(E183))),VLOOKUP(E183,Vocation!A$1:B$8,2,FALSE),"")</f>
        <v/>
      </c>
      <c r="AL183" t="str">
        <f>IF(AND(F183="Race",NOT(ISBLANK(E183))),VLOOKUP(E183,Race!A$1:B$9,2,),"")</f>
        <v/>
      </c>
      <c r="AM183" t="str">
        <f t="shared" si="123"/>
        <v xml:space="preserve">  0</v>
      </c>
      <c r="AN183" t="str">
        <f t="shared" si="124"/>
        <v xml:space="preserve">["SUBTYPE"] =   0; </v>
      </c>
      <c r="AO183" t="str">
        <f>IF(NOT(ISBLANK(G183)),VLOOKUP(G183,Type!D$2:E$6,2,FALSE),"")</f>
        <v/>
      </c>
      <c r="AP183" t="str">
        <f t="shared" si="125"/>
        <v xml:space="preserve">            </v>
      </c>
      <c r="AQ183" t="str">
        <f t="shared" si="126"/>
        <v xml:space="preserve">                      </v>
      </c>
      <c r="AR183" t="str">
        <f t="shared" si="127"/>
        <v/>
      </c>
      <c r="AS183" t="str">
        <f t="shared" si="128"/>
        <v>0</v>
      </c>
      <c r="AT183" t="str">
        <f t="shared" si="129"/>
        <v xml:space="preserve">["VXP"] =    0; </v>
      </c>
      <c r="AU183" t="str">
        <f t="shared" si="130"/>
        <v>5</v>
      </c>
      <c r="AV183" t="str">
        <f t="shared" si="131"/>
        <v xml:space="preserve">["LP"] =  5; </v>
      </c>
      <c r="AW183" t="str">
        <f t="shared" si="132"/>
        <v>0</v>
      </c>
      <c r="AX183" t="str">
        <f t="shared" si="133"/>
        <v xml:space="preserve">["REP"] =     0; </v>
      </c>
      <c r="AY183">
        <f>IF(LEN(P183)&gt;0,VLOOKUP(P183,Faction!A$2:B$77,2,FALSE),1)</f>
        <v>1</v>
      </c>
      <c r="AZ183" t="str">
        <f t="shared" si="134"/>
        <v xml:space="preserve">["FACTION"] =  1; </v>
      </c>
      <c r="BA183" t="str">
        <f t="shared" si="113"/>
        <v xml:space="preserve">["TIER"] = 1; </v>
      </c>
      <c r="BB183" t="str">
        <f t="shared" si="135"/>
        <v xml:space="preserve">                     </v>
      </c>
      <c r="BC183" t="str">
        <f t="shared" si="136"/>
        <v xml:space="preserve">                  </v>
      </c>
      <c r="BD183" t="str">
        <f t="shared" si="137"/>
        <v xml:space="preserve">["NAME"] = { ["EN"] = "Laughing-stock"; }; </v>
      </c>
      <c r="BE183" t="str">
        <f t="shared" si="138"/>
        <v xml:space="preserve">["LORE"] = { ["EN"] = "You have earned the Laughing-stock title."; }; </v>
      </c>
      <c r="BF183" t="str">
        <f t="shared" si="139"/>
        <v xml:space="preserve">["SUMMARY"] = { ["EN"] = "Successfully use an inappropriate emote twice during a single Frostbluff Theatre play performance"; }; </v>
      </c>
      <c r="BG183" t="str">
        <f t="shared" si="140"/>
        <v xml:space="preserve">["TITLE"] = { ["EN"] = "Laughing-stock"; }; </v>
      </c>
      <c r="BH183" t="str">
        <f t="shared" si="141"/>
        <v/>
      </c>
      <c r="BI183" t="str">
        <f t="shared" si="142"/>
        <v/>
      </c>
      <c r="BJ183" t="str">
        <f t="shared" si="144"/>
        <v>};</v>
      </c>
    </row>
    <row r="184" spans="1:62" x14ac:dyDescent="0.25">
      <c r="A184">
        <v>1879200234</v>
      </c>
      <c r="B184">
        <v>148</v>
      </c>
      <c r="C184" t="s">
        <v>748</v>
      </c>
      <c r="D184" t="s">
        <v>24</v>
      </c>
      <c r="E184" t="s">
        <v>736</v>
      </c>
      <c r="M184" t="s">
        <v>748</v>
      </c>
      <c r="N184">
        <v>5</v>
      </c>
      <c r="Q184" t="s">
        <v>753</v>
      </c>
      <c r="R184" t="s">
        <v>749</v>
      </c>
      <c r="S184">
        <v>1</v>
      </c>
      <c r="X184" t="str">
        <f t="shared" si="112"/>
        <v>[183] = {["ID"] = 1879200234; ["TIER"] = 1; }; -- Star of the Show (Yule Festival)</v>
      </c>
      <c r="Y184" s="1" t="str">
        <f t="shared" si="114"/>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3"/>
        <v>183</v>
      </c>
      <c r="AA184" t="str">
        <f t="shared" si="115"/>
        <v>[183] = {</v>
      </c>
      <c r="AB184" t="str">
        <f t="shared" si="116"/>
        <v xml:space="preserve">["ID"] = 1879200234; </v>
      </c>
      <c r="AC184" t="str">
        <f t="shared" si="117"/>
        <v xml:space="preserve">["ID"] = 1879200234; </v>
      </c>
      <c r="AD184" t="str">
        <f t="shared" si="118"/>
        <v/>
      </c>
      <c r="AE184" t="str">
        <f t="shared" si="119"/>
        <v xml:space="preserve"> (Yule Festival)</v>
      </c>
      <c r="AF184" s="1" t="str">
        <f t="shared" si="120"/>
        <v xml:space="preserve">["SAVE_INDEX"] = 148; </v>
      </c>
      <c r="AG184">
        <f>VLOOKUP(D184,Type!A$2:B$16,2,FALSE)</f>
        <v>12</v>
      </c>
      <c r="AH184" t="str">
        <f t="shared" si="121"/>
        <v xml:space="preserve">["TYPE"] = 12; </v>
      </c>
      <c r="AI184" t="str">
        <f t="shared" si="122"/>
        <v xml:space="preserve">                      </v>
      </c>
      <c r="AJ184" t="str">
        <f>IF(AND(F184="Class",NOT(ISBLANK(E184))),VLOOKUP(E184,Class!A$1:B$12,2,FALSE),"")</f>
        <v/>
      </c>
      <c r="AK184" t="str">
        <f>IF(AND(F184="Vocation",NOT(ISBLANK(E184))),VLOOKUP(E184,Vocation!A$1:B$8,2,FALSE),"")</f>
        <v/>
      </c>
      <c r="AL184" t="str">
        <f>IF(AND(F184="Race",NOT(ISBLANK(E184))),VLOOKUP(E184,Race!A$1:B$9,2,),"")</f>
        <v/>
      </c>
      <c r="AM184" t="str">
        <f t="shared" si="123"/>
        <v xml:space="preserve">  0</v>
      </c>
      <c r="AN184" t="str">
        <f t="shared" si="124"/>
        <v xml:space="preserve">["SUBTYPE"] =   0; </v>
      </c>
      <c r="AO184" t="str">
        <f>IF(NOT(ISBLANK(G184)),VLOOKUP(G184,Type!D$2:E$6,2,FALSE),"")</f>
        <v/>
      </c>
      <c r="AP184" t="str">
        <f t="shared" si="125"/>
        <v xml:space="preserve">            </v>
      </c>
      <c r="AQ184" t="str">
        <f t="shared" si="126"/>
        <v xml:space="preserve">                      </v>
      </c>
      <c r="AR184" t="str">
        <f t="shared" si="127"/>
        <v/>
      </c>
      <c r="AS184" t="str">
        <f t="shared" si="128"/>
        <v>0</v>
      </c>
      <c r="AT184" t="str">
        <f t="shared" si="129"/>
        <v xml:space="preserve">["VXP"] =    0; </v>
      </c>
      <c r="AU184" t="str">
        <f t="shared" si="130"/>
        <v>5</v>
      </c>
      <c r="AV184" t="str">
        <f t="shared" si="131"/>
        <v xml:space="preserve">["LP"] =  5; </v>
      </c>
      <c r="AW184" t="str">
        <f t="shared" si="132"/>
        <v>0</v>
      </c>
      <c r="AX184" t="str">
        <f t="shared" si="133"/>
        <v xml:space="preserve">["REP"] =     0; </v>
      </c>
      <c r="AY184">
        <f>IF(LEN(P184)&gt;0,VLOOKUP(P184,Faction!A$2:B$77,2,FALSE),1)</f>
        <v>1</v>
      </c>
      <c r="AZ184" t="str">
        <f t="shared" si="134"/>
        <v xml:space="preserve">["FACTION"] =  1; </v>
      </c>
      <c r="BA184" t="str">
        <f t="shared" si="113"/>
        <v xml:space="preserve">["TIER"] = 1; </v>
      </c>
      <c r="BB184" t="str">
        <f t="shared" si="135"/>
        <v xml:space="preserve">                     </v>
      </c>
      <c r="BC184" t="str">
        <f t="shared" si="136"/>
        <v xml:space="preserve">                  </v>
      </c>
      <c r="BD184" t="str">
        <f t="shared" si="137"/>
        <v xml:space="preserve">["NAME"] = { ["EN"] = "Star of the Show"; }; </v>
      </c>
      <c r="BE184" t="str">
        <f t="shared" si="138"/>
        <v xml:space="preserve">["LORE"] = { ["EN"] = "You have earned the Star of the Show title."; }; </v>
      </c>
      <c r="BF184" t="str">
        <f t="shared" si="139"/>
        <v xml:space="preserve">["SUMMARY"] = { ["EN"] = "Successfully use an appropriate emote twice in a row during a single Frostbluff Theatre play performance"; }; </v>
      </c>
      <c r="BG184" t="str">
        <f t="shared" si="140"/>
        <v xml:space="preserve">["TITLE"] = { ["EN"] = "Star of the Show"; }; </v>
      </c>
      <c r="BH184" t="str">
        <f t="shared" si="141"/>
        <v/>
      </c>
      <c r="BI184" t="str">
        <f t="shared" si="142"/>
        <v/>
      </c>
      <c r="BJ184" t="str">
        <f t="shared" si="144"/>
        <v>};</v>
      </c>
    </row>
    <row r="185" spans="1:62" x14ac:dyDescent="0.25">
      <c r="A185">
        <v>1879200164</v>
      </c>
      <c r="B185">
        <v>150</v>
      </c>
      <c r="C185" t="s">
        <v>759</v>
      </c>
      <c r="D185" t="s">
        <v>24</v>
      </c>
      <c r="E185" t="s">
        <v>736</v>
      </c>
      <c r="N185">
        <v>5</v>
      </c>
      <c r="Q185" t="s">
        <v>3375</v>
      </c>
      <c r="R185" t="s">
        <v>763</v>
      </c>
      <c r="S185">
        <v>1</v>
      </c>
      <c r="X185" t="str">
        <f t="shared" si="112"/>
        <v>[184] = {["ID"] = 1879200164; ["TIER"] = 1; }; -- Frostbluff Flower-petals -- Tier 3 (Yule Festival)</v>
      </c>
      <c r="Y185" s="1" t="str">
        <f t="shared" si="114"/>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3"/>
        <v>184</v>
      </c>
      <c r="AA185" t="str">
        <f t="shared" si="115"/>
        <v>[184] = {</v>
      </c>
      <c r="AB185" t="str">
        <f t="shared" si="116"/>
        <v xml:space="preserve">["ID"] = 1879200164; </v>
      </c>
      <c r="AC185" t="str">
        <f t="shared" si="117"/>
        <v xml:space="preserve">["ID"] = 1879200164; </v>
      </c>
      <c r="AD185" t="str">
        <f t="shared" si="118"/>
        <v/>
      </c>
      <c r="AE185" t="str">
        <f t="shared" si="119"/>
        <v xml:space="preserve"> (Yule Festival)</v>
      </c>
      <c r="AF185" s="1" t="str">
        <f t="shared" si="120"/>
        <v xml:space="preserve">["SAVE_INDEX"] = 150; </v>
      </c>
      <c r="AG185">
        <f>VLOOKUP(D185,Type!A$2:B$16,2,FALSE)</f>
        <v>12</v>
      </c>
      <c r="AH185" t="str">
        <f t="shared" si="121"/>
        <v xml:space="preserve">["TYPE"] = 12; </v>
      </c>
      <c r="AI185" t="str">
        <f t="shared" si="122"/>
        <v xml:space="preserve">                      </v>
      </c>
      <c r="AJ185" t="str">
        <f>IF(AND(F185="Class",NOT(ISBLANK(E185))),VLOOKUP(E185,Class!A$1:B$12,2,FALSE),"")</f>
        <v/>
      </c>
      <c r="AK185" t="str">
        <f>IF(AND(F185="Vocation",NOT(ISBLANK(E185))),VLOOKUP(E185,Vocation!A$1:B$8,2,FALSE),"")</f>
        <v/>
      </c>
      <c r="AL185" t="str">
        <f>IF(AND(F185="Race",NOT(ISBLANK(E185))),VLOOKUP(E185,Race!A$1:B$9,2,),"")</f>
        <v/>
      </c>
      <c r="AM185" t="str">
        <f t="shared" si="123"/>
        <v xml:space="preserve">  0</v>
      </c>
      <c r="AN185" t="str">
        <f t="shared" si="124"/>
        <v xml:space="preserve">["SUBTYPE"] =   0; </v>
      </c>
      <c r="AO185" t="str">
        <f>IF(NOT(ISBLANK(G185)),VLOOKUP(G185,Type!D$2:E$6,2,FALSE),"")</f>
        <v/>
      </c>
      <c r="AP185" t="str">
        <f t="shared" si="125"/>
        <v xml:space="preserve">            </v>
      </c>
      <c r="AQ185" t="str">
        <f t="shared" si="126"/>
        <v xml:space="preserve">                      </v>
      </c>
      <c r="AR185" t="str">
        <f t="shared" si="127"/>
        <v/>
      </c>
      <c r="AS185" t="str">
        <f t="shared" si="128"/>
        <v>0</v>
      </c>
      <c r="AT185" t="str">
        <f t="shared" si="129"/>
        <v xml:space="preserve">["VXP"] =    0; </v>
      </c>
      <c r="AU185" t="str">
        <f t="shared" si="130"/>
        <v>5</v>
      </c>
      <c r="AV185" t="str">
        <f t="shared" si="131"/>
        <v xml:space="preserve">["LP"] =  5; </v>
      </c>
      <c r="AW185" t="str">
        <f t="shared" si="132"/>
        <v>0</v>
      </c>
      <c r="AX185" t="str">
        <f t="shared" si="133"/>
        <v xml:space="preserve">["REP"] =     0; </v>
      </c>
      <c r="AY185">
        <f>IF(LEN(P185)&gt;0,VLOOKUP(P185,Faction!A$2:B$77,2,FALSE),1)</f>
        <v>1</v>
      </c>
      <c r="AZ185" t="str">
        <f t="shared" si="134"/>
        <v xml:space="preserve">["FACTION"] =  1; </v>
      </c>
      <c r="BA185" t="str">
        <f t="shared" si="113"/>
        <v xml:space="preserve">["TIER"] = 1; </v>
      </c>
      <c r="BB185" t="str">
        <f t="shared" si="135"/>
        <v xml:space="preserve">                     </v>
      </c>
      <c r="BC185" t="str">
        <f t="shared" si="136"/>
        <v xml:space="preserve">                  </v>
      </c>
      <c r="BD185" t="str">
        <f t="shared" si="137"/>
        <v xml:space="preserve">["NAME"] = { ["EN"] = "Frostbluff Flower-petals -- Tier 3"; }; </v>
      </c>
      <c r="BE185" t="str">
        <f t="shared" si="138"/>
        <v xml:space="preserve">["LORE"] = { ["EN"] = "Letting actors know how you feel is part of being a good audience member."; }; </v>
      </c>
      <c r="BF185" t="str">
        <f t="shared" si="139"/>
        <v xml:space="preserve">["SUMMARY"] = { ["EN"] = "Throw Flower-petals at Actors 25 times"; }; </v>
      </c>
      <c r="BG185" t="str">
        <f t="shared" si="140"/>
        <v/>
      </c>
      <c r="BH185" t="str">
        <f t="shared" si="141"/>
        <v/>
      </c>
      <c r="BI185" t="str">
        <f t="shared" si="142"/>
        <v/>
      </c>
      <c r="BJ185" t="str">
        <f t="shared" si="144"/>
        <v>};</v>
      </c>
    </row>
    <row r="186" spans="1:62" x14ac:dyDescent="0.25">
      <c r="A186">
        <v>1879200166</v>
      </c>
      <c r="B186">
        <v>151</v>
      </c>
      <c r="C186" t="s">
        <v>762</v>
      </c>
      <c r="D186" t="s">
        <v>24</v>
      </c>
      <c r="E186" t="s">
        <v>736</v>
      </c>
      <c r="M186" t="s">
        <v>764</v>
      </c>
      <c r="N186">
        <v>5</v>
      </c>
      <c r="Q186" t="s">
        <v>1657</v>
      </c>
      <c r="R186" t="s">
        <v>763</v>
      </c>
      <c r="S186">
        <v>2</v>
      </c>
      <c r="X186" t="str">
        <f t="shared" si="112"/>
        <v>[185] = {["ID"] = 1879200166; ["TIER"] = 2; }; -- Frostbluff Flower-petals -- Tier 2 (Yule Festival)</v>
      </c>
      <c r="Y186" s="1" t="str">
        <f t="shared" si="114"/>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3"/>
        <v>185</v>
      </c>
      <c r="AA186" t="str">
        <f t="shared" si="115"/>
        <v>[185] = {</v>
      </c>
      <c r="AB186" t="str">
        <f t="shared" si="116"/>
        <v xml:space="preserve">["ID"] = 1879200166; </v>
      </c>
      <c r="AC186" t="str">
        <f t="shared" si="117"/>
        <v xml:space="preserve">["ID"] = 1879200166; </v>
      </c>
      <c r="AD186" t="str">
        <f t="shared" si="118"/>
        <v/>
      </c>
      <c r="AE186" t="str">
        <f t="shared" si="119"/>
        <v xml:space="preserve"> (Yule Festival)</v>
      </c>
      <c r="AF186" s="1" t="str">
        <f t="shared" si="120"/>
        <v xml:space="preserve">["SAVE_INDEX"] = 151; </v>
      </c>
      <c r="AG186">
        <f>VLOOKUP(D186,Type!A$2:B$16,2,FALSE)</f>
        <v>12</v>
      </c>
      <c r="AH186" t="str">
        <f t="shared" si="121"/>
        <v xml:space="preserve">["TYPE"] = 12; </v>
      </c>
      <c r="AI186" t="str">
        <f t="shared" si="122"/>
        <v xml:space="preserve">                      </v>
      </c>
      <c r="AJ186" t="str">
        <f>IF(AND(F186="Class",NOT(ISBLANK(E186))),VLOOKUP(E186,Class!A$1:B$12,2,FALSE),"")</f>
        <v/>
      </c>
      <c r="AK186" t="str">
        <f>IF(AND(F186="Vocation",NOT(ISBLANK(E186))),VLOOKUP(E186,Vocation!A$1:B$8,2,FALSE),"")</f>
        <v/>
      </c>
      <c r="AL186" t="str">
        <f>IF(AND(F186="Race",NOT(ISBLANK(E186))),VLOOKUP(E186,Race!A$1:B$9,2,),"")</f>
        <v/>
      </c>
      <c r="AM186" t="str">
        <f t="shared" si="123"/>
        <v xml:space="preserve">  0</v>
      </c>
      <c r="AN186" t="str">
        <f t="shared" si="124"/>
        <v xml:space="preserve">["SUBTYPE"] =   0; </v>
      </c>
      <c r="AO186" t="str">
        <f>IF(NOT(ISBLANK(G186)),VLOOKUP(G186,Type!D$2:E$6,2,FALSE),"")</f>
        <v/>
      </c>
      <c r="AP186" t="str">
        <f t="shared" si="125"/>
        <v xml:space="preserve">            </v>
      </c>
      <c r="AQ186" t="str">
        <f t="shared" si="126"/>
        <v xml:space="preserve">                      </v>
      </c>
      <c r="AR186" t="str">
        <f t="shared" si="127"/>
        <v/>
      </c>
      <c r="AS186" t="str">
        <f t="shared" si="128"/>
        <v>0</v>
      </c>
      <c r="AT186" t="str">
        <f t="shared" si="129"/>
        <v xml:space="preserve">["VXP"] =    0; </v>
      </c>
      <c r="AU186" t="str">
        <f t="shared" si="130"/>
        <v>5</v>
      </c>
      <c r="AV186" t="str">
        <f t="shared" si="131"/>
        <v xml:space="preserve">["LP"] =  5; </v>
      </c>
      <c r="AW186" t="str">
        <f t="shared" si="132"/>
        <v>0</v>
      </c>
      <c r="AX186" t="str">
        <f t="shared" si="133"/>
        <v xml:space="preserve">["REP"] =     0; </v>
      </c>
      <c r="AY186">
        <f>IF(LEN(P186)&gt;0,VLOOKUP(P186,Faction!A$2:B$77,2,FALSE),1)</f>
        <v>1</v>
      </c>
      <c r="AZ186" t="str">
        <f t="shared" si="134"/>
        <v xml:space="preserve">["FACTION"] =  1; </v>
      </c>
      <c r="BA186" t="str">
        <f t="shared" si="113"/>
        <v xml:space="preserve">["TIER"] = 2; </v>
      </c>
      <c r="BB186" t="str">
        <f t="shared" si="135"/>
        <v xml:space="preserve">                     </v>
      </c>
      <c r="BC186" t="str">
        <f t="shared" si="136"/>
        <v xml:space="preserve">                  </v>
      </c>
      <c r="BD186" t="str">
        <f t="shared" si="137"/>
        <v xml:space="preserve">["NAME"] = { ["EN"] = "Frostbluff Flower-petals -- Tier 2"; }; </v>
      </c>
      <c r="BE186" t="str">
        <f t="shared" si="138"/>
        <v xml:space="preserve">["LORE"] = { ["EN"] = "Letting actors know how you feel is part of being a good audience member."; }; </v>
      </c>
      <c r="BF186" t="str">
        <f t="shared" si="139"/>
        <v xml:space="preserve">["SUMMARY"] = { ["EN"] = "Throw Flower-petals at Actors 10 times"; }; </v>
      </c>
      <c r="BG186" t="str">
        <f t="shared" si="140"/>
        <v xml:space="preserve">["TITLE"] = { ["EN"] = "Petal Pusher"; }; </v>
      </c>
      <c r="BH186" t="str">
        <f t="shared" si="141"/>
        <v/>
      </c>
      <c r="BI186" t="str">
        <f t="shared" si="142"/>
        <v/>
      </c>
      <c r="BJ186" t="str">
        <f t="shared" si="144"/>
        <v>};</v>
      </c>
    </row>
    <row r="187" spans="1:62" x14ac:dyDescent="0.25">
      <c r="A187">
        <v>1879200165</v>
      </c>
      <c r="B187">
        <v>152</v>
      </c>
      <c r="C187" t="s">
        <v>761</v>
      </c>
      <c r="D187" t="s">
        <v>24</v>
      </c>
      <c r="E187" t="s">
        <v>736</v>
      </c>
      <c r="N187">
        <v>5</v>
      </c>
      <c r="Q187" t="s">
        <v>1656</v>
      </c>
      <c r="R187" t="s">
        <v>763</v>
      </c>
      <c r="S187">
        <v>3</v>
      </c>
      <c r="X187" t="str">
        <f t="shared" si="112"/>
        <v>[186] = {["ID"] = 1879200165; ["TIER"] = 3; }; -- Frostbluff Flower-petals -- Tier 1 (Yule Festival)</v>
      </c>
      <c r="Y187" s="1" t="str">
        <f t="shared" si="114"/>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3"/>
        <v>186</v>
      </c>
      <c r="AA187" t="str">
        <f t="shared" si="115"/>
        <v>[186] = {</v>
      </c>
      <c r="AB187" t="str">
        <f t="shared" si="116"/>
        <v xml:space="preserve">["ID"] = 1879200165; </v>
      </c>
      <c r="AC187" t="str">
        <f t="shared" si="117"/>
        <v xml:space="preserve">["ID"] = 1879200165; </v>
      </c>
      <c r="AD187" t="str">
        <f t="shared" si="118"/>
        <v/>
      </c>
      <c r="AE187" t="str">
        <f t="shared" si="119"/>
        <v xml:space="preserve"> (Yule Festival)</v>
      </c>
      <c r="AF187" s="1" t="str">
        <f t="shared" si="120"/>
        <v xml:space="preserve">["SAVE_INDEX"] = 152; </v>
      </c>
      <c r="AG187">
        <f>VLOOKUP(D187,Type!A$2:B$16,2,FALSE)</f>
        <v>12</v>
      </c>
      <c r="AH187" t="str">
        <f t="shared" si="121"/>
        <v xml:space="preserve">["TYPE"] = 12; </v>
      </c>
      <c r="AI187" t="str">
        <f t="shared" si="122"/>
        <v xml:space="preserve">                      </v>
      </c>
      <c r="AJ187" t="str">
        <f>IF(AND(F187="Class",NOT(ISBLANK(E187))),VLOOKUP(E187,Class!A$1:B$12,2,FALSE),"")</f>
        <v/>
      </c>
      <c r="AK187" t="str">
        <f>IF(AND(F187="Vocation",NOT(ISBLANK(E187))),VLOOKUP(E187,Vocation!A$1:B$8,2,FALSE),"")</f>
        <v/>
      </c>
      <c r="AL187" t="str">
        <f>IF(AND(F187="Race",NOT(ISBLANK(E187))),VLOOKUP(E187,Race!A$1:B$9,2,),"")</f>
        <v/>
      </c>
      <c r="AM187" t="str">
        <f t="shared" si="123"/>
        <v xml:space="preserve">  0</v>
      </c>
      <c r="AN187" t="str">
        <f t="shared" si="124"/>
        <v xml:space="preserve">["SUBTYPE"] =   0; </v>
      </c>
      <c r="AO187" t="str">
        <f>IF(NOT(ISBLANK(G187)),VLOOKUP(G187,Type!D$2:E$6,2,FALSE),"")</f>
        <v/>
      </c>
      <c r="AP187" t="str">
        <f t="shared" si="125"/>
        <v xml:space="preserve">            </v>
      </c>
      <c r="AQ187" t="str">
        <f t="shared" si="126"/>
        <v xml:space="preserve">                      </v>
      </c>
      <c r="AR187" t="str">
        <f t="shared" si="127"/>
        <v/>
      </c>
      <c r="AS187" t="str">
        <f t="shared" si="128"/>
        <v>0</v>
      </c>
      <c r="AT187" t="str">
        <f t="shared" si="129"/>
        <v xml:space="preserve">["VXP"] =    0; </v>
      </c>
      <c r="AU187" t="str">
        <f t="shared" si="130"/>
        <v>5</v>
      </c>
      <c r="AV187" t="str">
        <f t="shared" si="131"/>
        <v xml:space="preserve">["LP"] =  5; </v>
      </c>
      <c r="AW187" t="str">
        <f t="shared" si="132"/>
        <v>0</v>
      </c>
      <c r="AX187" t="str">
        <f t="shared" si="133"/>
        <v xml:space="preserve">["REP"] =     0; </v>
      </c>
      <c r="AY187">
        <f>IF(LEN(P187)&gt;0,VLOOKUP(P187,Faction!A$2:B$77,2,FALSE),1)</f>
        <v>1</v>
      </c>
      <c r="AZ187" t="str">
        <f t="shared" si="134"/>
        <v xml:space="preserve">["FACTION"] =  1; </v>
      </c>
      <c r="BA187" t="str">
        <f t="shared" si="113"/>
        <v xml:space="preserve">["TIER"] = 3; </v>
      </c>
      <c r="BB187" t="str">
        <f t="shared" si="135"/>
        <v xml:space="preserve">                     </v>
      </c>
      <c r="BC187" t="str">
        <f t="shared" si="136"/>
        <v xml:space="preserve">                  </v>
      </c>
      <c r="BD187" t="str">
        <f t="shared" si="137"/>
        <v xml:space="preserve">["NAME"] = { ["EN"] = "Frostbluff Flower-petals -- Tier 1"; }; </v>
      </c>
      <c r="BE187" t="str">
        <f t="shared" si="138"/>
        <v xml:space="preserve">["LORE"] = { ["EN"] = "Letting actors know how you feel is part of being a good audience member."; }; </v>
      </c>
      <c r="BF187" t="str">
        <f t="shared" si="139"/>
        <v xml:space="preserve">["SUMMARY"] = { ["EN"] = "Throw Flower-petals at Actors 5 times"; }; </v>
      </c>
      <c r="BG187" t="str">
        <f t="shared" si="140"/>
        <v/>
      </c>
      <c r="BH187" t="str">
        <f t="shared" si="141"/>
        <v/>
      </c>
      <c r="BI187" t="str">
        <f t="shared" si="142"/>
        <v/>
      </c>
      <c r="BJ187" t="str">
        <f t="shared" si="144"/>
        <v>};</v>
      </c>
    </row>
    <row r="188" spans="1:62" x14ac:dyDescent="0.25">
      <c r="A188">
        <v>1879200163</v>
      </c>
      <c r="B188">
        <v>153</v>
      </c>
      <c r="C188" t="s">
        <v>760</v>
      </c>
      <c r="D188" t="s">
        <v>24</v>
      </c>
      <c r="E188" t="s">
        <v>736</v>
      </c>
      <c r="N188">
        <v>5</v>
      </c>
      <c r="Q188" t="s">
        <v>3376</v>
      </c>
      <c r="R188" t="s">
        <v>763</v>
      </c>
      <c r="S188">
        <v>1</v>
      </c>
      <c r="X188" t="str">
        <f t="shared" si="112"/>
        <v>[187] = {["ID"] = 1879200163; ["TIER"] = 1; }; -- Frostbluff Rotten Fruit -- Tier 3 (Yule Festival)</v>
      </c>
      <c r="Y188" s="1" t="str">
        <f t="shared" si="114"/>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3"/>
        <v>187</v>
      </c>
      <c r="AA188" t="str">
        <f t="shared" si="115"/>
        <v>[187] = {</v>
      </c>
      <c r="AB188" t="str">
        <f t="shared" si="116"/>
        <v xml:space="preserve">["ID"] = 1879200163; </v>
      </c>
      <c r="AC188" t="str">
        <f t="shared" si="117"/>
        <v xml:space="preserve">["ID"] = 1879200163; </v>
      </c>
      <c r="AD188" t="str">
        <f t="shared" si="118"/>
        <v/>
      </c>
      <c r="AE188" t="str">
        <f t="shared" si="119"/>
        <v xml:space="preserve"> (Yule Festival)</v>
      </c>
      <c r="AF188" s="1" t="str">
        <f t="shared" si="120"/>
        <v xml:space="preserve">["SAVE_INDEX"] = 153; </v>
      </c>
      <c r="AG188">
        <f>VLOOKUP(D188,Type!A$2:B$16,2,FALSE)</f>
        <v>12</v>
      </c>
      <c r="AH188" t="str">
        <f t="shared" si="121"/>
        <v xml:space="preserve">["TYPE"] = 12; </v>
      </c>
      <c r="AI188" t="str">
        <f t="shared" si="122"/>
        <v xml:space="preserve">                      </v>
      </c>
      <c r="AJ188" t="str">
        <f>IF(AND(F188="Class",NOT(ISBLANK(E188))),VLOOKUP(E188,Class!A$1:B$12,2,FALSE),"")</f>
        <v/>
      </c>
      <c r="AK188" t="str">
        <f>IF(AND(F188="Vocation",NOT(ISBLANK(E188))),VLOOKUP(E188,Vocation!A$1:B$8,2,FALSE),"")</f>
        <v/>
      </c>
      <c r="AL188" t="str">
        <f>IF(AND(F188="Race",NOT(ISBLANK(E188))),VLOOKUP(E188,Race!A$1:B$9,2,),"")</f>
        <v/>
      </c>
      <c r="AM188" t="str">
        <f t="shared" si="123"/>
        <v xml:space="preserve">  0</v>
      </c>
      <c r="AN188" t="str">
        <f t="shared" si="124"/>
        <v xml:space="preserve">["SUBTYPE"] =   0; </v>
      </c>
      <c r="AO188" t="str">
        <f>IF(NOT(ISBLANK(G188)),VLOOKUP(G188,Type!D$2:E$6,2,FALSE),"")</f>
        <v/>
      </c>
      <c r="AP188" t="str">
        <f t="shared" si="125"/>
        <v xml:space="preserve">            </v>
      </c>
      <c r="AQ188" t="str">
        <f t="shared" si="126"/>
        <v xml:space="preserve">                      </v>
      </c>
      <c r="AR188" t="str">
        <f t="shared" si="127"/>
        <v/>
      </c>
      <c r="AS188" t="str">
        <f t="shared" si="128"/>
        <v>0</v>
      </c>
      <c r="AT188" t="str">
        <f t="shared" si="129"/>
        <v xml:space="preserve">["VXP"] =    0; </v>
      </c>
      <c r="AU188" t="str">
        <f t="shared" si="130"/>
        <v>5</v>
      </c>
      <c r="AV188" t="str">
        <f t="shared" si="131"/>
        <v xml:space="preserve">["LP"] =  5; </v>
      </c>
      <c r="AW188" t="str">
        <f t="shared" si="132"/>
        <v>0</v>
      </c>
      <c r="AX188" t="str">
        <f t="shared" si="133"/>
        <v xml:space="preserve">["REP"] =     0; </v>
      </c>
      <c r="AY188">
        <f>IF(LEN(P188)&gt;0,VLOOKUP(P188,Faction!A$2:B$77,2,FALSE),1)</f>
        <v>1</v>
      </c>
      <c r="AZ188" t="str">
        <f t="shared" si="134"/>
        <v xml:space="preserve">["FACTION"] =  1; </v>
      </c>
      <c r="BA188" t="str">
        <f t="shared" si="113"/>
        <v xml:space="preserve">["TIER"] = 1; </v>
      </c>
      <c r="BB188" t="str">
        <f t="shared" si="135"/>
        <v xml:space="preserve">                     </v>
      </c>
      <c r="BC188" t="str">
        <f t="shared" si="136"/>
        <v xml:space="preserve">                  </v>
      </c>
      <c r="BD188" t="str">
        <f t="shared" si="137"/>
        <v xml:space="preserve">["NAME"] = { ["EN"] = "Frostbluff Rotten Fruit -- Tier 3"; }; </v>
      </c>
      <c r="BE188" t="str">
        <f t="shared" si="138"/>
        <v xml:space="preserve">["LORE"] = { ["EN"] = "Letting actors know how you feel is part of being a good audience member."; }; </v>
      </c>
      <c r="BF188" t="str">
        <f t="shared" si="139"/>
        <v xml:space="preserve">["SUMMARY"] = { ["EN"] = "Throw Rotten Fruit at Actors 25 times"; }; </v>
      </c>
      <c r="BG188" t="str">
        <f t="shared" si="140"/>
        <v/>
      </c>
      <c r="BH188" t="str">
        <f t="shared" si="141"/>
        <v/>
      </c>
      <c r="BI188" t="str">
        <f t="shared" si="142"/>
        <v/>
      </c>
      <c r="BJ188" t="str">
        <f t="shared" si="144"/>
        <v>};</v>
      </c>
    </row>
    <row r="189" spans="1:62" x14ac:dyDescent="0.25">
      <c r="A189">
        <v>1879200162</v>
      </c>
      <c r="B189">
        <v>154</v>
      </c>
      <c r="C189" t="s">
        <v>766</v>
      </c>
      <c r="D189" t="s">
        <v>24</v>
      </c>
      <c r="E189" t="s">
        <v>736</v>
      </c>
      <c r="M189" t="s">
        <v>767</v>
      </c>
      <c r="N189">
        <v>5</v>
      </c>
      <c r="Q189" t="s">
        <v>1659</v>
      </c>
      <c r="R189" t="s">
        <v>763</v>
      </c>
      <c r="S189">
        <v>2</v>
      </c>
      <c r="X189" t="str">
        <f t="shared" si="112"/>
        <v>[188] = {["ID"] = 1879200162; ["TIER"] = 2; }; -- Frostbluff Rotten Fruit -- Tier 2 (Yule Festival)</v>
      </c>
      <c r="Y189" s="1" t="str">
        <f t="shared" si="114"/>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3"/>
        <v>188</v>
      </c>
      <c r="AA189" t="str">
        <f t="shared" si="115"/>
        <v>[188] = {</v>
      </c>
      <c r="AB189" t="str">
        <f t="shared" si="116"/>
        <v xml:space="preserve">["ID"] = 1879200162; </v>
      </c>
      <c r="AC189" t="str">
        <f t="shared" si="117"/>
        <v xml:space="preserve">["ID"] = 1879200162; </v>
      </c>
      <c r="AD189" t="str">
        <f t="shared" si="118"/>
        <v/>
      </c>
      <c r="AE189" t="str">
        <f t="shared" si="119"/>
        <v xml:space="preserve"> (Yule Festival)</v>
      </c>
      <c r="AF189" s="1" t="str">
        <f t="shared" si="120"/>
        <v xml:space="preserve">["SAVE_INDEX"] = 154; </v>
      </c>
      <c r="AG189">
        <f>VLOOKUP(D189,Type!A$2:B$16,2,FALSE)</f>
        <v>12</v>
      </c>
      <c r="AH189" t="str">
        <f t="shared" si="121"/>
        <v xml:space="preserve">["TYPE"] = 12; </v>
      </c>
      <c r="AI189" t="str">
        <f t="shared" si="122"/>
        <v xml:space="preserve">                      </v>
      </c>
      <c r="AJ189" t="str">
        <f>IF(AND(F189="Class",NOT(ISBLANK(E189))),VLOOKUP(E189,Class!A$1:B$12,2,FALSE),"")</f>
        <v/>
      </c>
      <c r="AK189" t="str">
        <f>IF(AND(F189="Vocation",NOT(ISBLANK(E189))),VLOOKUP(E189,Vocation!A$1:B$8,2,FALSE),"")</f>
        <v/>
      </c>
      <c r="AL189" t="str">
        <f>IF(AND(F189="Race",NOT(ISBLANK(E189))),VLOOKUP(E189,Race!A$1:B$9,2,),"")</f>
        <v/>
      </c>
      <c r="AM189" t="str">
        <f t="shared" si="123"/>
        <v xml:space="preserve">  0</v>
      </c>
      <c r="AN189" t="str">
        <f t="shared" si="124"/>
        <v xml:space="preserve">["SUBTYPE"] =   0; </v>
      </c>
      <c r="AO189" t="str">
        <f>IF(NOT(ISBLANK(G189)),VLOOKUP(G189,Type!D$2:E$6,2,FALSE),"")</f>
        <v/>
      </c>
      <c r="AP189" t="str">
        <f t="shared" si="125"/>
        <v xml:space="preserve">            </v>
      </c>
      <c r="AQ189" t="str">
        <f t="shared" si="126"/>
        <v xml:space="preserve">                      </v>
      </c>
      <c r="AR189" t="str">
        <f t="shared" si="127"/>
        <v/>
      </c>
      <c r="AS189" t="str">
        <f t="shared" si="128"/>
        <v>0</v>
      </c>
      <c r="AT189" t="str">
        <f t="shared" si="129"/>
        <v xml:space="preserve">["VXP"] =    0; </v>
      </c>
      <c r="AU189" t="str">
        <f t="shared" si="130"/>
        <v>5</v>
      </c>
      <c r="AV189" t="str">
        <f t="shared" si="131"/>
        <v xml:space="preserve">["LP"] =  5; </v>
      </c>
      <c r="AW189" t="str">
        <f t="shared" si="132"/>
        <v>0</v>
      </c>
      <c r="AX189" t="str">
        <f t="shared" si="133"/>
        <v xml:space="preserve">["REP"] =     0; </v>
      </c>
      <c r="AY189">
        <f>IF(LEN(P189)&gt;0,VLOOKUP(P189,Faction!A$2:B$77,2,FALSE),1)</f>
        <v>1</v>
      </c>
      <c r="AZ189" t="str">
        <f t="shared" si="134"/>
        <v xml:space="preserve">["FACTION"] =  1; </v>
      </c>
      <c r="BA189" t="str">
        <f t="shared" si="113"/>
        <v xml:space="preserve">["TIER"] = 2; </v>
      </c>
      <c r="BB189" t="str">
        <f t="shared" si="135"/>
        <v xml:space="preserve">                     </v>
      </c>
      <c r="BC189" t="str">
        <f t="shared" si="136"/>
        <v xml:space="preserve">                  </v>
      </c>
      <c r="BD189" t="str">
        <f t="shared" si="137"/>
        <v xml:space="preserve">["NAME"] = { ["EN"] = "Frostbluff Rotten Fruit -- Tier 2"; }; </v>
      </c>
      <c r="BE189" t="str">
        <f t="shared" si="138"/>
        <v xml:space="preserve">["LORE"] = { ["EN"] = "Letting actors know how you feel is part of being a good audience member."; }; </v>
      </c>
      <c r="BF189" t="str">
        <f t="shared" si="139"/>
        <v xml:space="preserve">["SUMMARY"] = { ["EN"] = "Throw Rotten Fruit at Actors 10 times"; }; </v>
      </c>
      <c r="BG189" t="str">
        <f t="shared" si="140"/>
        <v xml:space="preserve">["TITLE"] = { ["EN"] = "Fruit Hucker"; }; </v>
      </c>
      <c r="BH189" t="str">
        <f t="shared" si="141"/>
        <v/>
      </c>
      <c r="BI189" t="str">
        <f t="shared" si="142"/>
        <v/>
      </c>
      <c r="BJ189" t="str">
        <f t="shared" si="144"/>
        <v>};</v>
      </c>
    </row>
    <row r="190" spans="1:62" x14ac:dyDescent="0.25">
      <c r="A190">
        <v>1879200161</v>
      </c>
      <c r="B190">
        <v>155</v>
      </c>
      <c r="C190" t="s">
        <v>765</v>
      </c>
      <c r="D190" t="s">
        <v>24</v>
      </c>
      <c r="E190" t="s">
        <v>736</v>
      </c>
      <c r="N190">
        <v>5</v>
      </c>
      <c r="Q190" t="s">
        <v>1658</v>
      </c>
      <c r="R190" t="s">
        <v>763</v>
      </c>
      <c r="S190">
        <v>3</v>
      </c>
      <c r="X190" t="str">
        <f t="shared" si="112"/>
        <v>[189] = {["ID"] = 1879200161; ["TIER"] = 3; }; -- Frostbluff Rotten Fruit -- Tier 1 (Yule Festival)</v>
      </c>
      <c r="Y190" s="1" t="str">
        <f t="shared" si="114"/>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3"/>
        <v>189</v>
      </c>
      <c r="AA190" t="str">
        <f t="shared" si="115"/>
        <v>[189] = {</v>
      </c>
      <c r="AB190" t="str">
        <f t="shared" si="116"/>
        <v xml:space="preserve">["ID"] = 1879200161; </v>
      </c>
      <c r="AC190" t="str">
        <f t="shared" si="117"/>
        <v xml:space="preserve">["ID"] = 1879200161; </v>
      </c>
      <c r="AD190" t="str">
        <f t="shared" si="118"/>
        <v/>
      </c>
      <c r="AE190" t="str">
        <f t="shared" si="119"/>
        <v xml:space="preserve"> (Yule Festival)</v>
      </c>
      <c r="AF190" s="1" t="str">
        <f t="shared" si="120"/>
        <v xml:space="preserve">["SAVE_INDEX"] = 155; </v>
      </c>
      <c r="AG190">
        <f>VLOOKUP(D190,Type!A$2:B$16,2,FALSE)</f>
        <v>12</v>
      </c>
      <c r="AH190" t="str">
        <f t="shared" si="121"/>
        <v xml:space="preserve">["TYPE"] = 12; </v>
      </c>
      <c r="AI190" t="str">
        <f t="shared" si="122"/>
        <v xml:space="preserve">                      </v>
      </c>
      <c r="AJ190" t="str">
        <f>IF(AND(F190="Class",NOT(ISBLANK(E190))),VLOOKUP(E190,Class!A$1:B$12,2,FALSE),"")</f>
        <v/>
      </c>
      <c r="AK190" t="str">
        <f>IF(AND(F190="Vocation",NOT(ISBLANK(E190))),VLOOKUP(E190,Vocation!A$1:B$8,2,FALSE),"")</f>
        <v/>
      </c>
      <c r="AL190" t="str">
        <f>IF(AND(F190="Race",NOT(ISBLANK(E190))),VLOOKUP(E190,Race!A$1:B$9,2,),"")</f>
        <v/>
      </c>
      <c r="AM190" t="str">
        <f t="shared" si="123"/>
        <v xml:space="preserve">  0</v>
      </c>
      <c r="AN190" t="str">
        <f t="shared" si="124"/>
        <v xml:space="preserve">["SUBTYPE"] =   0; </v>
      </c>
      <c r="AO190" t="str">
        <f>IF(NOT(ISBLANK(G190)),VLOOKUP(G190,Type!D$2:E$6,2,FALSE),"")</f>
        <v/>
      </c>
      <c r="AP190" t="str">
        <f t="shared" si="125"/>
        <v xml:space="preserve">            </v>
      </c>
      <c r="AQ190" t="str">
        <f t="shared" si="126"/>
        <v xml:space="preserve">                      </v>
      </c>
      <c r="AR190" t="str">
        <f t="shared" si="127"/>
        <v/>
      </c>
      <c r="AS190" t="str">
        <f t="shared" si="128"/>
        <v>0</v>
      </c>
      <c r="AT190" t="str">
        <f t="shared" si="129"/>
        <v xml:space="preserve">["VXP"] =    0; </v>
      </c>
      <c r="AU190" t="str">
        <f t="shared" si="130"/>
        <v>5</v>
      </c>
      <c r="AV190" t="str">
        <f t="shared" si="131"/>
        <v xml:space="preserve">["LP"] =  5; </v>
      </c>
      <c r="AW190" t="str">
        <f t="shared" si="132"/>
        <v>0</v>
      </c>
      <c r="AX190" t="str">
        <f t="shared" si="133"/>
        <v xml:space="preserve">["REP"] =     0; </v>
      </c>
      <c r="AY190">
        <f>IF(LEN(P190)&gt;0,VLOOKUP(P190,Faction!A$2:B$77,2,FALSE),1)</f>
        <v>1</v>
      </c>
      <c r="AZ190" t="str">
        <f t="shared" si="134"/>
        <v xml:space="preserve">["FACTION"] =  1; </v>
      </c>
      <c r="BA190" t="str">
        <f t="shared" si="113"/>
        <v xml:space="preserve">["TIER"] = 3; </v>
      </c>
      <c r="BB190" t="str">
        <f t="shared" si="135"/>
        <v xml:space="preserve">                     </v>
      </c>
      <c r="BC190" t="str">
        <f t="shared" si="136"/>
        <v xml:space="preserve">                  </v>
      </c>
      <c r="BD190" t="str">
        <f t="shared" si="137"/>
        <v xml:space="preserve">["NAME"] = { ["EN"] = "Frostbluff Rotten Fruit -- Tier 1"; }; </v>
      </c>
      <c r="BE190" t="str">
        <f t="shared" si="138"/>
        <v xml:space="preserve">["LORE"] = { ["EN"] = "Letting actors know how you feel is part of being a good audience member."; }; </v>
      </c>
      <c r="BF190" t="str">
        <f t="shared" si="139"/>
        <v xml:space="preserve">["SUMMARY"] = { ["EN"] = "Throw Rotten Fruit at Actors 5 times"; }; </v>
      </c>
      <c r="BG190" t="str">
        <f t="shared" si="140"/>
        <v/>
      </c>
      <c r="BH190" t="str">
        <f t="shared" si="141"/>
        <v/>
      </c>
      <c r="BI190" t="str">
        <f t="shared" si="142"/>
        <v/>
      </c>
      <c r="BJ190" t="str">
        <f t="shared" si="144"/>
        <v>};</v>
      </c>
    </row>
    <row r="191" spans="1:62" x14ac:dyDescent="0.25">
      <c r="A191">
        <v>1879199421</v>
      </c>
      <c r="B191">
        <v>157</v>
      </c>
      <c r="C191" t="s">
        <v>770</v>
      </c>
      <c r="D191" t="s">
        <v>24</v>
      </c>
      <c r="E191" t="s">
        <v>736</v>
      </c>
      <c r="M191" t="s">
        <v>771</v>
      </c>
      <c r="Q191" t="s">
        <v>773</v>
      </c>
      <c r="R191" t="s">
        <v>772</v>
      </c>
      <c r="S191">
        <v>0</v>
      </c>
      <c r="X191" t="str">
        <f t="shared" si="112"/>
        <v>[190] = {["ID"] = 1879199421; }; -- Raining Snowballs (Yule Festival)</v>
      </c>
      <c r="Y191" s="1" t="str">
        <f t="shared" si="114"/>
        <v>[190] = {["ID"] = 1879199421; ["SAVE_INDEX"] = 157; ["TYPE"] = 12;                       ["SUBTYPE"] =   0;                                   ["VXP"] =    0; ["LP"] =  0; ["REP"] =     0; ["FACTION"] =  1;                                        ["NAME"] = { ["EN"] = "Raining Snowballs"; }; ["LORE"] = { ["EN"] = "Win the snowball-fight many times."; }; ["SUMMARY"] = { ["EN"] = "Win the snowball-fight (Easy) 8 times and the snowball-fight (Hard) 3 times"; }; ["TITLE"] = { ["EN"] = "Snow-beast"; }; };</v>
      </c>
      <c r="Z191">
        <f t="shared" si="143"/>
        <v>190</v>
      </c>
      <c r="AA191" t="str">
        <f t="shared" si="115"/>
        <v>[190] = {</v>
      </c>
      <c r="AB191" t="str">
        <f t="shared" si="116"/>
        <v xml:space="preserve">["ID"] = 1879199421; </v>
      </c>
      <c r="AC191" t="str">
        <f t="shared" si="117"/>
        <v xml:space="preserve">["ID"] = 1879199421; </v>
      </c>
      <c r="AD191" t="str">
        <f t="shared" si="118"/>
        <v/>
      </c>
      <c r="AE191" t="str">
        <f t="shared" si="119"/>
        <v xml:space="preserve"> (Yule Festival)</v>
      </c>
      <c r="AF191" s="1" t="str">
        <f t="shared" si="120"/>
        <v xml:space="preserve">["SAVE_INDEX"] = 157; </v>
      </c>
      <c r="AG191">
        <f>VLOOKUP(D191,Type!A$2:B$16,2,FALSE)</f>
        <v>12</v>
      </c>
      <c r="AH191" t="str">
        <f t="shared" si="121"/>
        <v xml:space="preserve">["TYPE"] = 12; </v>
      </c>
      <c r="AI191" t="str">
        <f t="shared" si="122"/>
        <v xml:space="preserve">                      </v>
      </c>
      <c r="AJ191" t="str">
        <f>IF(AND(F191="Class",NOT(ISBLANK(E191))),VLOOKUP(E191,Class!A$1:B$12,2,FALSE),"")</f>
        <v/>
      </c>
      <c r="AK191" t="str">
        <f>IF(AND(F191="Vocation",NOT(ISBLANK(E191))),VLOOKUP(E191,Vocation!A$1:B$8,2,FALSE),"")</f>
        <v/>
      </c>
      <c r="AL191" t="str">
        <f>IF(AND(F191="Race",NOT(ISBLANK(E191))),VLOOKUP(E191,Race!A$1:B$9,2,),"")</f>
        <v/>
      </c>
      <c r="AM191" t="str">
        <f t="shared" si="123"/>
        <v xml:space="preserve">  0</v>
      </c>
      <c r="AN191" t="str">
        <f t="shared" si="124"/>
        <v xml:space="preserve">["SUBTYPE"] =   0; </v>
      </c>
      <c r="AO191" t="str">
        <f>IF(NOT(ISBLANK(G191)),VLOOKUP(G191,Type!D$2:E$6,2,FALSE),"")</f>
        <v/>
      </c>
      <c r="AP191" t="str">
        <f t="shared" si="125"/>
        <v xml:space="preserve">            </v>
      </c>
      <c r="AQ191" t="str">
        <f t="shared" si="126"/>
        <v xml:space="preserve">                      </v>
      </c>
      <c r="AR191" t="str">
        <f t="shared" si="127"/>
        <v/>
      </c>
      <c r="AS191" t="str">
        <f t="shared" si="128"/>
        <v>0</v>
      </c>
      <c r="AT191" t="str">
        <f t="shared" si="129"/>
        <v xml:space="preserve">["VXP"] =    0; </v>
      </c>
      <c r="AU191" t="str">
        <f t="shared" si="130"/>
        <v>0</v>
      </c>
      <c r="AV191" t="str">
        <f t="shared" si="131"/>
        <v xml:space="preserve">["LP"] =  0; </v>
      </c>
      <c r="AW191" t="str">
        <f t="shared" si="132"/>
        <v>0</v>
      </c>
      <c r="AX191" t="str">
        <f t="shared" si="133"/>
        <v xml:space="preserve">["REP"] =     0; </v>
      </c>
      <c r="AY191">
        <f>IF(LEN(P191)&gt;0,VLOOKUP(P191,Faction!A$2:B$77,2,FALSE),1)</f>
        <v>1</v>
      </c>
      <c r="AZ191" t="str">
        <f t="shared" si="134"/>
        <v xml:space="preserve">["FACTION"] =  1; </v>
      </c>
      <c r="BA191" t="str">
        <f t="shared" si="113"/>
        <v/>
      </c>
      <c r="BB191" t="str">
        <f t="shared" si="135"/>
        <v xml:space="preserve">                     </v>
      </c>
      <c r="BC191" t="str">
        <f t="shared" si="136"/>
        <v xml:space="preserve">                  </v>
      </c>
      <c r="BD191" t="str">
        <f t="shared" si="137"/>
        <v xml:space="preserve">["NAME"] = { ["EN"] = "Raining Snowballs"; }; </v>
      </c>
      <c r="BE191" t="str">
        <f t="shared" si="138"/>
        <v xml:space="preserve">["LORE"] = { ["EN"] = "Win the snowball-fight many times."; }; </v>
      </c>
      <c r="BF191" t="str">
        <f t="shared" si="139"/>
        <v xml:space="preserve">["SUMMARY"] = { ["EN"] = "Win the snowball-fight (Easy) 8 times and the snowball-fight (Hard) 3 times"; }; </v>
      </c>
      <c r="BG191" t="str">
        <f t="shared" si="140"/>
        <v xml:space="preserve">["TITLE"] = { ["EN"] = "Snow-beast"; }; </v>
      </c>
      <c r="BH191" t="str">
        <f t="shared" si="141"/>
        <v/>
      </c>
      <c r="BI191" t="str">
        <f t="shared" si="142"/>
        <v/>
      </c>
      <c r="BJ191" t="str">
        <f t="shared" si="144"/>
        <v>};</v>
      </c>
    </row>
    <row r="192" spans="1:62" x14ac:dyDescent="0.25">
      <c r="A192">
        <v>1879199980</v>
      </c>
      <c r="B192">
        <v>158</v>
      </c>
      <c r="C192" t="s">
        <v>774</v>
      </c>
      <c r="D192" t="s">
        <v>24</v>
      </c>
      <c r="E192" t="s">
        <v>736</v>
      </c>
      <c r="M192" t="s">
        <v>775</v>
      </c>
      <c r="Q192" t="s">
        <v>777</v>
      </c>
      <c r="R192" t="s">
        <v>776</v>
      </c>
      <c r="S192">
        <v>0</v>
      </c>
      <c r="X192" t="str">
        <f t="shared" si="112"/>
        <v>[191] = {["ID"] = 1879199980; }; -- Such Generosity! (Yule Festival)</v>
      </c>
      <c r="Y192" s="1" t="str">
        <f t="shared" si="114"/>
        <v>[191]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2">
        <f t="shared" si="143"/>
        <v>191</v>
      </c>
      <c r="AA192" t="str">
        <f t="shared" si="115"/>
        <v>[191] = {</v>
      </c>
      <c r="AB192" t="str">
        <f t="shared" si="116"/>
        <v xml:space="preserve">["ID"] = 1879199980; </v>
      </c>
      <c r="AC192" t="str">
        <f t="shared" si="117"/>
        <v xml:space="preserve">["ID"] = 1879199980; </v>
      </c>
      <c r="AD192" t="str">
        <f t="shared" si="118"/>
        <v/>
      </c>
      <c r="AE192" t="str">
        <f t="shared" si="119"/>
        <v xml:space="preserve"> (Yule Festival)</v>
      </c>
      <c r="AF192" s="1" t="str">
        <f t="shared" si="120"/>
        <v xml:space="preserve">["SAVE_INDEX"] = 158; </v>
      </c>
      <c r="AG192">
        <f>VLOOKUP(D192,Type!A$2:B$16,2,FALSE)</f>
        <v>12</v>
      </c>
      <c r="AH192" t="str">
        <f t="shared" si="121"/>
        <v xml:space="preserve">["TYPE"] = 12; </v>
      </c>
      <c r="AI192" t="str">
        <f t="shared" si="122"/>
        <v xml:space="preserve">                      </v>
      </c>
      <c r="AJ192" t="str">
        <f>IF(AND(F192="Class",NOT(ISBLANK(E192))),VLOOKUP(E192,Class!A$1:B$12,2,FALSE),"")</f>
        <v/>
      </c>
      <c r="AK192" t="str">
        <f>IF(AND(F192="Vocation",NOT(ISBLANK(E192))),VLOOKUP(E192,Vocation!A$1:B$8,2,FALSE),"")</f>
        <v/>
      </c>
      <c r="AL192" t="str">
        <f>IF(AND(F192="Race",NOT(ISBLANK(E192))),VLOOKUP(E192,Race!A$1:B$9,2,),"")</f>
        <v/>
      </c>
      <c r="AM192" t="str">
        <f t="shared" si="123"/>
        <v xml:space="preserve">  0</v>
      </c>
      <c r="AN192" t="str">
        <f t="shared" si="124"/>
        <v xml:space="preserve">["SUBTYPE"] =   0; </v>
      </c>
      <c r="AO192" t="str">
        <f>IF(NOT(ISBLANK(G192)),VLOOKUP(G192,Type!D$2:E$6,2,FALSE),"")</f>
        <v/>
      </c>
      <c r="AP192" t="str">
        <f t="shared" si="125"/>
        <v xml:space="preserve">            </v>
      </c>
      <c r="AQ192" t="str">
        <f t="shared" si="126"/>
        <v xml:space="preserve">                      </v>
      </c>
      <c r="AR192" t="str">
        <f t="shared" si="127"/>
        <v/>
      </c>
      <c r="AS192" t="str">
        <f t="shared" si="128"/>
        <v>0</v>
      </c>
      <c r="AT192" t="str">
        <f t="shared" si="129"/>
        <v xml:space="preserve">["VXP"] =    0; </v>
      </c>
      <c r="AU192" t="str">
        <f t="shared" si="130"/>
        <v>0</v>
      </c>
      <c r="AV192" t="str">
        <f t="shared" si="131"/>
        <v xml:space="preserve">["LP"] =  0; </v>
      </c>
      <c r="AW192" t="str">
        <f t="shared" si="132"/>
        <v>0</v>
      </c>
      <c r="AX192" t="str">
        <f t="shared" si="133"/>
        <v xml:space="preserve">["REP"] =     0; </v>
      </c>
      <c r="AY192">
        <f>IF(LEN(P192)&gt;0,VLOOKUP(P192,Faction!A$2:B$77,2,FALSE),1)</f>
        <v>1</v>
      </c>
      <c r="AZ192" t="str">
        <f t="shared" si="134"/>
        <v xml:space="preserve">["FACTION"] =  1; </v>
      </c>
      <c r="BA192" t="str">
        <f t="shared" si="113"/>
        <v/>
      </c>
      <c r="BB192" t="str">
        <f t="shared" si="135"/>
        <v xml:space="preserve">                     </v>
      </c>
      <c r="BC192" t="str">
        <f t="shared" si="136"/>
        <v xml:space="preserve">                  </v>
      </c>
      <c r="BD192" t="str">
        <f t="shared" si="137"/>
        <v xml:space="preserve">["NAME"] = { ["EN"] = "Such Generosity!"; }; </v>
      </c>
      <c r="BE192" t="str">
        <f t="shared" si="138"/>
        <v xml:space="preserve">["LORE"] = { ["EN"] = "You are a wonderful person! So selfless! So generous! So good!"; }; </v>
      </c>
      <c r="BF192" t="str">
        <f t="shared" si="139"/>
        <v xml:space="preserve">["SUMMARY"] = { ["EN"] = "Complete the quest A Charitable Spirit 10 times."; }; </v>
      </c>
      <c r="BG192" t="str">
        <f t="shared" si="140"/>
        <v xml:space="preserve">["TITLE"] = { ["EN"] = "the Openhanded"; }; </v>
      </c>
      <c r="BH192" t="str">
        <f t="shared" si="141"/>
        <v/>
      </c>
      <c r="BI192" t="str">
        <f t="shared" si="142"/>
        <v/>
      </c>
      <c r="BJ192" t="str">
        <f t="shared" si="144"/>
        <v>};</v>
      </c>
    </row>
    <row r="193" spans="1:62" x14ac:dyDescent="0.25">
      <c r="A193">
        <v>1879257047</v>
      </c>
      <c r="B193">
        <v>159</v>
      </c>
      <c r="C193" t="s">
        <v>780</v>
      </c>
      <c r="D193" t="s">
        <v>24</v>
      </c>
      <c r="E193" t="s">
        <v>736</v>
      </c>
      <c r="Q193" t="s">
        <v>1661</v>
      </c>
      <c r="R193" t="s">
        <v>781</v>
      </c>
      <c r="S193">
        <v>0</v>
      </c>
      <c r="T193">
        <v>6</v>
      </c>
      <c r="X193" t="str">
        <f t="shared" si="112"/>
        <v>[192] = {["ID"] = 1879257047; }; -- The More the Merrier (Tier 3) (Yule Festival)</v>
      </c>
      <c r="Y193" s="1" t="str">
        <f t="shared" si="114"/>
        <v>[192]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3">
        <f t="shared" si="143"/>
        <v>192</v>
      </c>
      <c r="AA193" t="str">
        <f t="shared" si="115"/>
        <v>[192] = {</v>
      </c>
      <c r="AB193" t="str">
        <f t="shared" si="116"/>
        <v xml:space="preserve">["ID"] = 1879257047; </v>
      </c>
      <c r="AC193" t="str">
        <f t="shared" si="117"/>
        <v xml:space="preserve">["ID"] = 1879257047; </v>
      </c>
      <c r="AD193" t="str">
        <f t="shared" si="118"/>
        <v/>
      </c>
      <c r="AE193" t="str">
        <f t="shared" si="119"/>
        <v xml:space="preserve"> (Yule Festival)</v>
      </c>
      <c r="AF193" s="1" t="str">
        <f t="shared" si="120"/>
        <v xml:space="preserve">["SAVE_INDEX"] = 159; </v>
      </c>
      <c r="AG193">
        <f>VLOOKUP(D193,Type!A$2:B$16,2,FALSE)</f>
        <v>12</v>
      </c>
      <c r="AH193" t="str">
        <f t="shared" si="121"/>
        <v xml:space="preserve">["TYPE"] = 12; </v>
      </c>
      <c r="AI193" t="str">
        <f t="shared" si="122"/>
        <v xml:space="preserve">                      </v>
      </c>
      <c r="AJ193" t="str">
        <f>IF(AND(F193="Class",NOT(ISBLANK(E193))),VLOOKUP(E193,Class!A$1:B$12,2,FALSE),"")</f>
        <v/>
      </c>
      <c r="AK193" t="str">
        <f>IF(AND(F193="Vocation",NOT(ISBLANK(E193))),VLOOKUP(E193,Vocation!A$1:B$8,2,FALSE),"")</f>
        <v/>
      </c>
      <c r="AL193" t="str">
        <f>IF(AND(F193="Race",NOT(ISBLANK(E193))),VLOOKUP(E193,Race!A$1:B$9,2,),"")</f>
        <v/>
      </c>
      <c r="AM193" t="str">
        <f t="shared" si="123"/>
        <v xml:space="preserve">  0</v>
      </c>
      <c r="AN193" t="str">
        <f t="shared" si="124"/>
        <v xml:space="preserve">["SUBTYPE"] =   0; </v>
      </c>
      <c r="AO193" t="str">
        <f>IF(NOT(ISBLANK(G193)),VLOOKUP(G193,Type!D$2:E$6,2,FALSE),"")</f>
        <v/>
      </c>
      <c r="AP193" t="str">
        <f t="shared" si="125"/>
        <v xml:space="preserve">            </v>
      </c>
      <c r="AQ193" t="str">
        <f t="shared" si="126"/>
        <v xml:space="preserve">                      </v>
      </c>
      <c r="AR193" t="str">
        <f t="shared" si="127"/>
        <v/>
      </c>
      <c r="AS193" t="str">
        <f t="shared" si="128"/>
        <v>0</v>
      </c>
      <c r="AT193" t="str">
        <f t="shared" si="129"/>
        <v xml:space="preserve">["VXP"] =    0; </v>
      </c>
      <c r="AU193" t="str">
        <f t="shared" si="130"/>
        <v>0</v>
      </c>
      <c r="AV193" t="str">
        <f t="shared" si="131"/>
        <v xml:space="preserve">["LP"] =  0; </v>
      </c>
      <c r="AW193" t="str">
        <f t="shared" si="132"/>
        <v>0</v>
      </c>
      <c r="AX193" t="str">
        <f t="shared" si="133"/>
        <v xml:space="preserve">["REP"] =     0; </v>
      </c>
      <c r="AY193">
        <f>IF(LEN(P193)&gt;0,VLOOKUP(P193,Faction!A$2:B$77,2,FALSE),1)</f>
        <v>1</v>
      </c>
      <c r="AZ193" t="str">
        <f t="shared" si="134"/>
        <v xml:space="preserve">["FACTION"] =  1; </v>
      </c>
      <c r="BA193" t="str">
        <f t="shared" si="113"/>
        <v/>
      </c>
      <c r="BB193" t="str">
        <f t="shared" si="135"/>
        <v xml:space="preserve">["MIN_LVL"] =   "6"; </v>
      </c>
      <c r="BC193" t="str">
        <f t="shared" si="136"/>
        <v xml:space="preserve">                  </v>
      </c>
      <c r="BD193" t="str">
        <f t="shared" si="137"/>
        <v xml:space="preserve">["NAME"] = { ["EN"] = "The More the Merrier (Tier 3)"; }; </v>
      </c>
      <c r="BE193" t="str">
        <f t="shared" si="138"/>
        <v xml:space="preserve">["LORE"] = { ["EN"] = "Complete quests in Winter-home to unlock unique rewards."; }; </v>
      </c>
      <c r="BF193" t="str">
        <f t="shared" si="139"/>
        <v xml:space="preserve">["SUMMARY"] = { ["EN"] = "Complete 120 quests in Winter-home to unlock unique rewards"; }; </v>
      </c>
      <c r="BG193" t="str">
        <f t="shared" si="140"/>
        <v/>
      </c>
      <c r="BH193" t="str">
        <f t="shared" si="141"/>
        <v/>
      </c>
      <c r="BI193" t="str">
        <f t="shared" si="142"/>
        <v/>
      </c>
      <c r="BJ193" t="str">
        <f t="shared" si="144"/>
        <v>};</v>
      </c>
    </row>
    <row r="194" spans="1:62" x14ac:dyDescent="0.25">
      <c r="A194">
        <v>1879257046</v>
      </c>
      <c r="B194">
        <v>160</v>
      </c>
      <c r="C194" t="s">
        <v>779</v>
      </c>
      <c r="D194" t="s">
        <v>24</v>
      </c>
      <c r="E194" t="s">
        <v>736</v>
      </c>
      <c r="Q194" t="s">
        <v>1662</v>
      </c>
      <c r="R194" t="s">
        <v>781</v>
      </c>
      <c r="S194">
        <v>1</v>
      </c>
      <c r="T194">
        <v>6</v>
      </c>
      <c r="X194" t="str">
        <f t="shared" si="112"/>
        <v>[193] = {["ID"] = 1879257046; ["TIER"] = 1; }; -- The More the Merrier (Tier 2) (Yule Festival)</v>
      </c>
      <c r="Y194" s="1" t="str">
        <f t="shared" si="114"/>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3"/>
        <v>193</v>
      </c>
      <c r="AA194" t="str">
        <f t="shared" si="115"/>
        <v>[193] = {</v>
      </c>
      <c r="AB194" t="str">
        <f t="shared" si="116"/>
        <v xml:space="preserve">["ID"] = 1879257046; </v>
      </c>
      <c r="AC194" t="str">
        <f t="shared" si="117"/>
        <v xml:space="preserve">["ID"] = 1879257046; </v>
      </c>
      <c r="AD194" t="str">
        <f t="shared" si="118"/>
        <v/>
      </c>
      <c r="AE194" t="str">
        <f t="shared" si="119"/>
        <v xml:space="preserve"> (Yule Festival)</v>
      </c>
      <c r="AF194" s="1" t="str">
        <f t="shared" si="120"/>
        <v xml:space="preserve">["SAVE_INDEX"] = 160; </v>
      </c>
      <c r="AG194">
        <f>VLOOKUP(D194,Type!A$2:B$16,2,FALSE)</f>
        <v>12</v>
      </c>
      <c r="AH194" t="str">
        <f t="shared" si="121"/>
        <v xml:space="preserve">["TYPE"] = 12; </v>
      </c>
      <c r="AI194" t="str">
        <f t="shared" si="122"/>
        <v xml:space="preserve">                      </v>
      </c>
      <c r="AJ194" t="str">
        <f>IF(AND(F194="Class",NOT(ISBLANK(E194))),VLOOKUP(E194,Class!A$1:B$12,2,FALSE),"")</f>
        <v/>
      </c>
      <c r="AK194" t="str">
        <f>IF(AND(F194="Vocation",NOT(ISBLANK(E194))),VLOOKUP(E194,Vocation!A$1:B$8,2,FALSE),"")</f>
        <v/>
      </c>
      <c r="AL194" t="str">
        <f>IF(AND(F194="Race",NOT(ISBLANK(E194))),VLOOKUP(E194,Race!A$1:B$9,2,),"")</f>
        <v/>
      </c>
      <c r="AM194" t="str">
        <f t="shared" si="123"/>
        <v xml:space="preserve">  0</v>
      </c>
      <c r="AN194" t="str">
        <f t="shared" si="124"/>
        <v xml:space="preserve">["SUBTYPE"] =   0; </v>
      </c>
      <c r="AO194" t="str">
        <f>IF(NOT(ISBLANK(G194)),VLOOKUP(G194,Type!D$2:E$6,2,FALSE),"")</f>
        <v/>
      </c>
      <c r="AP194" t="str">
        <f t="shared" si="125"/>
        <v xml:space="preserve">            </v>
      </c>
      <c r="AQ194" t="str">
        <f t="shared" si="126"/>
        <v xml:space="preserve">                      </v>
      </c>
      <c r="AR194" t="str">
        <f t="shared" si="127"/>
        <v/>
      </c>
      <c r="AS194" t="str">
        <f t="shared" si="128"/>
        <v>0</v>
      </c>
      <c r="AT194" t="str">
        <f t="shared" si="129"/>
        <v xml:space="preserve">["VXP"] =    0; </v>
      </c>
      <c r="AU194" t="str">
        <f t="shared" si="130"/>
        <v>0</v>
      </c>
      <c r="AV194" t="str">
        <f t="shared" si="131"/>
        <v xml:space="preserve">["LP"] =  0; </v>
      </c>
      <c r="AW194" t="str">
        <f t="shared" si="132"/>
        <v>0</v>
      </c>
      <c r="AX194" t="str">
        <f t="shared" si="133"/>
        <v xml:space="preserve">["REP"] =     0; </v>
      </c>
      <c r="AY194">
        <f>IF(LEN(P194)&gt;0,VLOOKUP(P194,Faction!A$2:B$77,2,FALSE),1)</f>
        <v>1</v>
      </c>
      <c r="AZ194" t="str">
        <f t="shared" si="134"/>
        <v xml:space="preserve">["FACTION"] =  1; </v>
      </c>
      <c r="BA194" t="str">
        <f t="shared" si="113"/>
        <v xml:space="preserve">["TIER"] = 1; </v>
      </c>
      <c r="BB194" t="str">
        <f t="shared" si="135"/>
        <v xml:space="preserve">["MIN_LVL"] =   "6"; </v>
      </c>
      <c r="BC194" t="str">
        <f t="shared" si="136"/>
        <v xml:space="preserve">                  </v>
      </c>
      <c r="BD194" t="str">
        <f t="shared" si="137"/>
        <v xml:space="preserve">["NAME"] = { ["EN"] = "The More the Merrier (Tier 2)"; }; </v>
      </c>
      <c r="BE194" t="str">
        <f t="shared" si="138"/>
        <v xml:space="preserve">["LORE"] = { ["EN"] = "Complete quests in Winter-home to unlock unique rewards."; }; </v>
      </c>
      <c r="BF194" t="str">
        <f t="shared" si="139"/>
        <v xml:space="preserve">["SUMMARY"] = { ["EN"] = "Complete 60 quests in Winter-home to unlock unique rewards"; }; </v>
      </c>
      <c r="BG194" t="str">
        <f t="shared" si="140"/>
        <v/>
      </c>
      <c r="BH194" t="str">
        <f t="shared" si="141"/>
        <v/>
      </c>
      <c r="BI194" t="str">
        <f t="shared" si="142"/>
        <v/>
      </c>
      <c r="BJ194" t="str">
        <f t="shared" si="144"/>
        <v>};</v>
      </c>
    </row>
    <row r="195" spans="1:62" x14ac:dyDescent="0.25">
      <c r="A195">
        <v>1879257048</v>
      </c>
      <c r="B195">
        <v>161</v>
      </c>
      <c r="C195" t="s">
        <v>778</v>
      </c>
      <c r="D195" t="s">
        <v>24</v>
      </c>
      <c r="E195" t="s">
        <v>736</v>
      </c>
      <c r="Q195" t="s">
        <v>1663</v>
      </c>
      <c r="R195" t="s">
        <v>781</v>
      </c>
      <c r="S195">
        <v>2</v>
      </c>
      <c r="T195">
        <v>6</v>
      </c>
      <c r="X195" t="str">
        <f t="shared" ref="X195:X258" si="145">CONCATENATE(AA195,AC195,AD195,BA195,BJ195," -- ",C195,AE195)</f>
        <v>[194] = {["ID"] = 1879257048; ["TIER"] = 2; }; -- The More the Merrier (Yule Festival)</v>
      </c>
      <c r="Y195" s="1" t="str">
        <f t="shared" si="114"/>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3"/>
        <v>194</v>
      </c>
      <c r="AA195" t="str">
        <f t="shared" si="115"/>
        <v>[194] = {</v>
      </c>
      <c r="AB195" t="str">
        <f t="shared" si="116"/>
        <v xml:space="preserve">["ID"] = 1879257048; </v>
      </c>
      <c r="AC195" t="str">
        <f t="shared" si="117"/>
        <v xml:space="preserve">["ID"] = 1879257048; </v>
      </c>
      <c r="AD195" t="str">
        <f t="shared" si="118"/>
        <v/>
      </c>
      <c r="AE195" t="str">
        <f t="shared" si="119"/>
        <v xml:space="preserve"> (Yule Festival)</v>
      </c>
      <c r="AF195" s="1" t="str">
        <f t="shared" si="120"/>
        <v xml:space="preserve">["SAVE_INDEX"] = 161; </v>
      </c>
      <c r="AG195">
        <f>VLOOKUP(D195,Type!A$2:B$16,2,FALSE)</f>
        <v>12</v>
      </c>
      <c r="AH195" t="str">
        <f t="shared" si="121"/>
        <v xml:space="preserve">["TYPE"] = 12; </v>
      </c>
      <c r="AI195" t="str">
        <f t="shared" si="122"/>
        <v xml:space="preserve">                      </v>
      </c>
      <c r="AJ195" t="str">
        <f>IF(AND(F195="Class",NOT(ISBLANK(E195))),VLOOKUP(E195,Class!A$1:B$12,2,FALSE),"")</f>
        <v/>
      </c>
      <c r="AK195" t="str">
        <f>IF(AND(F195="Vocation",NOT(ISBLANK(E195))),VLOOKUP(E195,Vocation!A$1:B$8,2,FALSE),"")</f>
        <v/>
      </c>
      <c r="AL195" t="str">
        <f>IF(AND(F195="Race",NOT(ISBLANK(E195))),VLOOKUP(E195,Race!A$1:B$9,2,),"")</f>
        <v/>
      </c>
      <c r="AM195" t="str">
        <f t="shared" si="123"/>
        <v xml:space="preserve">  0</v>
      </c>
      <c r="AN195" t="str">
        <f t="shared" si="124"/>
        <v xml:space="preserve">["SUBTYPE"] =   0; </v>
      </c>
      <c r="AO195" t="str">
        <f>IF(NOT(ISBLANK(G195)),VLOOKUP(G195,Type!D$2:E$6,2,FALSE),"")</f>
        <v/>
      </c>
      <c r="AP195" t="str">
        <f t="shared" si="125"/>
        <v xml:space="preserve">            </v>
      </c>
      <c r="AQ195" t="str">
        <f t="shared" si="126"/>
        <v xml:space="preserve">                      </v>
      </c>
      <c r="AR195" t="str">
        <f t="shared" si="127"/>
        <v/>
      </c>
      <c r="AS195" t="str">
        <f t="shared" si="128"/>
        <v>0</v>
      </c>
      <c r="AT195" t="str">
        <f t="shared" si="129"/>
        <v xml:space="preserve">["VXP"] =    0; </v>
      </c>
      <c r="AU195" t="str">
        <f t="shared" si="130"/>
        <v>0</v>
      </c>
      <c r="AV195" t="str">
        <f t="shared" si="131"/>
        <v xml:space="preserve">["LP"] =  0; </v>
      </c>
      <c r="AW195" t="str">
        <f t="shared" si="132"/>
        <v>0</v>
      </c>
      <c r="AX195" t="str">
        <f t="shared" si="133"/>
        <v xml:space="preserve">["REP"] =     0; </v>
      </c>
      <c r="AY195">
        <f>IF(LEN(P195)&gt;0,VLOOKUP(P195,Faction!A$2:B$77,2,FALSE),1)</f>
        <v>1</v>
      </c>
      <c r="AZ195" t="str">
        <f t="shared" si="134"/>
        <v xml:space="preserve">["FACTION"] =  1; </v>
      </c>
      <c r="BA195" t="str">
        <f t="shared" ref="BA195:BA258" si="146">IF(S195&gt;0,CONCATENATE("[""TIER""] = ",TEXT(S195,"0"),"; "),"")</f>
        <v xml:space="preserve">["TIER"] = 2; </v>
      </c>
      <c r="BB195" t="str">
        <f t="shared" si="135"/>
        <v xml:space="preserve">["MIN_LVL"] =   "6"; </v>
      </c>
      <c r="BC195" t="str">
        <f t="shared" si="136"/>
        <v xml:space="preserve">                  </v>
      </c>
      <c r="BD195" t="str">
        <f t="shared" si="137"/>
        <v xml:space="preserve">["NAME"] = { ["EN"] = "The More the Merrier"; }; </v>
      </c>
      <c r="BE195" t="str">
        <f t="shared" si="138"/>
        <v xml:space="preserve">["LORE"] = { ["EN"] = "Complete quests in Winter-home to unlock unique rewards."; }; </v>
      </c>
      <c r="BF195" t="str">
        <f t="shared" si="139"/>
        <v xml:space="preserve">["SUMMARY"] = { ["EN"] = "Complete 20 quests in Winter-home to unlock unique rewards"; }; </v>
      </c>
      <c r="BG195" t="str">
        <f t="shared" si="140"/>
        <v/>
      </c>
      <c r="BH195" t="str">
        <f t="shared" si="141"/>
        <v/>
      </c>
      <c r="BI195" t="str">
        <f t="shared" si="142"/>
        <v/>
      </c>
      <c r="BJ195" t="str">
        <f t="shared" si="144"/>
        <v>};</v>
      </c>
    </row>
    <row r="196" spans="1:62" x14ac:dyDescent="0.25">
      <c r="A196">
        <v>1879226367</v>
      </c>
      <c r="B196">
        <v>162</v>
      </c>
      <c r="C196" t="s">
        <v>820</v>
      </c>
      <c r="D196" t="s">
        <v>24</v>
      </c>
      <c r="E196" t="s">
        <v>736</v>
      </c>
      <c r="M196" t="s">
        <v>946</v>
      </c>
      <c r="Q196" t="s">
        <v>887</v>
      </c>
      <c r="R196" t="s">
        <v>886</v>
      </c>
      <c r="S196">
        <v>0</v>
      </c>
      <c r="X196" t="str">
        <f t="shared" si="145"/>
        <v>[195] = {["ID"] = 1879226367; }; -- A Cool Reception (Yule Festival)</v>
      </c>
      <c r="Y196" s="1" t="str">
        <f t="shared" si="114"/>
        <v>[195]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6">
        <f t="shared" si="143"/>
        <v>195</v>
      </c>
      <c r="AA196" t="str">
        <f t="shared" si="115"/>
        <v>[195] = {</v>
      </c>
      <c r="AB196" t="str">
        <f t="shared" si="116"/>
        <v xml:space="preserve">["ID"] = 1879226367; </v>
      </c>
      <c r="AC196" t="str">
        <f t="shared" si="117"/>
        <v xml:space="preserve">["ID"] = 1879226367; </v>
      </c>
      <c r="AD196" t="str">
        <f t="shared" si="118"/>
        <v/>
      </c>
      <c r="AE196" t="str">
        <f t="shared" si="119"/>
        <v xml:space="preserve"> (Yule Festival)</v>
      </c>
      <c r="AF196" s="1" t="str">
        <f t="shared" si="120"/>
        <v xml:space="preserve">["SAVE_INDEX"] = 162; </v>
      </c>
      <c r="AG196">
        <f>VLOOKUP(D196,Type!A$2:B$16,2,FALSE)</f>
        <v>12</v>
      </c>
      <c r="AH196" t="str">
        <f t="shared" si="121"/>
        <v xml:space="preserve">["TYPE"] = 12; </v>
      </c>
      <c r="AI196" t="str">
        <f t="shared" si="122"/>
        <v xml:space="preserve">                      </v>
      </c>
      <c r="AJ196" t="str">
        <f>IF(AND(F196="Class",NOT(ISBLANK(E196))),VLOOKUP(E196,Class!A$1:B$12,2,FALSE),"")</f>
        <v/>
      </c>
      <c r="AK196" t="str">
        <f>IF(AND(F196="Vocation",NOT(ISBLANK(E196))),VLOOKUP(E196,Vocation!A$1:B$8,2,FALSE),"")</f>
        <v/>
      </c>
      <c r="AL196" t="str">
        <f>IF(AND(F196="Race",NOT(ISBLANK(E196))),VLOOKUP(E196,Race!A$1:B$9,2,),"")</f>
        <v/>
      </c>
      <c r="AM196" t="str">
        <f t="shared" si="123"/>
        <v xml:space="preserve">  0</v>
      </c>
      <c r="AN196" t="str">
        <f t="shared" si="124"/>
        <v xml:space="preserve">["SUBTYPE"] =   0; </v>
      </c>
      <c r="AO196" t="str">
        <f>IF(NOT(ISBLANK(G196)),VLOOKUP(G196,Type!D$2:E$6,2,FALSE),"")</f>
        <v/>
      </c>
      <c r="AP196" t="str">
        <f t="shared" si="125"/>
        <v xml:space="preserve">            </v>
      </c>
      <c r="AQ196" t="str">
        <f t="shared" si="126"/>
        <v xml:space="preserve">                      </v>
      </c>
      <c r="AR196" t="str">
        <f t="shared" si="127"/>
        <v/>
      </c>
      <c r="AS196" t="str">
        <f t="shared" si="128"/>
        <v>0</v>
      </c>
      <c r="AT196" t="str">
        <f t="shared" si="129"/>
        <v xml:space="preserve">["VXP"] =    0; </v>
      </c>
      <c r="AU196" t="str">
        <f t="shared" si="130"/>
        <v>0</v>
      </c>
      <c r="AV196" t="str">
        <f t="shared" si="131"/>
        <v xml:space="preserve">["LP"] =  0; </v>
      </c>
      <c r="AW196" t="str">
        <f t="shared" si="132"/>
        <v>0</v>
      </c>
      <c r="AX196" t="str">
        <f t="shared" si="133"/>
        <v xml:space="preserve">["REP"] =     0; </v>
      </c>
      <c r="AY196">
        <f>IF(LEN(P196)&gt;0,VLOOKUP(P196,Faction!A$2:B$77,2,FALSE),1)</f>
        <v>1</v>
      </c>
      <c r="AZ196" t="str">
        <f t="shared" si="134"/>
        <v xml:space="preserve">["FACTION"] =  1; </v>
      </c>
      <c r="BA196" t="str">
        <f t="shared" si="146"/>
        <v/>
      </c>
      <c r="BB196" t="str">
        <f t="shared" si="135"/>
        <v xml:space="preserve">                     </v>
      </c>
      <c r="BC196" t="str">
        <f t="shared" si="136"/>
        <v xml:space="preserve">                  </v>
      </c>
      <c r="BD196" t="str">
        <f t="shared" si="137"/>
        <v xml:space="preserve">["NAME"] = { ["EN"] = "A Cool Reception"; }; </v>
      </c>
      <c r="BE196" t="str">
        <f t="shared" si="138"/>
        <v xml:space="preserve">["LORE"] = { ["EN"] = "Virgil Greenfield has challenged you to build all of his snowmen."; }; </v>
      </c>
      <c r="BF196" t="str">
        <f t="shared" si="139"/>
        <v xml:space="preserve">["SUMMARY"] = { ["EN"] = "Complete 5 different snowmen."; }; </v>
      </c>
      <c r="BG196" t="str">
        <f t="shared" si="140"/>
        <v xml:space="preserve">["TITLE"] = { ["EN"] = "Gatherer of Cool Company"; }; </v>
      </c>
      <c r="BH196" t="str">
        <f t="shared" si="141"/>
        <v/>
      </c>
      <c r="BI196" t="str">
        <f t="shared" si="142"/>
        <v/>
      </c>
      <c r="BJ196" t="str">
        <f t="shared" si="144"/>
        <v>};</v>
      </c>
    </row>
    <row r="197" spans="1:62" x14ac:dyDescent="0.25">
      <c r="A197">
        <v>1879217532</v>
      </c>
      <c r="B197">
        <v>163</v>
      </c>
      <c r="C197" t="s">
        <v>967</v>
      </c>
      <c r="D197" t="s">
        <v>24</v>
      </c>
      <c r="E197" t="s">
        <v>736</v>
      </c>
      <c r="Q197" t="s">
        <v>969</v>
      </c>
      <c r="R197" t="s">
        <v>968</v>
      </c>
      <c r="S197">
        <v>0</v>
      </c>
      <c r="X197" t="str">
        <f t="shared" si="145"/>
        <v>[196] = {["ID"] = 1879217532; }; -- Consume Consumables: Frosty Beverage (Yule Festival)</v>
      </c>
      <c r="Y197" s="1" t="str">
        <f t="shared" ref="Y197:Y260" si="147">CONCATENATE(AA197,AB197,AF197,AH197,AI197,AN197,AP197,AQ197,AR197,AT197,AV197,AX197,AZ197,BA197,BB197,BC197,BD197,BE197,BF197,BG197,BH197,BI197,BJ197)</f>
        <v>[196]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7">
        <f t="shared" si="143"/>
        <v>196</v>
      </c>
      <c r="AA197" t="str">
        <f t="shared" ref="AA197:AA260" si="148">CONCATENATE(REPT(" ",3-LEN(Z197)),"[",Z197,"] = {")</f>
        <v>[196] = {</v>
      </c>
      <c r="AB197" t="str">
        <f t="shared" ref="AB197:AB260" si="149">IF(LEN(A197)&gt;0,CONCATENATE("[""ID""] = ",A197,"; "),"                     ")</f>
        <v xml:space="preserve">["ID"] = 1879217532; </v>
      </c>
      <c r="AC197" t="str">
        <f t="shared" ref="AC197:AC260" si="150">IF(LEN(A197)&gt;0,CONCATENATE("[""ID""] = ",A197,"; "),"")</f>
        <v xml:space="preserve">["ID"] = 1879217532; </v>
      </c>
      <c r="AD197" t="str">
        <f t="shared" ref="AD197:AD260" si="151">IF(LEN(V197)&gt;0,CONCATENATE("[""CAT_ID""] = ",V197,"; "),"")</f>
        <v/>
      </c>
      <c r="AE197" t="str">
        <f t="shared" ref="AE197:AE260" si="152">IF(LEN(E197)&gt;0,CONCATENATE(" (",E197,")"),IF(LEN(J197)&gt;0,CONCATENATE(" (",J197,")"),""))</f>
        <v xml:space="preserve"> (Yule Festival)</v>
      </c>
      <c r="AF197" s="1" t="str">
        <f t="shared" ref="AF197:AF260" si="153">IF(LEN(B197)&gt;0,CONCATENATE("[""SAVE_INDEX""] = ",REPT(" ",3-LEN(B197)),B197,"; "),"                      ")</f>
        <v xml:space="preserve">["SAVE_INDEX"] = 163; </v>
      </c>
      <c r="AG197">
        <f>VLOOKUP(D197,Type!A$2:B$16,2,FALSE)</f>
        <v>12</v>
      </c>
      <c r="AH197" t="str">
        <f t="shared" ref="AH197:AH260" si="154">CONCATENATE("[""TYPE""] = ",REPT(" ",2-LEN(AG197)),AG197,"; ")</f>
        <v xml:space="preserve">["TYPE"] = 12; </v>
      </c>
      <c r="AI197" t="str">
        <f t="shared" ref="AI197:AI260" si="155">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0" si="156">IF(
  LEN(AJ197)=0,
  IF(
    LEN(AK197)=0,
    IF(
      LEN(AL197)=0,
      "  0",
      CONCATENATE(REPT(" ",3-LEN(AL197)),AL197)
    ),
    CONCATENATE(REPT(" ",3-LEN(AK197)),AK197)
  ),
  CONCATENATE(REPT(" ",3-LEN(AJ197)),AJ197)
)</f>
        <v xml:space="preserve">  0</v>
      </c>
      <c r="AN197" t="str">
        <f t="shared" ref="AN197:AN260" si="157">CONCATENATE("[""SUBTYPE""] = ",AM197,"; ")</f>
        <v xml:space="preserve">["SUBTYPE"] =   0; </v>
      </c>
      <c r="AO197" t="str">
        <f>IF(NOT(ISBLANK(G197)),VLOOKUP(G197,Type!D$2:E$6,2,FALSE),"")</f>
        <v/>
      </c>
      <c r="AP197" t="str">
        <f t="shared" ref="AP197:AP260" si="158">IF(NOT(ISBLANK(G197)),CONCATENATE("[""NA""] = ",AO197,"; "),"            ")</f>
        <v xml:space="preserve">            </v>
      </c>
      <c r="AQ197" t="str">
        <f t="shared" ref="AQ197:AQ260" si="159">IF(NOT(ISBLANK(I197)),"[""LEGENDARY""] = true; ","                      ")</f>
        <v xml:space="preserve">                      </v>
      </c>
      <c r="AR197" t="str">
        <f t="shared" ref="AR197:AR260" si="160">IF(LEN(J197)&gt;0,CONCATENATE("[""MOUNT""] = """,J197,"""; "),"")</f>
        <v/>
      </c>
      <c r="AS197" t="str">
        <f t="shared" ref="AS197:AS260" si="161">TEXT(L197,0)</f>
        <v>0</v>
      </c>
      <c r="AT197" t="str">
        <f t="shared" ref="AT197:AT260" si="162">CONCATENATE("[""VXP""] = ",REPT(" ",4-LEN(AS197)),TEXT(AS197,"0"),"; ")</f>
        <v xml:space="preserve">["VXP"] =    0; </v>
      </c>
      <c r="AU197" t="str">
        <f t="shared" ref="AU197:AU260" si="163">TEXT(N197,0)</f>
        <v>0</v>
      </c>
      <c r="AV197" t="str">
        <f t="shared" ref="AV197:AV260" si="164">CONCATENATE("[""LP""] = ",REPT(" ",2-LEN(AU197)),TEXT(AU197,"0"),"; ")</f>
        <v xml:space="preserve">["LP"] =  0; </v>
      </c>
      <c r="AW197" t="str">
        <f t="shared" ref="AW197:AW260" si="165">TEXT(O197,0)</f>
        <v>0</v>
      </c>
      <c r="AX197" t="str">
        <f t="shared" ref="AX197:AX260" si="166">CONCATENATE("[""REP""] = ",REPT(" ",5-LEN(AW197)),TEXT(AW197,"0"),"; ")</f>
        <v xml:space="preserve">["REP"] =     0; </v>
      </c>
      <c r="AY197">
        <f>IF(LEN(P197)&gt;0,VLOOKUP(P197,Faction!A$2:B$77,2,FALSE),1)</f>
        <v>1</v>
      </c>
      <c r="AZ197" t="str">
        <f t="shared" ref="AZ197:AZ260" si="167">CONCATENATE("[""FACTION""] = ",REPT(" ",2-LEN(AY197)),TEXT(AY197,"0"),"; ")</f>
        <v xml:space="preserve">["FACTION"] =  1; </v>
      </c>
      <c r="BA197" t="str">
        <f t="shared" si="146"/>
        <v/>
      </c>
      <c r="BB197" t="str">
        <f t="shared" ref="BB197:BB260" si="168">IF(LEN(T197)&gt;0,CONCATENATE("[""MIN_LVL""] = ",REPT(" ",3-LEN(T197)),"""",T197,"""; "),"                     ")</f>
        <v xml:space="preserve">                     </v>
      </c>
      <c r="BC197" t="str">
        <f t="shared" ref="BC197:BC260" si="169">IF(LEN(U197)&gt;0,CONCATENATE("[""MAX_LVL""] = ",REPT(" ",2-LEN(U197)),U197,"; "),"                  ")</f>
        <v xml:space="preserve">                  </v>
      </c>
      <c r="BD197" t="str">
        <f t="shared" ref="BD197:BD260" si="170">CONCATENATE("[""NAME""] = { [""EN""] = """,C197,"""; }; ")</f>
        <v xml:space="preserve">["NAME"] = { ["EN"] = "Consume Consumables: Frosty Beverage"; }; </v>
      </c>
      <c r="BE197" t="str">
        <f t="shared" ref="BE197:BE260" si="171">IF(LEN(R197)&gt;0,CONCATENATE("[""LORE""] = { [""EN""] = """,R197,"""; }; "),"")</f>
        <v xml:space="preserve">["LORE"] = { ["EN"] = "Frosty beverage can be purchased during the Winter Festival. You should use the frosty beverage many times to accomplish this deed."; }; </v>
      </c>
      <c r="BF197" t="str">
        <f t="shared" ref="BF197:BF260" si="172">IF(LEN(Q197)&gt;0,CONCATENATE("[""SUMMARY""] = { [""EN""] = """,Q197,"""; }; "),"")</f>
        <v xml:space="preserve">["SUMMARY"] = { ["EN"] = "Use frosty beverage 300 times."; }; </v>
      </c>
      <c r="BG197" t="str">
        <f t="shared" ref="BG197:BG260" si="173">IF(LEN(M197)&gt;0,CONCATENATE("[""TITLE""] = { [""EN""] = """,M197,"""; }; "),"")</f>
        <v/>
      </c>
      <c r="BH197" t="str">
        <f t="shared" ref="BH197:BH260" si="174">IF(LEN(H197)&gt;0,CONCATENATE("[""NOTE""] = { [""EN""] = """,H197,"""; }; "),"")</f>
        <v/>
      </c>
      <c r="BI197" t="str">
        <f t="shared" ref="BI197:BI260" si="175">IF(LEN(K197)&gt;0,CONCATENATE("[""PAIRED""] = { ",K197, " }; "),"")</f>
        <v/>
      </c>
      <c r="BJ197" t="str">
        <f t="shared" si="144"/>
        <v>};</v>
      </c>
    </row>
    <row r="198" spans="1:62" x14ac:dyDescent="0.25">
      <c r="A198">
        <v>1879217534</v>
      </c>
      <c r="B198">
        <v>164</v>
      </c>
      <c r="C198" t="s">
        <v>832</v>
      </c>
      <c r="D198" t="s">
        <v>24</v>
      </c>
      <c r="E198" t="s">
        <v>736</v>
      </c>
      <c r="Q198" t="s">
        <v>971</v>
      </c>
      <c r="R198" t="s">
        <v>970</v>
      </c>
      <c r="S198">
        <v>0</v>
      </c>
      <c r="X198" t="str">
        <f t="shared" si="145"/>
        <v>[197] = {["ID"] = 1879217534; }; -- Consume Consumables: Grim Crystals (Yule Festival)</v>
      </c>
      <c r="Y198" s="1" t="str">
        <f t="shared" si="147"/>
        <v>[197]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8">
        <f t="shared" si="143"/>
        <v>197</v>
      </c>
      <c r="AA198" t="str">
        <f t="shared" si="148"/>
        <v>[197] = {</v>
      </c>
      <c r="AB198" t="str">
        <f t="shared" si="149"/>
        <v xml:space="preserve">["ID"] = 1879217534; </v>
      </c>
      <c r="AC198" t="str">
        <f t="shared" si="150"/>
        <v xml:space="preserve">["ID"] = 1879217534; </v>
      </c>
      <c r="AD198" t="str">
        <f t="shared" si="151"/>
        <v/>
      </c>
      <c r="AE198" t="str">
        <f t="shared" si="152"/>
        <v xml:space="preserve"> (Yule Festival)</v>
      </c>
      <c r="AF198" s="1" t="str">
        <f t="shared" si="153"/>
        <v xml:space="preserve">["SAVE_INDEX"] = 164;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46"/>
        <v/>
      </c>
      <c r="BB198" t="str">
        <f t="shared" si="168"/>
        <v xml:space="preserve">                     </v>
      </c>
      <c r="BC198" t="str">
        <f t="shared" si="169"/>
        <v xml:space="preserve">                  </v>
      </c>
      <c r="BD198" t="str">
        <f t="shared" si="170"/>
        <v xml:space="preserve">["NAME"] = { ["EN"] = "Consume Consumables: Grim Crystals"; }; </v>
      </c>
      <c r="BE198" t="str">
        <f t="shared" si="171"/>
        <v xml:space="preserve">["LORE"] = { ["EN"] = "Grim crystals can be purchased during the Winter Festival. You should use grim crystals many times to accomplish this deed."; }; </v>
      </c>
      <c r="BF198" t="str">
        <f t="shared" si="172"/>
        <v xml:space="preserve">["SUMMARY"] = { ["EN"] = "Use grim crystals 300 times."; }; </v>
      </c>
      <c r="BG198" t="str">
        <f t="shared" si="173"/>
        <v/>
      </c>
      <c r="BH198" t="str">
        <f t="shared" si="174"/>
        <v/>
      </c>
      <c r="BI198" t="str">
        <f t="shared" si="175"/>
        <v/>
      </c>
      <c r="BJ198" t="str">
        <f t="shared" si="144"/>
        <v>};</v>
      </c>
    </row>
    <row r="199" spans="1:62" x14ac:dyDescent="0.25">
      <c r="A199">
        <v>1879217533</v>
      </c>
      <c r="B199">
        <v>165</v>
      </c>
      <c r="C199" t="s">
        <v>834</v>
      </c>
      <c r="D199" t="s">
        <v>24</v>
      </c>
      <c r="E199" t="s">
        <v>736</v>
      </c>
      <c r="Q199" t="s">
        <v>973</v>
      </c>
      <c r="R199" t="s">
        <v>972</v>
      </c>
      <c r="S199">
        <v>0</v>
      </c>
      <c r="X199" t="str">
        <f t="shared" si="145"/>
        <v>[198] = {["ID"] = 1879217533; }; -- Consume Consumables: Perfect Snowballs (Yule Festival)</v>
      </c>
      <c r="Y199" s="1" t="str">
        <f t="shared" si="147"/>
        <v>[198]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199">
        <f t="shared" si="143"/>
        <v>198</v>
      </c>
      <c r="AA199" t="str">
        <f t="shared" si="148"/>
        <v>[198] = {</v>
      </c>
      <c r="AB199" t="str">
        <f t="shared" si="149"/>
        <v xml:space="preserve">["ID"] = 1879217533; </v>
      </c>
      <c r="AC199" t="str">
        <f t="shared" si="150"/>
        <v xml:space="preserve">["ID"] = 1879217533; </v>
      </c>
      <c r="AD199" t="str">
        <f t="shared" si="151"/>
        <v/>
      </c>
      <c r="AE199" t="str">
        <f t="shared" si="152"/>
        <v xml:space="preserve"> (Yule Festival)</v>
      </c>
      <c r="AF199" s="1" t="str">
        <f t="shared" si="153"/>
        <v xml:space="preserve">["SAVE_INDEX"] = 165;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46"/>
        <v/>
      </c>
      <c r="BB199" t="str">
        <f t="shared" si="168"/>
        <v xml:space="preserve">                     </v>
      </c>
      <c r="BC199" t="str">
        <f t="shared" si="169"/>
        <v xml:space="preserve">                  </v>
      </c>
      <c r="BD199" t="str">
        <f t="shared" si="170"/>
        <v xml:space="preserve">["NAME"] = { ["EN"] = "Consume Consumables: Perfect Snowballs"; }; </v>
      </c>
      <c r="BE199" t="str">
        <f t="shared" si="171"/>
        <v xml:space="preserve">["LORE"] = { ["EN"] = "Perfect snowballs can be purchased during the Winter Festival. You should use perfect snowballs many times to accomplish this deed."; }; </v>
      </c>
      <c r="BF199" t="str">
        <f t="shared" si="172"/>
        <v xml:space="preserve">["SUMMARY"] = { ["EN"] = "Use perfect snowballs 300 times."; }; </v>
      </c>
      <c r="BG199" t="str">
        <f t="shared" si="173"/>
        <v/>
      </c>
      <c r="BH199" t="str">
        <f t="shared" si="174"/>
        <v/>
      </c>
      <c r="BI199" t="str">
        <f t="shared" si="175"/>
        <v/>
      </c>
      <c r="BJ199" t="str">
        <f t="shared" si="144"/>
        <v>};</v>
      </c>
    </row>
    <row r="200" spans="1:62" x14ac:dyDescent="0.25">
      <c r="A200">
        <v>1879217536</v>
      </c>
      <c r="B200">
        <v>166</v>
      </c>
      <c r="C200" t="s">
        <v>835</v>
      </c>
      <c r="D200" t="s">
        <v>24</v>
      </c>
      <c r="E200" t="s">
        <v>736</v>
      </c>
      <c r="Q200" t="s">
        <v>976</v>
      </c>
      <c r="R200" t="s">
        <v>975</v>
      </c>
      <c r="S200">
        <v>0</v>
      </c>
      <c r="X200" t="str">
        <f t="shared" si="145"/>
        <v>[199] = {["ID"] = 1879217536; }; -- Consume Consumables: Piles of Fluffy Snow (Yule Festival)</v>
      </c>
      <c r="Y200" s="1" t="str">
        <f t="shared" si="147"/>
        <v>[199]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0">
        <f t="shared" si="143"/>
        <v>199</v>
      </c>
      <c r="AA200" t="str">
        <f t="shared" si="148"/>
        <v>[199] = {</v>
      </c>
      <c r="AB200" t="str">
        <f t="shared" si="149"/>
        <v xml:space="preserve">["ID"] = 1879217536; </v>
      </c>
      <c r="AC200" t="str">
        <f t="shared" si="150"/>
        <v xml:space="preserve">["ID"] = 1879217536; </v>
      </c>
      <c r="AD200" t="str">
        <f t="shared" si="151"/>
        <v/>
      </c>
      <c r="AE200" t="str">
        <f t="shared" si="152"/>
        <v xml:space="preserve"> (Yule Festival)</v>
      </c>
      <c r="AF200" s="1" t="str">
        <f t="shared" si="153"/>
        <v xml:space="preserve">["SAVE_INDEX"] = 166;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46"/>
        <v/>
      </c>
      <c r="BB200" t="str">
        <f t="shared" si="168"/>
        <v xml:space="preserve">                     </v>
      </c>
      <c r="BC200" t="str">
        <f t="shared" si="169"/>
        <v xml:space="preserve">                  </v>
      </c>
      <c r="BD200" t="str">
        <f t="shared" si="170"/>
        <v xml:space="preserve">["NAME"] = { ["EN"] = "Consume Consumables: Piles of Fluffy Snow"; }; </v>
      </c>
      <c r="BE200" t="str">
        <f t="shared" si="171"/>
        <v xml:space="preserve">["LORE"] = { ["EN"] = "Piles of fluffy snow can be purchased during the Winter Festival. You should use piles of fluffy snow many times to accomplish this deed."; }; </v>
      </c>
      <c r="BF200" t="str">
        <f t="shared" si="172"/>
        <v xml:space="preserve">["SUMMARY"] = { ["EN"] = "Use piles of fluffy snow 300 times."; }; </v>
      </c>
      <c r="BG200" t="str">
        <f t="shared" si="173"/>
        <v/>
      </c>
      <c r="BH200" t="str">
        <f t="shared" si="174"/>
        <v/>
      </c>
      <c r="BI200" t="str">
        <f t="shared" si="175"/>
        <v/>
      </c>
      <c r="BJ200" t="str">
        <f t="shared" si="144"/>
        <v>};</v>
      </c>
    </row>
    <row r="201" spans="1:62" x14ac:dyDescent="0.25">
      <c r="A201">
        <v>1879217535</v>
      </c>
      <c r="B201">
        <v>167</v>
      </c>
      <c r="C201" t="s">
        <v>2650</v>
      </c>
      <c r="D201" t="s">
        <v>24</v>
      </c>
      <c r="E201" t="s">
        <v>736</v>
      </c>
      <c r="Q201" t="s">
        <v>981</v>
      </c>
      <c r="R201" t="s">
        <v>980</v>
      </c>
      <c r="S201">
        <v>0</v>
      </c>
      <c r="X201" t="str">
        <f t="shared" si="145"/>
        <v>[200] = {["ID"] = 1879217535; }; -- Consume Consumables: Snow-jars (Yule Festival)</v>
      </c>
      <c r="Y201" s="1" t="str">
        <f t="shared" si="147"/>
        <v>[200]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1">
        <f t="shared" si="143"/>
        <v>200</v>
      </c>
      <c r="AA201" t="str">
        <f t="shared" si="148"/>
        <v>[200] = {</v>
      </c>
      <c r="AB201" t="str">
        <f t="shared" si="149"/>
        <v xml:space="preserve">["ID"] = 1879217535; </v>
      </c>
      <c r="AC201" t="str">
        <f t="shared" si="150"/>
        <v xml:space="preserve">["ID"] = 1879217535; </v>
      </c>
      <c r="AD201" t="str">
        <f t="shared" si="151"/>
        <v/>
      </c>
      <c r="AE201" t="str">
        <f t="shared" si="152"/>
        <v xml:space="preserve"> (Yule Festival)</v>
      </c>
      <c r="AF201" s="1" t="str">
        <f t="shared" si="153"/>
        <v xml:space="preserve">["SAVE_INDEX"] = 167; </v>
      </c>
      <c r="AG201">
        <f>VLOOKUP(D201,Type!A$2:B$16,2,FALSE)</f>
        <v>12</v>
      </c>
      <c r="AH201" t="str">
        <f t="shared" si="154"/>
        <v xml:space="preserve">["TYPE"] = 12;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46"/>
        <v/>
      </c>
      <c r="BB201" t="str">
        <f t="shared" si="168"/>
        <v xml:space="preserve">                     </v>
      </c>
      <c r="BC201" t="str">
        <f t="shared" si="169"/>
        <v xml:space="preserve">                  </v>
      </c>
      <c r="BD201" t="str">
        <f t="shared" si="170"/>
        <v xml:space="preserve">["NAME"] = { ["EN"] = "Consume Consumables: Snow-jars"; }; </v>
      </c>
      <c r="BE201" t="str">
        <f t="shared" si="171"/>
        <v xml:space="preserve">["LORE"] = { ["EN"] = "Snow-jars can be purchased during the Winter Festival. You should use snow-jars many times to accomplish this deed."; }; </v>
      </c>
      <c r="BF201" t="str">
        <f t="shared" si="172"/>
        <v xml:space="preserve">["SUMMARY"] = { ["EN"] = "Use snow-jars 300 times."; }; </v>
      </c>
      <c r="BG201" t="str">
        <f t="shared" si="173"/>
        <v/>
      </c>
      <c r="BH201" t="str">
        <f t="shared" si="174"/>
        <v/>
      </c>
      <c r="BI201" t="str">
        <f t="shared" si="175"/>
        <v/>
      </c>
      <c r="BJ201" t="str">
        <f t="shared" si="144"/>
        <v>};</v>
      </c>
    </row>
    <row r="202" spans="1:62" x14ac:dyDescent="0.25">
      <c r="A202">
        <v>1879414454</v>
      </c>
      <c r="B202">
        <v>211</v>
      </c>
      <c r="C202" t="s">
        <v>1682</v>
      </c>
      <c r="D202" t="s">
        <v>24</v>
      </c>
      <c r="E202" t="s">
        <v>736</v>
      </c>
      <c r="Q202" t="s">
        <v>1683</v>
      </c>
      <c r="R202" t="s">
        <v>2178</v>
      </c>
      <c r="S202">
        <v>0</v>
      </c>
      <c r="T202">
        <v>20</v>
      </c>
      <c r="X202" t="str">
        <f t="shared" si="145"/>
        <v>[201] = {["ID"] = 1879414454; }; -- Bringer of Good Cheer (Yule Festival)</v>
      </c>
      <c r="Y202" s="1" t="str">
        <f t="shared" si="147"/>
        <v>[201] = {["ID"] = 1879414454; ["SAVE_INDEX"] = 211; ["TYPE"] = 12;                       ["SUBTYPE"] =   0;                                   ["VXP"] =    0; ["LP"] =  0; ["REP"] =     0; ["FACTION"] =  1; ["MIN_LVL"] =  "20";                   ["NAME"] = { ["EN"] = "Bringer of Good Cheer"; }; ["LORE"] = { ["EN"] = "Complete 'A Mission to Bring Good Cheer'."; }; ["SUMMARY"] = { ["EN"] = "Complete 'A Mission to Bring Good Cheer' 40 times."; }; };</v>
      </c>
      <c r="Z202">
        <f t="shared" si="143"/>
        <v>201</v>
      </c>
      <c r="AA202" t="str">
        <f t="shared" si="148"/>
        <v>[201] = {</v>
      </c>
      <c r="AB202" t="str">
        <f t="shared" si="149"/>
        <v xml:space="preserve">["ID"] = 1879414454; </v>
      </c>
      <c r="AC202" t="str">
        <f t="shared" si="150"/>
        <v xml:space="preserve">["ID"] = 1879414454; </v>
      </c>
      <c r="AD202" t="str">
        <f t="shared" si="151"/>
        <v/>
      </c>
      <c r="AE202" t="str">
        <f t="shared" si="152"/>
        <v xml:space="preserve"> (Yule Festival)</v>
      </c>
      <c r="AF202" s="1" t="str">
        <f t="shared" si="153"/>
        <v xml:space="preserve">["SAVE_INDEX"] = 211;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46"/>
        <v/>
      </c>
      <c r="BB202" t="str">
        <f t="shared" si="168"/>
        <v xml:space="preserve">["MIN_LVL"] =  "20"; </v>
      </c>
      <c r="BC202" t="str">
        <f t="shared" si="169"/>
        <v xml:space="preserve">                  </v>
      </c>
      <c r="BD202" t="str">
        <f t="shared" si="170"/>
        <v xml:space="preserve">["NAME"] = { ["EN"] = "Bringer of Good Cheer"; }; </v>
      </c>
      <c r="BE202" t="str">
        <f t="shared" si="171"/>
        <v xml:space="preserve">["LORE"] = { ["EN"] = "Complete 'A Mission to Bring Good Cheer'."; }; </v>
      </c>
      <c r="BF202" t="str">
        <f t="shared" si="172"/>
        <v xml:space="preserve">["SUMMARY"] = { ["EN"] = "Complete 'A Mission to Bring Good Cheer' 40 times."; }; </v>
      </c>
      <c r="BG202" t="str">
        <f t="shared" si="173"/>
        <v/>
      </c>
      <c r="BH202" t="str">
        <f t="shared" si="174"/>
        <v/>
      </c>
      <c r="BI202" t="str">
        <f t="shared" si="175"/>
        <v/>
      </c>
      <c r="BJ202" t="str">
        <f t="shared" si="144"/>
        <v>};</v>
      </c>
    </row>
    <row r="203" spans="1:62" x14ac:dyDescent="0.25">
      <c r="C203" s="3" t="s">
        <v>2768</v>
      </c>
      <c r="D203" s="2" t="s">
        <v>812</v>
      </c>
      <c r="S203" s="4">
        <v>1</v>
      </c>
      <c r="V203">
        <v>141</v>
      </c>
      <c r="X203" t="str">
        <f t="shared" si="145"/>
        <v>[202] = {["CAT_ID"] = 141; ["TIER"] = 1; }; -- - Boss from the Vaults: Storvâgûn -</v>
      </c>
      <c r="Y203" s="1" t="str">
        <f t="shared" si="147"/>
        <v>[202] = {                                           ["TYPE"] = 14;                       ["SUBTYPE"] =   0;                                   ["VXP"] =    0; ["LP"] =  0; ["REP"] =     0; ["FACTION"] =  1; ["TIER"] = 1;                                        ["NAME"] = { ["EN"] = "- Boss from the Vaults: Storvâgûn -"; }; };</v>
      </c>
      <c r="Z203">
        <f t="shared" si="143"/>
        <v>202</v>
      </c>
      <c r="AA203" t="str">
        <f t="shared" si="148"/>
        <v>[202] = {</v>
      </c>
      <c r="AB203" t="str">
        <f t="shared" si="149"/>
        <v xml:space="preserve">                     </v>
      </c>
      <c r="AC203" t="str">
        <f t="shared" si="150"/>
        <v/>
      </c>
      <c r="AD203" t="str">
        <f t="shared" si="151"/>
        <v xml:space="preserve">["CAT_ID"] = 141; </v>
      </c>
      <c r="AE203" t="str">
        <f t="shared" si="152"/>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46"/>
        <v xml:space="preserve">["TIER"] = 1; </v>
      </c>
      <c r="BB203" t="str">
        <f t="shared" si="168"/>
        <v xml:space="preserve">                     </v>
      </c>
      <c r="BC203" t="str">
        <f t="shared" si="169"/>
        <v xml:space="preserve">                  </v>
      </c>
      <c r="BD203" t="str">
        <f t="shared" si="170"/>
        <v xml:space="preserve">["NAME"] = { ["EN"] = "- Boss from the Vaults: Storvâgûn -"; }; </v>
      </c>
      <c r="BE203" t="str">
        <f t="shared" si="171"/>
        <v/>
      </c>
      <c r="BF203" t="str">
        <f t="shared" si="172"/>
        <v/>
      </c>
      <c r="BG203" t="str">
        <f t="shared" si="173"/>
        <v/>
      </c>
      <c r="BH203" t="str">
        <f t="shared" si="174"/>
        <v/>
      </c>
      <c r="BI203" t="str">
        <f t="shared" si="175"/>
        <v/>
      </c>
      <c r="BJ203" t="str">
        <f t="shared" si="144"/>
        <v>};</v>
      </c>
    </row>
    <row r="204" spans="1:62" x14ac:dyDescent="0.25">
      <c r="A204">
        <v>1879385054</v>
      </c>
      <c r="B204">
        <v>99</v>
      </c>
      <c r="C204" t="s">
        <v>1848</v>
      </c>
      <c r="D204" t="s">
        <v>24</v>
      </c>
      <c r="E204" t="s">
        <v>736</v>
      </c>
      <c r="M204" t="s">
        <v>3529</v>
      </c>
      <c r="Q204" t="s">
        <v>1850</v>
      </c>
      <c r="R204" t="s">
        <v>1849</v>
      </c>
      <c r="S204">
        <v>0</v>
      </c>
      <c r="T204" t="s">
        <v>1691</v>
      </c>
      <c r="X204" t="str">
        <f t="shared" si="145"/>
        <v>[203] = {["ID"] = 1879385054; }; -- Aggravated Avalanches (Yule Festival)</v>
      </c>
      <c r="Y204" s="1" t="str">
        <f t="shared" si="147"/>
        <v>[203]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3"/>
        <v>203</v>
      </c>
      <c r="AA204" t="str">
        <f t="shared" si="148"/>
        <v>[203] = {</v>
      </c>
      <c r="AB204" t="str">
        <f t="shared" si="149"/>
        <v xml:space="preserve">["ID"] = 1879385054; </v>
      </c>
      <c r="AC204" t="str">
        <f t="shared" si="150"/>
        <v xml:space="preserve">["ID"] = 1879385054; </v>
      </c>
      <c r="AD204" t="str">
        <f t="shared" si="151"/>
        <v/>
      </c>
      <c r="AE204" t="str">
        <f t="shared" si="152"/>
        <v xml:space="preserve"> (Yule Festival)</v>
      </c>
      <c r="AF204" s="1" t="str">
        <f t="shared" si="153"/>
        <v xml:space="preserve">["SAVE_INDEX"] =  99; </v>
      </c>
      <c r="AG204">
        <f>VLOOKUP(D204,Type!A$2:B$16,2,FALSE)</f>
        <v>12</v>
      </c>
      <c r="AH204" t="str">
        <f t="shared" si="154"/>
        <v xml:space="preserve">["TYPE"] = 12; </v>
      </c>
      <c r="AI204" t="str">
        <f t="shared" si="155"/>
        <v xml:space="preserve">                      </v>
      </c>
      <c r="AJ204" t="str">
        <f>IF(AND(F204="Class",NOT(ISBLANK(E204))),VLOOKUP(E204,Class!A$1:B$12,2,FALSE),"")</f>
        <v/>
      </c>
      <c r="AK204" t="str">
        <f>IF(AND(F204="Vocation",NOT(ISBLANK(E204))),VLOOKUP(E204,Vocation!A$1:B$8,2,FALSE),"")</f>
        <v/>
      </c>
      <c r="AL204" t="str">
        <f>IF(AND(F204="Race",NOT(ISBLANK(E204))),VLOOKUP(E204,Race!A$1:B$9,2,),"")</f>
        <v/>
      </c>
      <c r="AM204" t="str">
        <f t="shared" si="156"/>
        <v xml:space="preserve">  0</v>
      </c>
      <c r="AN204" t="str">
        <f t="shared" si="157"/>
        <v xml:space="preserve">["SUBTYPE"] =   0; </v>
      </c>
      <c r="AO204" t="str">
        <f>IF(NOT(ISBLANK(G204)),VLOOKUP(G204,Type!D$2:E$6,2,FALSE),"")</f>
        <v/>
      </c>
      <c r="AP204" t="str">
        <f t="shared" si="158"/>
        <v xml:space="preserve">            </v>
      </c>
      <c r="AQ204" t="str">
        <f t="shared" si="159"/>
        <v xml:space="preserve">                      </v>
      </c>
      <c r="AR204" t="str">
        <f t="shared" si="160"/>
        <v/>
      </c>
      <c r="AS204" t="str">
        <f t="shared" si="161"/>
        <v>0</v>
      </c>
      <c r="AT204" t="str">
        <f t="shared" si="162"/>
        <v xml:space="preserve">["VXP"] =    0; </v>
      </c>
      <c r="AU204" t="str">
        <f t="shared" si="163"/>
        <v>0</v>
      </c>
      <c r="AV204" t="str">
        <f t="shared" si="164"/>
        <v xml:space="preserve">["LP"] =  0; </v>
      </c>
      <c r="AW204" t="str">
        <f t="shared" si="165"/>
        <v>0</v>
      </c>
      <c r="AX204" t="str">
        <f t="shared" si="166"/>
        <v xml:space="preserve">["REP"] =     0; </v>
      </c>
      <c r="AY204">
        <f>IF(LEN(P204)&gt;0,VLOOKUP(P204,Faction!A$2:B$77,2,FALSE),1)</f>
        <v>1</v>
      </c>
      <c r="AZ204" t="str">
        <f t="shared" si="167"/>
        <v xml:space="preserve">["FACTION"] =  1; </v>
      </c>
      <c r="BA204" t="str">
        <f t="shared" si="146"/>
        <v/>
      </c>
      <c r="BB204" t="str">
        <f t="shared" si="168"/>
        <v xml:space="preserve">["MIN_LVL"] = "CAP"; </v>
      </c>
      <c r="BC204" t="str">
        <f t="shared" si="169"/>
        <v xml:space="preserve">                  </v>
      </c>
      <c r="BD204" t="str">
        <f t="shared" si="170"/>
        <v xml:space="preserve">["NAME"] = { ["EN"] = "Aggravated Avalanches"; }; </v>
      </c>
      <c r="BE204" t="str">
        <f t="shared" si="171"/>
        <v xml:space="preserve">["LORE"] = { ["EN"] = "After spending countless years in the Misty Mountains, Storvâgûn has learned to withstand great avalanches."; }; </v>
      </c>
      <c r="BF204" t="str">
        <f t="shared" si="172"/>
        <v xml:space="preserve">["SUMMARY"] = { ["EN"] = "Defeat Storvâgûn without anyone being caught in an avalanche at Tier 2, level cap."; }; </v>
      </c>
      <c r="BG204" t="str">
        <f t="shared" si="173"/>
        <v xml:space="preserve">["TITLE"] = { ["EN"] = "the Sure-footed"; }; </v>
      </c>
      <c r="BH204" t="str">
        <f t="shared" si="174"/>
        <v/>
      </c>
      <c r="BI204" t="str">
        <f t="shared" si="175"/>
        <v/>
      </c>
      <c r="BJ204" t="str">
        <f t="shared" si="144"/>
        <v>};</v>
      </c>
    </row>
    <row r="205" spans="1:62" x14ac:dyDescent="0.25">
      <c r="C205" s="3" t="s">
        <v>2766</v>
      </c>
      <c r="D205" s="2" t="s">
        <v>812</v>
      </c>
      <c r="S205">
        <v>1</v>
      </c>
      <c r="V205">
        <v>142</v>
      </c>
      <c r="X205" t="str">
        <f t="shared" si="145"/>
        <v>[204] = {["CAT_ID"] = 142; ["TIER"] = 1; }; -- - The Battle at Frostbluff -</v>
      </c>
      <c r="Y205" s="1" t="str">
        <f t="shared" si="147"/>
        <v>[204] = {                                           ["TYPE"] = 14;                       ["SUBTYPE"] =   0;                                   ["VXP"] =    0; ["LP"] =  0; ["REP"] =     0; ["FACTION"] =  1; ["TIER"] = 1;                                        ["NAME"] = { ["EN"] = "- The Battle at Frostbluff -"; }; };</v>
      </c>
      <c r="Z205">
        <f t="shared" si="143"/>
        <v>204</v>
      </c>
      <c r="AA205" t="str">
        <f t="shared" si="148"/>
        <v>[204] = {</v>
      </c>
      <c r="AB205" t="str">
        <f t="shared" si="149"/>
        <v xml:space="preserve">                     </v>
      </c>
      <c r="AC205" t="str">
        <f t="shared" si="150"/>
        <v/>
      </c>
      <c r="AD205" t="str">
        <f t="shared" si="151"/>
        <v xml:space="preserve">["CAT_ID"] = 142; </v>
      </c>
      <c r="AE205" t="str">
        <f t="shared" si="152"/>
        <v/>
      </c>
      <c r="AF205" s="1" t="str">
        <f t="shared" si="153"/>
        <v xml:space="preserve">                      </v>
      </c>
      <c r="AG205">
        <f>VLOOKUP(D205,Type!A$2:B$16,2,FALSE)</f>
        <v>14</v>
      </c>
      <c r="AH205" t="str">
        <f t="shared" si="154"/>
        <v xml:space="preserve">["TYPE"] = 14; </v>
      </c>
      <c r="AI205" t="str">
        <f t="shared" si="155"/>
        <v xml:space="preserve">                      </v>
      </c>
      <c r="AJ205" t="str">
        <f>IF(AND(F205="Class",NOT(ISBLANK(E205))),VLOOKUP(E205,Class!A$1:B$12,2,FALSE),"")</f>
        <v/>
      </c>
      <c r="AK205" t="str">
        <f>IF(AND(F205="Vocation",NOT(ISBLANK(E205))),VLOOKUP(E205,Vocation!A$1:B$8,2,FALSE),"")</f>
        <v/>
      </c>
      <c r="AL205" t="str">
        <f>IF(AND(F205="Race",NOT(ISBLANK(E205))),VLOOKUP(E205,Race!A$1:B$9,2,),"")</f>
        <v/>
      </c>
      <c r="AM205" t="str">
        <f t="shared" si="156"/>
        <v xml:space="preserve">  0</v>
      </c>
      <c r="AN205" t="str">
        <f t="shared" si="157"/>
        <v xml:space="preserve">["SUBTYPE"] =   0; </v>
      </c>
      <c r="AO205" t="str">
        <f>IF(NOT(ISBLANK(G205)),VLOOKUP(G205,Type!D$2:E$6,2,FALSE),"")</f>
        <v/>
      </c>
      <c r="AP205" t="str">
        <f t="shared" si="158"/>
        <v xml:space="preserve">            </v>
      </c>
      <c r="AQ205" t="str">
        <f t="shared" si="159"/>
        <v xml:space="preserve">                      </v>
      </c>
      <c r="AR205" t="str">
        <f t="shared" si="160"/>
        <v/>
      </c>
      <c r="AS205" t="str">
        <f t="shared" si="161"/>
        <v>0</v>
      </c>
      <c r="AT205" t="str">
        <f t="shared" si="162"/>
        <v xml:space="preserve">["VXP"] =    0; </v>
      </c>
      <c r="AU205" t="str">
        <f t="shared" si="163"/>
        <v>0</v>
      </c>
      <c r="AV205" t="str">
        <f t="shared" si="164"/>
        <v xml:space="preserve">["LP"] =  0; </v>
      </c>
      <c r="AW205" t="str">
        <f t="shared" si="165"/>
        <v>0</v>
      </c>
      <c r="AX205" t="str">
        <f t="shared" si="166"/>
        <v xml:space="preserve">["REP"] =     0; </v>
      </c>
      <c r="AY205">
        <f>IF(LEN(P205)&gt;0,VLOOKUP(P205,Faction!A$2:B$77,2,FALSE),1)</f>
        <v>1</v>
      </c>
      <c r="AZ205" t="str">
        <f t="shared" si="167"/>
        <v xml:space="preserve">["FACTION"] =  1; </v>
      </c>
      <c r="BA205" t="str">
        <f t="shared" si="146"/>
        <v xml:space="preserve">["TIER"] = 1; </v>
      </c>
      <c r="BB205" t="str">
        <f t="shared" si="168"/>
        <v xml:space="preserve">                     </v>
      </c>
      <c r="BC205" t="str">
        <f t="shared" si="169"/>
        <v xml:space="preserve">                  </v>
      </c>
      <c r="BD205" t="str">
        <f t="shared" si="170"/>
        <v xml:space="preserve">["NAME"] = { ["EN"] = "- The Battle at Frostbluff -"; }; </v>
      </c>
      <c r="BE205" t="str">
        <f t="shared" si="171"/>
        <v/>
      </c>
      <c r="BF205" t="str">
        <f t="shared" si="172"/>
        <v/>
      </c>
      <c r="BG205" t="str">
        <f t="shared" si="173"/>
        <v/>
      </c>
      <c r="BH205" t="str">
        <f t="shared" si="174"/>
        <v/>
      </c>
      <c r="BI205" t="str">
        <f t="shared" si="175"/>
        <v/>
      </c>
      <c r="BJ205" t="str">
        <f t="shared" si="144"/>
        <v>};</v>
      </c>
    </row>
    <row r="206" spans="1:62" x14ac:dyDescent="0.25">
      <c r="A206">
        <v>1879382901</v>
      </c>
      <c r="B206">
        <v>295</v>
      </c>
      <c r="C206" t="s">
        <v>2657</v>
      </c>
      <c r="D206" t="s">
        <v>24</v>
      </c>
      <c r="E206" t="s">
        <v>736</v>
      </c>
      <c r="M206" t="s">
        <v>2659</v>
      </c>
      <c r="Q206" t="s">
        <v>2661</v>
      </c>
      <c r="R206" t="s">
        <v>2660</v>
      </c>
      <c r="S206">
        <v>0</v>
      </c>
      <c r="T206" t="s">
        <v>1691</v>
      </c>
      <c r="X206" t="str">
        <f t="shared" si="145"/>
        <v>[205] = {["ID"] = 1879382901; }; -- Challenge: The Battle at Frostbluff -- Small Fellowship (Yule Festival)</v>
      </c>
      <c r="Y206" s="1" t="str">
        <f t="shared" si="147"/>
        <v>[205]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6">
        <f t="shared" si="143"/>
        <v>205</v>
      </c>
      <c r="AA206" t="str">
        <f t="shared" si="148"/>
        <v>[205] = {</v>
      </c>
      <c r="AB206" t="str">
        <f t="shared" si="149"/>
        <v xml:space="preserve">["ID"] = 1879382901; </v>
      </c>
      <c r="AC206" t="str">
        <f t="shared" si="150"/>
        <v xml:space="preserve">["ID"] = 1879382901; </v>
      </c>
      <c r="AD206" t="str">
        <f t="shared" si="151"/>
        <v/>
      </c>
      <c r="AE206" t="str">
        <f t="shared" si="152"/>
        <v xml:space="preserve"> (Yule Festival)</v>
      </c>
      <c r="AF206" s="1" t="str">
        <f t="shared" si="153"/>
        <v xml:space="preserve">["SAVE_INDEX"] = 295; </v>
      </c>
      <c r="AG206">
        <f>VLOOKUP(D206,Type!A$2:B$16,2,FALSE)</f>
        <v>12</v>
      </c>
      <c r="AH206" t="str">
        <f t="shared" si="154"/>
        <v xml:space="preserve">["TYPE"] = 12; </v>
      </c>
      <c r="AI206" t="str">
        <f t="shared" si="155"/>
        <v xml:space="preserve">                      </v>
      </c>
      <c r="AJ206" t="str">
        <f>IF(AND(F206="Class",NOT(ISBLANK(E206))),VLOOKUP(E206,Class!A$1:B$12,2,FALSE),"")</f>
        <v/>
      </c>
      <c r="AK206" t="str">
        <f>IF(AND(F206="Vocation",NOT(ISBLANK(E206))),VLOOKUP(E206,Vocation!A$1:B$8,2,FALSE),"")</f>
        <v/>
      </c>
      <c r="AL206" t="str">
        <f>IF(AND(F206="Race",NOT(ISBLANK(E206))),VLOOKUP(E206,Race!A$1:B$9,2,),"")</f>
        <v/>
      </c>
      <c r="AM206" t="str">
        <f t="shared" si="156"/>
        <v xml:space="preserve">  0</v>
      </c>
      <c r="AN206" t="str">
        <f t="shared" si="157"/>
        <v xml:space="preserve">["SUBTYPE"] =   0; </v>
      </c>
      <c r="AO206" t="str">
        <f>IF(NOT(ISBLANK(G206)),VLOOKUP(G206,Type!D$2:E$6,2,FALSE),"")</f>
        <v/>
      </c>
      <c r="AP206" t="str">
        <f t="shared" si="158"/>
        <v xml:space="preserve">            </v>
      </c>
      <c r="AQ206" t="str">
        <f t="shared" si="159"/>
        <v xml:space="preserve">                      </v>
      </c>
      <c r="AR206" t="str">
        <f t="shared" si="160"/>
        <v/>
      </c>
      <c r="AS206" t="str">
        <f t="shared" si="161"/>
        <v>0</v>
      </c>
      <c r="AT206" t="str">
        <f t="shared" si="162"/>
        <v xml:space="preserve">["VXP"] =    0; </v>
      </c>
      <c r="AU206" t="str">
        <f t="shared" si="163"/>
        <v>0</v>
      </c>
      <c r="AV206" t="str">
        <f t="shared" si="164"/>
        <v xml:space="preserve">["LP"] =  0; </v>
      </c>
      <c r="AW206" t="str">
        <f t="shared" si="165"/>
        <v>0</v>
      </c>
      <c r="AX206" t="str">
        <f t="shared" si="166"/>
        <v xml:space="preserve">["REP"] =     0; </v>
      </c>
      <c r="AY206">
        <f>IF(LEN(P206)&gt;0,VLOOKUP(P206,Faction!A$2:B$77,2,FALSE),1)</f>
        <v>1</v>
      </c>
      <c r="AZ206" t="str">
        <f t="shared" si="167"/>
        <v xml:space="preserve">["FACTION"] =  1; </v>
      </c>
      <c r="BA206" t="str">
        <f t="shared" si="146"/>
        <v/>
      </c>
      <c r="BB206" t="str">
        <f t="shared" si="168"/>
        <v xml:space="preserve">["MIN_LVL"] = "CAP"; </v>
      </c>
      <c r="BC206" t="str">
        <f t="shared" si="169"/>
        <v xml:space="preserve">                  </v>
      </c>
      <c r="BD206" t="str">
        <f t="shared" si="170"/>
        <v xml:space="preserve">["NAME"] = { ["EN"] = "Challenge: The Battle at Frostbluff -- Small Fellowship"; }; </v>
      </c>
      <c r="BE206" t="str">
        <f t="shared" si="171"/>
        <v xml:space="preserve">["LORE"] = { ["EN"] = "A dreadful cold has come down from the mountains!"; }; </v>
      </c>
      <c r="BF206" t="str">
        <f t="shared" si="172"/>
        <v xml:space="preserve">["SUMMARY"] = { ["EN"] = "Complete -- Challenge: The Flame Shall Burn -- Small Fellowship"; }; </v>
      </c>
      <c r="BG206" t="str">
        <f t="shared" si="173"/>
        <v xml:space="preserve">["TITLE"] = { ["EN"] = "Squire of Cluckland"; }; </v>
      </c>
      <c r="BH206" t="str">
        <f t="shared" si="174"/>
        <v/>
      </c>
      <c r="BI206" t="str">
        <f t="shared" si="175"/>
        <v/>
      </c>
      <c r="BJ206" t="str">
        <f t="shared" si="144"/>
        <v>};</v>
      </c>
    </row>
    <row r="207" spans="1:62" x14ac:dyDescent="0.25">
      <c r="A207">
        <v>1879382897</v>
      </c>
      <c r="B207">
        <v>296</v>
      </c>
      <c r="C207" t="s">
        <v>2658</v>
      </c>
      <c r="D207" t="s">
        <v>24</v>
      </c>
      <c r="E207" t="s">
        <v>736</v>
      </c>
      <c r="M207" t="s">
        <v>2663</v>
      </c>
      <c r="Q207" t="s">
        <v>2662</v>
      </c>
      <c r="R207" t="s">
        <v>2660</v>
      </c>
      <c r="S207">
        <v>0</v>
      </c>
      <c r="T207" t="s">
        <v>1691</v>
      </c>
      <c r="X207" t="str">
        <f t="shared" si="145"/>
        <v>[206] = {["ID"] = 1879382897; }; -- Challenge: The Battle at Frostbluff -- Fellowship (Yule Festival)</v>
      </c>
      <c r="Y207" s="1" t="str">
        <f t="shared" si="147"/>
        <v>[206]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7">
        <f t="shared" si="143"/>
        <v>206</v>
      </c>
      <c r="AA207" t="str">
        <f t="shared" si="148"/>
        <v>[206] = {</v>
      </c>
      <c r="AB207" t="str">
        <f t="shared" si="149"/>
        <v xml:space="preserve">["ID"] = 1879382897; </v>
      </c>
      <c r="AC207" t="str">
        <f t="shared" si="150"/>
        <v xml:space="preserve">["ID"] = 1879382897; </v>
      </c>
      <c r="AD207" t="str">
        <f t="shared" si="151"/>
        <v/>
      </c>
      <c r="AE207" t="str">
        <f t="shared" si="152"/>
        <v xml:space="preserve"> (Yule Festival)</v>
      </c>
      <c r="AF207" s="1" t="str">
        <f t="shared" si="153"/>
        <v xml:space="preserve">["SAVE_INDEX"] = 296; </v>
      </c>
      <c r="AG207">
        <f>VLOOKUP(D207,Type!A$2:B$16,2,FALSE)</f>
        <v>12</v>
      </c>
      <c r="AH207" t="str">
        <f t="shared" si="154"/>
        <v xml:space="preserve">["TYPE"] = 12; </v>
      </c>
      <c r="AI207" t="str">
        <f t="shared" si="155"/>
        <v xml:space="preserve">                      </v>
      </c>
      <c r="AJ207" t="str">
        <f>IF(AND(F207="Class",NOT(ISBLANK(E207))),VLOOKUP(E207,Class!A$1:B$12,2,FALSE),"")</f>
        <v/>
      </c>
      <c r="AK207" t="str">
        <f>IF(AND(F207="Vocation",NOT(ISBLANK(E207))),VLOOKUP(E207,Vocation!A$1:B$8,2,FALSE),"")</f>
        <v/>
      </c>
      <c r="AL207" t="str">
        <f>IF(AND(F207="Race",NOT(ISBLANK(E207))),VLOOKUP(E207,Race!A$1:B$9,2,),"")</f>
        <v/>
      </c>
      <c r="AM207" t="str">
        <f t="shared" si="156"/>
        <v xml:space="preserve">  0</v>
      </c>
      <c r="AN207" t="str">
        <f t="shared" si="157"/>
        <v xml:space="preserve">["SUBTYPE"] =   0; </v>
      </c>
      <c r="AO207" t="str">
        <f>IF(NOT(ISBLANK(G207)),VLOOKUP(G207,Type!D$2:E$6,2,FALSE),"")</f>
        <v/>
      </c>
      <c r="AP207" t="str">
        <f t="shared" si="158"/>
        <v xml:space="preserve">            </v>
      </c>
      <c r="AQ207" t="str">
        <f t="shared" si="159"/>
        <v xml:space="preserve">                      </v>
      </c>
      <c r="AR207" t="str">
        <f t="shared" si="160"/>
        <v/>
      </c>
      <c r="AS207" t="str">
        <f t="shared" si="161"/>
        <v>0</v>
      </c>
      <c r="AT207" t="str">
        <f t="shared" si="162"/>
        <v xml:space="preserve">["VXP"] =    0; </v>
      </c>
      <c r="AU207" t="str">
        <f t="shared" si="163"/>
        <v>0</v>
      </c>
      <c r="AV207" t="str">
        <f t="shared" si="164"/>
        <v xml:space="preserve">["LP"] =  0; </v>
      </c>
      <c r="AW207" t="str">
        <f t="shared" si="165"/>
        <v>0</v>
      </c>
      <c r="AX207" t="str">
        <f t="shared" si="166"/>
        <v xml:space="preserve">["REP"] =     0; </v>
      </c>
      <c r="AY207">
        <f>IF(LEN(P207)&gt;0,VLOOKUP(P207,Faction!A$2:B$77,2,FALSE),1)</f>
        <v>1</v>
      </c>
      <c r="AZ207" t="str">
        <f t="shared" si="167"/>
        <v xml:space="preserve">["FACTION"] =  1; </v>
      </c>
      <c r="BA207" t="str">
        <f t="shared" si="146"/>
        <v/>
      </c>
      <c r="BB207" t="str">
        <f t="shared" si="168"/>
        <v xml:space="preserve">["MIN_LVL"] = "CAP"; </v>
      </c>
      <c r="BC207" t="str">
        <f t="shared" si="169"/>
        <v xml:space="preserve">                  </v>
      </c>
      <c r="BD207" t="str">
        <f t="shared" si="170"/>
        <v xml:space="preserve">["NAME"] = { ["EN"] = "Challenge: The Battle at Frostbluff -- Fellowship"; }; </v>
      </c>
      <c r="BE207" t="str">
        <f t="shared" si="171"/>
        <v xml:space="preserve">["LORE"] = { ["EN"] = "A dreadful cold has come down from the mountains!"; }; </v>
      </c>
      <c r="BF207" t="str">
        <f t="shared" si="172"/>
        <v xml:space="preserve">["SUMMARY"] = { ["EN"] = "Complete -- Challenge: The Flame Shall Burn -- Fellowship"; }; </v>
      </c>
      <c r="BG207" t="str">
        <f t="shared" si="173"/>
        <v xml:space="preserve">["TITLE"] = { ["EN"] = "The Frostbluff King"; }; </v>
      </c>
      <c r="BH207" t="str">
        <f t="shared" si="174"/>
        <v/>
      </c>
      <c r="BI207" t="str">
        <f t="shared" si="175"/>
        <v/>
      </c>
      <c r="BJ207" t="str">
        <f t="shared" si="144"/>
        <v>};</v>
      </c>
    </row>
    <row r="208" spans="1:62" x14ac:dyDescent="0.25">
      <c r="C208" s="2" t="s">
        <v>2651</v>
      </c>
      <c r="D208" s="2" t="s">
        <v>812</v>
      </c>
      <c r="S208">
        <v>0</v>
      </c>
      <c r="V208">
        <v>143</v>
      </c>
      <c r="X208" t="str">
        <f t="shared" si="145"/>
        <v>[207] = {["CAT_ID"] = 143; }; -- Ill Omens</v>
      </c>
      <c r="Y208" s="1" t="str">
        <f t="shared" si="147"/>
        <v>[207] = {                                           ["TYPE"] = 14;                       ["SUBTYPE"] =   0;                                   ["VXP"] =    0; ["LP"] =  0; ["REP"] =     0; ["FACTION"] =  1;                                        ["NAME"] = { ["EN"] = "Ill Omens"; }; };</v>
      </c>
      <c r="Z208">
        <f t="shared" si="143"/>
        <v>207</v>
      </c>
      <c r="AA208" t="str">
        <f t="shared" si="148"/>
        <v>[207] = {</v>
      </c>
      <c r="AB208" t="str">
        <f t="shared" si="149"/>
        <v xml:space="preserve">                     </v>
      </c>
      <c r="AC208" t="str">
        <f t="shared" si="150"/>
        <v/>
      </c>
      <c r="AD208" t="str">
        <f t="shared" si="151"/>
        <v xml:space="preserve">["CAT_ID"] = 143; </v>
      </c>
      <c r="AE208" t="str">
        <f t="shared" si="152"/>
        <v/>
      </c>
      <c r="AF208" s="1" t="str">
        <f t="shared" si="153"/>
        <v xml:space="preserve">                      </v>
      </c>
      <c r="AG208">
        <f>VLOOKUP(D208,Type!A$2:B$16,2,FALSE)</f>
        <v>14</v>
      </c>
      <c r="AH208" t="str">
        <f t="shared" si="154"/>
        <v xml:space="preserve">["TYPE"] = 14; </v>
      </c>
      <c r="AI208" t="str">
        <f t="shared" si="155"/>
        <v xml:space="preserve">                      </v>
      </c>
      <c r="AJ208" t="str">
        <f>IF(AND(F208="Class",NOT(ISBLANK(E208))),VLOOKUP(E208,Class!A$1:B$12,2,FALSE),"")</f>
        <v/>
      </c>
      <c r="AK208" t="str">
        <f>IF(AND(F208="Vocation",NOT(ISBLANK(E208))),VLOOKUP(E208,Vocation!A$1:B$8,2,FALSE),"")</f>
        <v/>
      </c>
      <c r="AL208" t="str">
        <f>IF(AND(F208="Race",NOT(ISBLANK(E208))),VLOOKUP(E208,Race!A$1:B$9,2,),"")</f>
        <v/>
      </c>
      <c r="AM208" t="str">
        <f t="shared" si="156"/>
        <v xml:space="preserve">  0</v>
      </c>
      <c r="AN208" t="str">
        <f t="shared" si="157"/>
        <v xml:space="preserve">["SUBTYPE"] =   0; </v>
      </c>
      <c r="AO208" t="str">
        <f>IF(NOT(ISBLANK(G208)),VLOOKUP(G208,Type!D$2:E$6,2,FALSE),"")</f>
        <v/>
      </c>
      <c r="AP208" t="str">
        <f t="shared" si="158"/>
        <v xml:space="preserve">            </v>
      </c>
      <c r="AQ208" t="str">
        <f t="shared" si="159"/>
        <v xml:space="preserve">                      </v>
      </c>
      <c r="AR208" t="str">
        <f t="shared" si="160"/>
        <v/>
      </c>
      <c r="AS208" t="str">
        <f t="shared" si="161"/>
        <v>0</v>
      </c>
      <c r="AT208" t="str">
        <f t="shared" si="162"/>
        <v xml:space="preserve">["VXP"] =    0; </v>
      </c>
      <c r="AU208" t="str">
        <f t="shared" si="163"/>
        <v>0</v>
      </c>
      <c r="AV208" t="str">
        <f t="shared" si="164"/>
        <v xml:space="preserve">["LP"] =  0; </v>
      </c>
      <c r="AW208" t="str">
        <f t="shared" si="165"/>
        <v>0</v>
      </c>
      <c r="AX208" t="str">
        <f t="shared" si="166"/>
        <v xml:space="preserve">["REP"] =     0; </v>
      </c>
      <c r="AY208">
        <f>IF(LEN(P208)&gt;0,VLOOKUP(P208,Faction!A$2:B$77,2,FALSE),1)</f>
        <v>1</v>
      </c>
      <c r="AZ208" t="str">
        <f t="shared" si="167"/>
        <v xml:space="preserve">["FACTION"] =  1; </v>
      </c>
      <c r="BA208" t="str">
        <f t="shared" si="146"/>
        <v/>
      </c>
      <c r="BB208" t="str">
        <f t="shared" si="168"/>
        <v xml:space="preserve">                     </v>
      </c>
      <c r="BC208" t="str">
        <f t="shared" si="169"/>
        <v xml:space="preserve">                  </v>
      </c>
      <c r="BD208" t="str">
        <f t="shared" si="170"/>
        <v xml:space="preserve">["NAME"] = { ["EN"] = "Ill Omens"; }; </v>
      </c>
      <c r="BE208" t="str">
        <f t="shared" si="171"/>
        <v/>
      </c>
      <c r="BF208" t="str">
        <f t="shared" si="172"/>
        <v/>
      </c>
      <c r="BG208" t="str">
        <f t="shared" si="173"/>
        <v/>
      </c>
      <c r="BH208" t="str">
        <f t="shared" si="174"/>
        <v/>
      </c>
      <c r="BI208" t="str">
        <f t="shared" si="175"/>
        <v/>
      </c>
      <c r="BJ208" t="str">
        <f t="shared" si="144"/>
        <v>};</v>
      </c>
    </row>
    <row r="209" spans="1:62" x14ac:dyDescent="0.25">
      <c r="A209">
        <v>1879404512</v>
      </c>
      <c r="B209">
        <v>240</v>
      </c>
      <c r="C209" t="s">
        <v>2652</v>
      </c>
      <c r="D209" t="s">
        <v>24</v>
      </c>
      <c r="E209" t="s">
        <v>2651</v>
      </c>
      <c r="Q209" t="s">
        <v>2654</v>
      </c>
      <c r="R209" t="s">
        <v>2653</v>
      </c>
      <c r="S209">
        <v>0</v>
      </c>
      <c r="X209" t="str">
        <f t="shared" si="145"/>
        <v>[208] = {["ID"] = 1879404512; }; -- Consume Consumables: Bat Whirl (Ill Omens)</v>
      </c>
      <c r="Y209" s="1" t="str">
        <f t="shared" si="147"/>
        <v>[208]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09">
        <f t="shared" si="143"/>
        <v>208</v>
      </c>
      <c r="AA209" t="str">
        <f t="shared" si="148"/>
        <v>[208] = {</v>
      </c>
      <c r="AB209" t="str">
        <f t="shared" si="149"/>
        <v xml:space="preserve">["ID"] = 1879404512; </v>
      </c>
      <c r="AC209" t="str">
        <f t="shared" si="150"/>
        <v xml:space="preserve">["ID"] = 1879404512; </v>
      </c>
      <c r="AD209" t="str">
        <f t="shared" si="151"/>
        <v/>
      </c>
      <c r="AE209" t="str">
        <f t="shared" si="152"/>
        <v xml:space="preserve"> (Ill Omens)</v>
      </c>
      <c r="AF209" s="1" t="str">
        <f t="shared" si="153"/>
        <v xml:space="preserve">["SAVE_INDEX"] = 240; </v>
      </c>
      <c r="AG209">
        <f>VLOOKUP(D209,Type!A$2:B$16,2,FALSE)</f>
        <v>12</v>
      </c>
      <c r="AH209" t="str">
        <f t="shared" si="154"/>
        <v xml:space="preserve">["TYPE"] = 12; </v>
      </c>
      <c r="AI209" t="str">
        <f t="shared" si="155"/>
        <v xml:space="preserve">                      </v>
      </c>
      <c r="AJ209" t="str">
        <f>IF(AND(F209="Class",NOT(ISBLANK(E209))),VLOOKUP(E209,Class!A$1:B$12,2,FALSE),"")</f>
        <v/>
      </c>
      <c r="AK209" t="str">
        <f>IF(AND(F209="Vocation",NOT(ISBLANK(E209))),VLOOKUP(E209,Vocation!A$1:B$8,2,FALSE),"")</f>
        <v/>
      </c>
      <c r="AL209" t="str">
        <f>IF(AND(F209="Race",NOT(ISBLANK(E209))),VLOOKUP(E209,Race!A$1:B$9,2,),"")</f>
        <v/>
      </c>
      <c r="AM209" t="str">
        <f t="shared" si="156"/>
        <v xml:space="preserve">  0</v>
      </c>
      <c r="AN209" t="str">
        <f t="shared" si="157"/>
        <v xml:space="preserve">["SUBTYPE"] =   0; </v>
      </c>
      <c r="AO209" t="str">
        <f>IF(NOT(ISBLANK(G209)),VLOOKUP(G209,Type!D$2:E$6,2,FALSE),"")</f>
        <v/>
      </c>
      <c r="AP209" t="str">
        <f t="shared" si="158"/>
        <v xml:space="preserve">            </v>
      </c>
      <c r="AQ209" t="str">
        <f t="shared" si="159"/>
        <v xml:space="preserve">                      </v>
      </c>
      <c r="AR209" t="str">
        <f t="shared" si="160"/>
        <v/>
      </c>
      <c r="AS209" t="str">
        <f t="shared" si="161"/>
        <v>0</v>
      </c>
      <c r="AT209" t="str">
        <f t="shared" si="162"/>
        <v xml:space="preserve">["VXP"] =    0; </v>
      </c>
      <c r="AU209" t="str">
        <f t="shared" si="163"/>
        <v>0</v>
      </c>
      <c r="AV209" t="str">
        <f t="shared" si="164"/>
        <v xml:space="preserve">["LP"] =  0; </v>
      </c>
      <c r="AW209" t="str">
        <f t="shared" si="165"/>
        <v>0</v>
      </c>
      <c r="AX209" t="str">
        <f t="shared" si="166"/>
        <v xml:space="preserve">["REP"] =     0; </v>
      </c>
      <c r="AY209">
        <f>IF(LEN(P209)&gt;0,VLOOKUP(P209,Faction!A$2:B$77,2,FALSE),1)</f>
        <v>1</v>
      </c>
      <c r="AZ209" t="str">
        <f t="shared" si="167"/>
        <v xml:space="preserve">["FACTION"] =  1; </v>
      </c>
      <c r="BA209" t="str">
        <f t="shared" si="146"/>
        <v/>
      </c>
      <c r="BB209" t="str">
        <f t="shared" si="168"/>
        <v xml:space="preserve">                     </v>
      </c>
      <c r="BC209" t="str">
        <f t="shared" si="169"/>
        <v xml:space="preserve">                  </v>
      </c>
      <c r="BD209" t="str">
        <f t="shared" si="170"/>
        <v xml:space="preserve">["NAME"] = { ["EN"] = "Consume Consumables: Bat Whirl"; }; </v>
      </c>
      <c r="BE209" t="str">
        <f t="shared" si="171"/>
        <v xml:space="preserve">["LORE"] = { ["EN"] = "Bat Whirl can be purchased during the Ill Omens Skirmish event. You should use Bat Whirl many times to accomplish this deed."; }; </v>
      </c>
      <c r="BF209" t="str">
        <f t="shared" si="172"/>
        <v xml:space="preserve">["SUMMARY"] = { ["EN"] = "Use 100 bat whirls"; }; </v>
      </c>
      <c r="BG209" t="str">
        <f t="shared" si="173"/>
        <v/>
      </c>
      <c r="BH209" t="str">
        <f t="shared" si="174"/>
        <v/>
      </c>
      <c r="BI209" t="str">
        <f t="shared" si="175"/>
        <v/>
      </c>
      <c r="BJ209" t="str">
        <f t="shared" si="144"/>
        <v>};</v>
      </c>
    </row>
    <row r="210" spans="1:62" x14ac:dyDescent="0.25">
      <c r="C210" s="2" t="s">
        <v>782</v>
      </c>
      <c r="D210" s="2" t="s">
        <v>812</v>
      </c>
      <c r="S210">
        <v>0</v>
      </c>
      <c r="V210">
        <v>144</v>
      </c>
      <c r="X210" t="str">
        <f t="shared" si="145"/>
        <v>[209] = {["CAT_ID"] = 144; }; -- Spring Festival</v>
      </c>
      <c r="Y210" s="1" t="str">
        <f t="shared" si="147"/>
        <v>[209] = {                                           ["TYPE"] = 14;                       ["SUBTYPE"] =   0;                                   ["VXP"] =    0; ["LP"] =  0; ["REP"] =     0; ["FACTION"] =  1;                                        ["NAME"] = { ["EN"] = "Spring Festival"; }; };</v>
      </c>
      <c r="Z210">
        <f t="shared" si="143"/>
        <v>209</v>
      </c>
      <c r="AA210" t="str">
        <f t="shared" si="148"/>
        <v>[209] = {</v>
      </c>
      <c r="AB210" t="str">
        <f t="shared" si="149"/>
        <v xml:space="preserve">                     </v>
      </c>
      <c r="AC210" t="str">
        <f t="shared" si="150"/>
        <v/>
      </c>
      <c r="AD210" t="str">
        <f t="shared" si="151"/>
        <v xml:space="preserve">["CAT_ID"] = 144; </v>
      </c>
      <c r="AE210" t="str">
        <f t="shared" si="152"/>
        <v/>
      </c>
      <c r="AF210" s="1" t="str">
        <f t="shared" si="153"/>
        <v xml:space="preserve">                      </v>
      </c>
      <c r="AG210">
        <f>VLOOKUP(D210,Type!A$2:B$16,2,FALSE)</f>
        <v>14</v>
      </c>
      <c r="AH210" t="str">
        <f t="shared" si="154"/>
        <v xml:space="preserve">["TYPE"] = 14; </v>
      </c>
      <c r="AI210" t="str">
        <f t="shared" si="155"/>
        <v xml:space="preserve">                      </v>
      </c>
      <c r="AJ210" t="str">
        <f>IF(AND(F210="Class",NOT(ISBLANK(E210))),VLOOKUP(E210,Class!A$1:B$12,2,FALSE),"")</f>
        <v/>
      </c>
      <c r="AK210" t="str">
        <f>IF(AND(F210="Vocation",NOT(ISBLANK(E210))),VLOOKUP(E210,Vocation!A$1:B$8,2,FALSE),"")</f>
        <v/>
      </c>
      <c r="AL210" t="str">
        <f>IF(AND(F210="Race",NOT(ISBLANK(E210))),VLOOKUP(E210,Race!A$1:B$9,2,),"")</f>
        <v/>
      </c>
      <c r="AM210" t="str">
        <f t="shared" si="156"/>
        <v xml:space="preserve">  0</v>
      </c>
      <c r="AN210" t="str">
        <f t="shared" si="157"/>
        <v xml:space="preserve">["SUBTYPE"] =   0; </v>
      </c>
      <c r="AO210" t="str">
        <f>IF(NOT(ISBLANK(G210)),VLOOKUP(G210,Type!D$2:E$6,2,FALSE),"")</f>
        <v/>
      </c>
      <c r="AP210" t="str">
        <f t="shared" si="158"/>
        <v xml:space="preserve">            </v>
      </c>
      <c r="AQ210" t="str">
        <f t="shared" si="159"/>
        <v xml:space="preserve">                      </v>
      </c>
      <c r="AR210" t="str">
        <f t="shared" si="160"/>
        <v/>
      </c>
      <c r="AS210" t="str">
        <f t="shared" si="161"/>
        <v>0</v>
      </c>
      <c r="AT210" t="str">
        <f t="shared" si="162"/>
        <v xml:space="preserve">["VXP"] =    0; </v>
      </c>
      <c r="AU210" t="str">
        <f t="shared" si="163"/>
        <v>0</v>
      </c>
      <c r="AV210" t="str">
        <f t="shared" si="164"/>
        <v xml:space="preserve">["LP"] =  0; </v>
      </c>
      <c r="AW210" t="str">
        <f t="shared" si="165"/>
        <v>0</v>
      </c>
      <c r="AX210" t="str">
        <f t="shared" si="166"/>
        <v xml:space="preserve">["REP"] =     0; </v>
      </c>
      <c r="AY210">
        <f>IF(LEN(P210)&gt;0,VLOOKUP(P210,Faction!A$2:B$77,2,FALSE),1)</f>
        <v>1</v>
      </c>
      <c r="AZ210" t="str">
        <f t="shared" si="167"/>
        <v xml:space="preserve">["FACTION"] =  1; </v>
      </c>
      <c r="BA210" t="str">
        <f t="shared" si="146"/>
        <v/>
      </c>
      <c r="BB210" t="str">
        <f t="shared" si="168"/>
        <v xml:space="preserve">                     </v>
      </c>
      <c r="BC210" t="str">
        <f t="shared" si="169"/>
        <v xml:space="preserve">                  </v>
      </c>
      <c r="BD210" t="str">
        <f t="shared" si="170"/>
        <v xml:space="preserve">["NAME"] = { ["EN"] = "Spring Festival"; }; </v>
      </c>
      <c r="BE210" t="str">
        <f t="shared" si="171"/>
        <v/>
      </c>
      <c r="BF210" t="str">
        <f t="shared" si="172"/>
        <v/>
      </c>
      <c r="BG210" t="str">
        <f t="shared" si="173"/>
        <v/>
      </c>
      <c r="BH210" t="str">
        <f t="shared" si="174"/>
        <v/>
      </c>
      <c r="BI210" t="str">
        <f t="shared" si="175"/>
        <v/>
      </c>
      <c r="BJ210" t="str">
        <f t="shared" si="144"/>
        <v>};</v>
      </c>
    </row>
    <row r="211" spans="1:62" x14ac:dyDescent="0.25">
      <c r="A211">
        <v>1879184300</v>
      </c>
      <c r="B211">
        <v>168</v>
      </c>
      <c r="C211" t="s">
        <v>795</v>
      </c>
      <c r="D211" t="s">
        <v>24</v>
      </c>
      <c r="E211" t="s">
        <v>782</v>
      </c>
      <c r="M211" t="s">
        <v>798</v>
      </c>
      <c r="Q211" t="s">
        <v>796</v>
      </c>
      <c r="R211" t="s">
        <v>2146</v>
      </c>
      <c r="S211">
        <v>0</v>
      </c>
      <c r="T211">
        <v>6</v>
      </c>
      <c r="X211" t="str">
        <f t="shared" si="145"/>
        <v>[210] = {["ID"] = 1879184300; }; -- Festival Fortunes: Oddly Familiar (Spring Festival)</v>
      </c>
      <c r="Y211" s="1" t="str">
        <f t="shared" si="147"/>
        <v>[210]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1">
        <f t="shared" si="143"/>
        <v>210</v>
      </c>
      <c r="AA211" t="str">
        <f t="shared" si="148"/>
        <v>[210] = {</v>
      </c>
      <c r="AB211" t="str">
        <f t="shared" si="149"/>
        <v xml:space="preserve">["ID"] = 1879184300; </v>
      </c>
      <c r="AC211" t="str">
        <f t="shared" si="150"/>
        <v xml:space="preserve">["ID"] = 1879184300; </v>
      </c>
      <c r="AD211" t="str">
        <f t="shared" si="151"/>
        <v/>
      </c>
      <c r="AE211" t="str">
        <f t="shared" si="152"/>
        <v xml:space="preserve"> (Spring Festival)</v>
      </c>
      <c r="AF211" s="1" t="str">
        <f t="shared" si="153"/>
        <v xml:space="preserve">["SAVE_INDEX"] = 168; </v>
      </c>
      <c r="AG211">
        <f>VLOOKUP(D211,Type!A$2:B$16,2,FALSE)</f>
        <v>12</v>
      </c>
      <c r="AH211" t="str">
        <f t="shared" si="154"/>
        <v xml:space="preserve">["TYPE"] = 12; </v>
      </c>
      <c r="AI211" t="str">
        <f t="shared" si="155"/>
        <v xml:space="preserve">                      </v>
      </c>
      <c r="AJ211" t="str">
        <f>IF(AND(F211="Class",NOT(ISBLANK(E211))),VLOOKUP(E211,Class!A$1:B$12,2,FALSE),"")</f>
        <v/>
      </c>
      <c r="AK211" t="str">
        <f>IF(AND(F211="Vocation",NOT(ISBLANK(E211))),VLOOKUP(E211,Vocation!A$1:B$8,2,FALSE),"")</f>
        <v/>
      </c>
      <c r="AL211" t="str">
        <f>IF(AND(F211="Race",NOT(ISBLANK(E211))),VLOOKUP(E211,Race!A$1:B$9,2,),"")</f>
        <v/>
      </c>
      <c r="AM211" t="str">
        <f t="shared" si="156"/>
        <v xml:space="preserve">  0</v>
      </c>
      <c r="AN211" t="str">
        <f t="shared" si="157"/>
        <v xml:space="preserve">["SUBTYPE"] =   0; </v>
      </c>
      <c r="AO211" t="str">
        <f>IF(NOT(ISBLANK(G211)),VLOOKUP(G211,Type!D$2:E$6,2,FALSE),"")</f>
        <v/>
      </c>
      <c r="AP211" t="str">
        <f t="shared" si="158"/>
        <v xml:space="preserve">            </v>
      </c>
      <c r="AQ211" t="str">
        <f t="shared" si="159"/>
        <v xml:space="preserve">                      </v>
      </c>
      <c r="AR211" t="str">
        <f t="shared" si="160"/>
        <v/>
      </c>
      <c r="AS211" t="str">
        <f t="shared" si="161"/>
        <v>0</v>
      </c>
      <c r="AT211" t="str">
        <f t="shared" si="162"/>
        <v xml:space="preserve">["VXP"] =    0; </v>
      </c>
      <c r="AU211" t="str">
        <f t="shared" si="163"/>
        <v>0</v>
      </c>
      <c r="AV211" t="str">
        <f t="shared" si="164"/>
        <v xml:space="preserve">["LP"] =  0; </v>
      </c>
      <c r="AW211" t="str">
        <f t="shared" si="165"/>
        <v>0</v>
      </c>
      <c r="AX211" t="str">
        <f t="shared" si="166"/>
        <v xml:space="preserve">["REP"] =     0; </v>
      </c>
      <c r="AY211">
        <f>IF(LEN(P211)&gt;0,VLOOKUP(P211,Faction!A$2:B$77,2,FALSE),1)</f>
        <v>1</v>
      </c>
      <c r="AZ211" t="str">
        <f t="shared" si="167"/>
        <v xml:space="preserve">["FACTION"] =  1; </v>
      </c>
      <c r="BA211" t="str">
        <f t="shared" si="146"/>
        <v/>
      </c>
      <c r="BB211" t="str">
        <f t="shared" si="168"/>
        <v xml:space="preserve">["MIN_LVL"] =   "6"; </v>
      </c>
      <c r="BC211" t="str">
        <f t="shared" si="169"/>
        <v xml:space="preserve">                  </v>
      </c>
      <c r="BD211" t="str">
        <f t="shared" si="170"/>
        <v xml:space="preserve">["NAME"] = { ["EN"] = "Festival Fortunes: Oddly Familiar"; }; </v>
      </c>
      <c r="BE211" t="str">
        <f t="shared" si="171"/>
        <v xml:space="preserve">["LORE"] = { ["EN"] = "The festival cookies all contained strange pieces of paper with meaningingful phrases written upon them."; }; </v>
      </c>
      <c r="BF211" t="str">
        <f t="shared" si="172"/>
        <v xml:space="preserve">["SUMMARY"] = { ["EN"] = "Collect Fortune Cookies 1 - 10"; }; </v>
      </c>
      <c r="BG211" t="str">
        <f t="shared" si="173"/>
        <v xml:space="preserve">["TITLE"] = { ["EN"] = "Same Old Song"; }; </v>
      </c>
      <c r="BH211" t="str">
        <f t="shared" si="174"/>
        <v/>
      </c>
      <c r="BI211" t="str">
        <f t="shared" si="175"/>
        <v/>
      </c>
      <c r="BJ211" t="str">
        <f t="shared" si="144"/>
        <v>};</v>
      </c>
    </row>
    <row r="212" spans="1:62" x14ac:dyDescent="0.25">
      <c r="A212">
        <v>1879184301</v>
      </c>
      <c r="B212">
        <v>169</v>
      </c>
      <c r="C212" t="s">
        <v>783</v>
      </c>
      <c r="D212" t="s">
        <v>24</v>
      </c>
      <c r="E212" t="s">
        <v>782</v>
      </c>
      <c r="M212" t="s">
        <v>784</v>
      </c>
      <c r="Q212" t="s">
        <v>790</v>
      </c>
      <c r="R212" t="s">
        <v>2147</v>
      </c>
      <c r="S212">
        <v>0</v>
      </c>
      <c r="T212">
        <v>6</v>
      </c>
      <c r="X212" t="str">
        <f t="shared" si="145"/>
        <v>[211] = {["ID"] = 1879184301; }; -- Festival Fortunes: A Storyteller's Snippets (Spring Festival)</v>
      </c>
      <c r="Y212" s="1" t="str">
        <f t="shared" si="147"/>
        <v>[211]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5" si="176">ROW()-1</f>
        <v>211</v>
      </c>
      <c r="AA212" t="str">
        <f t="shared" si="148"/>
        <v>[211] = {</v>
      </c>
      <c r="AB212" t="str">
        <f t="shared" si="149"/>
        <v xml:space="preserve">["ID"] = 1879184301; </v>
      </c>
      <c r="AC212" t="str">
        <f t="shared" si="150"/>
        <v xml:space="preserve">["ID"] = 1879184301; </v>
      </c>
      <c r="AD212" t="str">
        <f t="shared" si="151"/>
        <v/>
      </c>
      <c r="AE212" t="str">
        <f t="shared" si="152"/>
        <v xml:space="preserve"> (Spring Festival)</v>
      </c>
      <c r="AF212" s="1" t="str">
        <f t="shared" si="153"/>
        <v xml:space="preserve">["SAVE_INDEX"] = 169; </v>
      </c>
      <c r="AG212">
        <f>VLOOKUP(D212,Type!A$2:B$16,2,FALSE)</f>
        <v>12</v>
      </c>
      <c r="AH212" t="str">
        <f t="shared" si="154"/>
        <v xml:space="preserve">["TYPE"] = 12; </v>
      </c>
      <c r="AI212" t="str">
        <f t="shared" si="155"/>
        <v xml:space="preserve">                      </v>
      </c>
      <c r="AJ212" t="str">
        <f>IF(AND(F212="Class",NOT(ISBLANK(E212))),VLOOKUP(E212,Class!A$1:B$12,2,FALSE),"")</f>
        <v/>
      </c>
      <c r="AK212" t="str">
        <f>IF(AND(F212="Vocation",NOT(ISBLANK(E212))),VLOOKUP(E212,Vocation!A$1:B$8,2,FALSE),"")</f>
        <v/>
      </c>
      <c r="AL212" t="str">
        <f>IF(AND(F212="Race",NOT(ISBLANK(E212))),VLOOKUP(E212,Race!A$1:B$9,2,),"")</f>
        <v/>
      </c>
      <c r="AM212" t="str">
        <f t="shared" si="156"/>
        <v xml:space="preserve">  0</v>
      </c>
      <c r="AN212" t="str">
        <f t="shared" si="157"/>
        <v xml:space="preserve">["SUBTYPE"] =   0; </v>
      </c>
      <c r="AO212" t="str">
        <f>IF(NOT(ISBLANK(G212)),VLOOKUP(G212,Type!D$2:E$6,2,FALSE),"")</f>
        <v/>
      </c>
      <c r="AP212" t="str">
        <f t="shared" si="158"/>
        <v xml:space="preserve">            </v>
      </c>
      <c r="AQ212" t="str">
        <f t="shared" si="159"/>
        <v xml:space="preserve">                      </v>
      </c>
      <c r="AR212" t="str">
        <f t="shared" si="160"/>
        <v/>
      </c>
      <c r="AS212" t="str">
        <f t="shared" si="161"/>
        <v>0</v>
      </c>
      <c r="AT212" t="str">
        <f t="shared" si="162"/>
        <v xml:space="preserve">["VXP"] =    0; </v>
      </c>
      <c r="AU212" t="str">
        <f t="shared" si="163"/>
        <v>0</v>
      </c>
      <c r="AV212" t="str">
        <f t="shared" si="164"/>
        <v xml:space="preserve">["LP"] =  0; </v>
      </c>
      <c r="AW212" t="str">
        <f t="shared" si="165"/>
        <v>0</v>
      </c>
      <c r="AX212" t="str">
        <f t="shared" si="166"/>
        <v xml:space="preserve">["REP"] =     0; </v>
      </c>
      <c r="AY212">
        <f>IF(LEN(P212)&gt;0,VLOOKUP(P212,Faction!A$2:B$77,2,FALSE),1)</f>
        <v>1</v>
      </c>
      <c r="AZ212" t="str">
        <f t="shared" si="167"/>
        <v xml:space="preserve">["FACTION"] =  1; </v>
      </c>
      <c r="BA212" t="str">
        <f t="shared" si="146"/>
        <v/>
      </c>
      <c r="BB212" t="str">
        <f t="shared" si="168"/>
        <v xml:space="preserve">["MIN_LVL"] =   "6"; </v>
      </c>
      <c r="BC212" t="str">
        <f t="shared" si="169"/>
        <v xml:space="preserve">                  </v>
      </c>
      <c r="BD212" t="str">
        <f t="shared" si="170"/>
        <v xml:space="preserve">["NAME"] = { ["EN"] = "Festival Fortunes: A Storyteller's Snippets"; }; </v>
      </c>
      <c r="BE212" t="str">
        <f t="shared" si="171"/>
        <v xml:space="preserve">["LORE"] = { ["EN"] = "The festival cookies all contained strange pieces of paper with meaningingful phrases written on them."; }; </v>
      </c>
      <c r="BF212" t="str">
        <f t="shared" si="172"/>
        <v xml:space="preserve">["SUMMARY"] = { ["EN"] = "Collect Fortune Cookies 11 - 20"; }; </v>
      </c>
      <c r="BG212" t="str">
        <f t="shared" si="173"/>
        <v xml:space="preserve">["TITLE"] = { ["EN"] = "the Peculiar"; }; </v>
      </c>
      <c r="BH212" t="str">
        <f t="shared" si="174"/>
        <v/>
      </c>
      <c r="BI212" t="str">
        <f t="shared" si="175"/>
        <v/>
      </c>
      <c r="BJ212" t="str">
        <f t="shared" ref="BJ212:BJ275" si="177">CONCATENATE("};")</f>
        <v>};</v>
      </c>
    </row>
    <row r="213" spans="1:62" x14ac:dyDescent="0.25">
      <c r="A213">
        <v>1879184302</v>
      </c>
      <c r="B213">
        <v>170</v>
      </c>
      <c r="C213" t="s">
        <v>793</v>
      </c>
      <c r="D213" t="s">
        <v>24</v>
      </c>
      <c r="E213" t="s">
        <v>782</v>
      </c>
      <c r="M213" t="s">
        <v>797</v>
      </c>
      <c r="Q213" t="s">
        <v>794</v>
      </c>
      <c r="R213" t="s">
        <v>2147</v>
      </c>
      <c r="S213">
        <v>0</v>
      </c>
      <c r="T213">
        <v>6</v>
      </c>
      <c r="X213" t="str">
        <f t="shared" si="145"/>
        <v>[212] = {["ID"] = 1879184302; }; -- Festival Fortunes: Fateful Foretellings (Spring Festival)</v>
      </c>
      <c r="Y213" s="1" t="str">
        <f t="shared" si="147"/>
        <v>[212]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6"/>
        <v>212</v>
      </c>
      <c r="AA213" t="str">
        <f t="shared" si="148"/>
        <v>[212] = {</v>
      </c>
      <c r="AB213" t="str">
        <f t="shared" si="149"/>
        <v xml:space="preserve">["ID"] = 1879184302; </v>
      </c>
      <c r="AC213" t="str">
        <f t="shared" si="150"/>
        <v xml:space="preserve">["ID"] = 1879184302; </v>
      </c>
      <c r="AD213" t="str">
        <f t="shared" si="151"/>
        <v/>
      </c>
      <c r="AE213" t="str">
        <f t="shared" si="152"/>
        <v xml:space="preserve"> (Spring Festival)</v>
      </c>
      <c r="AF213" s="1" t="str">
        <f t="shared" si="153"/>
        <v xml:space="preserve">["SAVE_INDEX"] = 170; </v>
      </c>
      <c r="AG213">
        <f>VLOOKUP(D213,Type!A$2:B$16,2,FALSE)</f>
        <v>12</v>
      </c>
      <c r="AH213" t="str">
        <f t="shared" si="154"/>
        <v xml:space="preserve">["TYPE"] = 12; </v>
      </c>
      <c r="AI213" t="str">
        <f t="shared" si="155"/>
        <v xml:space="preserve">                      </v>
      </c>
      <c r="AJ213" t="str">
        <f>IF(AND(F213="Class",NOT(ISBLANK(E213))),VLOOKUP(E213,Class!A$1:B$12,2,FALSE),"")</f>
        <v/>
      </c>
      <c r="AK213" t="str">
        <f>IF(AND(F213="Vocation",NOT(ISBLANK(E213))),VLOOKUP(E213,Vocation!A$1:B$8,2,FALSE),"")</f>
        <v/>
      </c>
      <c r="AL213" t="str">
        <f>IF(AND(F213="Race",NOT(ISBLANK(E213))),VLOOKUP(E213,Race!A$1:B$9,2,),"")</f>
        <v/>
      </c>
      <c r="AM213" t="str">
        <f t="shared" si="156"/>
        <v xml:space="preserve">  0</v>
      </c>
      <c r="AN213" t="str">
        <f t="shared" si="157"/>
        <v xml:space="preserve">["SUBTYPE"] =   0; </v>
      </c>
      <c r="AO213" t="str">
        <f>IF(NOT(ISBLANK(G213)),VLOOKUP(G213,Type!D$2:E$6,2,FALSE),"")</f>
        <v/>
      </c>
      <c r="AP213" t="str">
        <f t="shared" si="158"/>
        <v xml:space="preserve">            </v>
      </c>
      <c r="AQ213" t="str">
        <f t="shared" si="159"/>
        <v xml:space="preserve">                      </v>
      </c>
      <c r="AR213" t="str">
        <f t="shared" si="160"/>
        <v/>
      </c>
      <c r="AS213" t="str">
        <f t="shared" si="161"/>
        <v>0</v>
      </c>
      <c r="AT213" t="str">
        <f t="shared" si="162"/>
        <v xml:space="preserve">["VXP"] =    0; </v>
      </c>
      <c r="AU213" t="str">
        <f t="shared" si="163"/>
        <v>0</v>
      </c>
      <c r="AV213" t="str">
        <f t="shared" si="164"/>
        <v xml:space="preserve">["LP"] =  0; </v>
      </c>
      <c r="AW213" t="str">
        <f t="shared" si="165"/>
        <v>0</v>
      </c>
      <c r="AX213" t="str">
        <f t="shared" si="166"/>
        <v xml:space="preserve">["REP"] =     0; </v>
      </c>
      <c r="AY213">
        <f>IF(LEN(P213)&gt;0,VLOOKUP(P213,Faction!A$2:B$77,2,FALSE),1)</f>
        <v>1</v>
      </c>
      <c r="AZ213" t="str">
        <f t="shared" si="167"/>
        <v xml:space="preserve">["FACTION"] =  1; </v>
      </c>
      <c r="BA213" t="str">
        <f t="shared" si="146"/>
        <v/>
      </c>
      <c r="BB213" t="str">
        <f t="shared" si="168"/>
        <v xml:space="preserve">["MIN_LVL"] =   "6"; </v>
      </c>
      <c r="BC213" t="str">
        <f t="shared" si="169"/>
        <v xml:space="preserve">                  </v>
      </c>
      <c r="BD213" t="str">
        <f t="shared" si="170"/>
        <v xml:space="preserve">["NAME"] = { ["EN"] = "Festival Fortunes: Fateful Foretellings"; }; </v>
      </c>
      <c r="BE213" t="str">
        <f t="shared" si="171"/>
        <v xml:space="preserve">["LORE"] = { ["EN"] = "The festival cookies all contained strange pieces of paper with meaningingful phrases written on them."; }; </v>
      </c>
      <c r="BF213" t="str">
        <f t="shared" si="172"/>
        <v xml:space="preserve">["SUMMARY"] = { ["EN"] = "Collect Fortune Cookies 21 - 30"; }; </v>
      </c>
      <c r="BG213" t="str">
        <f t="shared" si="173"/>
        <v xml:space="preserve">["TITLE"] = { ["EN"] = "Writing on the Wall"; }; </v>
      </c>
      <c r="BH213" t="str">
        <f t="shared" si="174"/>
        <v/>
      </c>
      <c r="BI213" t="str">
        <f t="shared" si="175"/>
        <v/>
      </c>
      <c r="BJ213" t="str">
        <f t="shared" si="177"/>
        <v>};</v>
      </c>
    </row>
    <row r="214" spans="1:62" x14ac:dyDescent="0.25">
      <c r="A214">
        <v>1879184303</v>
      </c>
      <c r="B214">
        <v>171</v>
      </c>
      <c r="C214" t="s">
        <v>788</v>
      </c>
      <c r="D214" t="s">
        <v>24</v>
      </c>
      <c r="E214" t="s">
        <v>782</v>
      </c>
      <c r="M214" t="s">
        <v>789</v>
      </c>
      <c r="Q214" t="s">
        <v>792</v>
      </c>
      <c r="R214" t="s">
        <v>785</v>
      </c>
      <c r="S214">
        <v>0</v>
      </c>
      <c r="T214">
        <v>6</v>
      </c>
      <c r="X214" t="str">
        <f t="shared" si="145"/>
        <v>[213] = {["ID"] = 1879184303; }; -- Festival Fortunes: Excellent Advice (Spring Festival)</v>
      </c>
      <c r="Y214" s="1" t="str">
        <f t="shared" si="147"/>
        <v>[213]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4">
        <f t="shared" si="176"/>
        <v>213</v>
      </c>
      <c r="AA214" t="str">
        <f t="shared" si="148"/>
        <v>[213] = {</v>
      </c>
      <c r="AB214" t="str">
        <f t="shared" si="149"/>
        <v xml:space="preserve">["ID"] = 1879184303; </v>
      </c>
      <c r="AC214" t="str">
        <f t="shared" si="150"/>
        <v xml:space="preserve">["ID"] = 1879184303; </v>
      </c>
      <c r="AD214" t="str">
        <f t="shared" si="151"/>
        <v/>
      </c>
      <c r="AE214" t="str">
        <f t="shared" si="152"/>
        <v xml:space="preserve"> (Spring Festival)</v>
      </c>
      <c r="AF214" s="1" t="str">
        <f t="shared" si="153"/>
        <v xml:space="preserve">["SAVE_INDEX"] = 171; </v>
      </c>
      <c r="AG214">
        <f>VLOOKUP(D214,Type!A$2:B$16,2,FALSE)</f>
        <v>12</v>
      </c>
      <c r="AH214" t="str">
        <f t="shared" si="154"/>
        <v xml:space="preserve">["TYPE"] = 12; </v>
      </c>
      <c r="AI214" t="str">
        <f t="shared" si="155"/>
        <v xml:space="preserve">                      </v>
      </c>
      <c r="AJ214" t="str">
        <f>IF(AND(F214="Class",NOT(ISBLANK(E214))),VLOOKUP(E214,Class!A$1:B$12,2,FALSE),"")</f>
        <v/>
      </c>
      <c r="AK214" t="str">
        <f>IF(AND(F214="Vocation",NOT(ISBLANK(E214))),VLOOKUP(E214,Vocation!A$1:B$8,2,FALSE),"")</f>
        <v/>
      </c>
      <c r="AL214" t="str">
        <f>IF(AND(F214="Race",NOT(ISBLANK(E214))),VLOOKUP(E214,Race!A$1:B$9,2,),"")</f>
        <v/>
      </c>
      <c r="AM214" t="str">
        <f t="shared" si="156"/>
        <v xml:space="preserve">  0</v>
      </c>
      <c r="AN214" t="str">
        <f t="shared" si="157"/>
        <v xml:space="preserve">["SUBTYPE"] =   0; </v>
      </c>
      <c r="AO214" t="str">
        <f>IF(NOT(ISBLANK(G214)),VLOOKUP(G214,Type!D$2:E$6,2,FALSE),"")</f>
        <v/>
      </c>
      <c r="AP214" t="str">
        <f t="shared" si="158"/>
        <v xml:space="preserve">            </v>
      </c>
      <c r="AQ214" t="str">
        <f t="shared" si="159"/>
        <v xml:space="preserve">                      </v>
      </c>
      <c r="AR214" t="str">
        <f t="shared" si="160"/>
        <v/>
      </c>
      <c r="AS214" t="str">
        <f t="shared" si="161"/>
        <v>0</v>
      </c>
      <c r="AT214" t="str">
        <f t="shared" si="162"/>
        <v xml:space="preserve">["VXP"] =    0; </v>
      </c>
      <c r="AU214" t="str">
        <f t="shared" si="163"/>
        <v>0</v>
      </c>
      <c r="AV214" t="str">
        <f t="shared" si="164"/>
        <v xml:space="preserve">["LP"] =  0; </v>
      </c>
      <c r="AW214" t="str">
        <f t="shared" si="165"/>
        <v>0</v>
      </c>
      <c r="AX214" t="str">
        <f t="shared" si="166"/>
        <v xml:space="preserve">["REP"] =     0; </v>
      </c>
      <c r="AY214">
        <f>IF(LEN(P214)&gt;0,VLOOKUP(P214,Faction!A$2:B$77,2,FALSE),1)</f>
        <v>1</v>
      </c>
      <c r="AZ214" t="str">
        <f t="shared" si="167"/>
        <v xml:space="preserve">["FACTION"] =  1; </v>
      </c>
      <c r="BA214" t="str">
        <f t="shared" si="146"/>
        <v/>
      </c>
      <c r="BB214" t="str">
        <f t="shared" si="168"/>
        <v xml:space="preserve">["MIN_LVL"] =   "6"; </v>
      </c>
      <c r="BC214" t="str">
        <f t="shared" si="169"/>
        <v xml:space="preserve">                  </v>
      </c>
      <c r="BD214" t="str">
        <f t="shared" si="170"/>
        <v xml:space="preserve">["NAME"] = { ["EN"] = "Festival Fortunes: Excellent Advice"; }; </v>
      </c>
      <c r="BE214" t="str">
        <f t="shared" si="171"/>
        <v xml:space="preserve">["LORE"] = { ["EN"] = "The festival cookies all contained strange pieces of paper with meaningful phrases written on them."; }; </v>
      </c>
      <c r="BF214" t="str">
        <f t="shared" si="172"/>
        <v xml:space="preserve">["SUMMARY"] = { ["EN"] = "Collect Fortune Cookies 31 - 40"; }; </v>
      </c>
      <c r="BG214" t="str">
        <f t="shared" si="173"/>
        <v xml:space="preserve">["TITLE"] = { ["EN"] = "the Enlightened"; }; </v>
      </c>
      <c r="BH214" t="str">
        <f t="shared" si="174"/>
        <v/>
      </c>
      <c r="BI214" t="str">
        <f t="shared" si="175"/>
        <v/>
      </c>
      <c r="BJ214" t="str">
        <f t="shared" si="177"/>
        <v>};</v>
      </c>
    </row>
    <row r="215" spans="1:62" x14ac:dyDescent="0.25">
      <c r="A215">
        <v>1879184304</v>
      </c>
      <c r="B215">
        <v>172</v>
      </c>
      <c r="C215" t="s">
        <v>786</v>
      </c>
      <c r="D215" t="s">
        <v>24</v>
      </c>
      <c r="E215" t="s">
        <v>782</v>
      </c>
      <c r="M215" t="s">
        <v>787</v>
      </c>
      <c r="Q215" t="s">
        <v>791</v>
      </c>
      <c r="R215" t="s">
        <v>785</v>
      </c>
      <c r="S215">
        <v>0</v>
      </c>
      <c r="T215">
        <v>6</v>
      </c>
      <c r="X215" t="str">
        <f t="shared" si="145"/>
        <v>[214] = {["ID"] = 1879184304; }; -- Festival Fortunes: An Adventurer's Song (Spring Festival)</v>
      </c>
      <c r="Y215" s="1" t="str">
        <f t="shared" si="147"/>
        <v>[214]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5">
        <f t="shared" si="176"/>
        <v>214</v>
      </c>
      <c r="AA215" t="str">
        <f t="shared" si="148"/>
        <v>[214] = {</v>
      </c>
      <c r="AB215" t="str">
        <f t="shared" si="149"/>
        <v xml:space="preserve">["ID"] = 1879184304; </v>
      </c>
      <c r="AC215" t="str">
        <f t="shared" si="150"/>
        <v xml:space="preserve">["ID"] = 1879184304; </v>
      </c>
      <c r="AD215" t="str">
        <f t="shared" si="151"/>
        <v/>
      </c>
      <c r="AE215" t="str">
        <f t="shared" si="152"/>
        <v xml:space="preserve"> (Spring Festival)</v>
      </c>
      <c r="AF215" s="1" t="str">
        <f t="shared" si="153"/>
        <v xml:space="preserve">["SAVE_INDEX"] = 172; </v>
      </c>
      <c r="AG215">
        <f>VLOOKUP(D215,Type!A$2:B$16,2,FALSE)</f>
        <v>12</v>
      </c>
      <c r="AH215" t="str">
        <f t="shared" si="154"/>
        <v xml:space="preserve">["TYPE"] = 12; </v>
      </c>
      <c r="AI215" t="str">
        <f t="shared" si="155"/>
        <v xml:space="preserve">                      </v>
      </c>
      <c r="AJ215" t="str">
        <f>IF(AND(F215="Class",NOT(ISBLANK(E215))),VLOOKUP(E215,Class!A$1:B$12,2,FALSE),"")</f>
        <v/>
      </c>
      <c r="AK215" t="str">
        <f>IF(AND(F215="Vocation",NOT(ISBLANK(E215))),VLOOKUP(E215,Vocation!A$1:B$8,2,FALSE),"")</f>
        <v/>
      </c>
      <c r="AL215" t="str">
        <f>IF(AND(F215="Race",NOT(ISBLANK(E215))),VLOOKUP(E215,Race!A$1:B$9,2,),"")</f>
        <v/>
      </c>
      <c r="AM215" t="str">
        <f t="shared" si="156"/>
        <v xml:space="preserve">  0</v>
      </c>
      <c r="AN215" t="str">
        <f t="shared" si="157"/>
        <v xml:space="preserve">["SUBTYPE"] =   0; </v>
      </c>
      <c r="AO215" t="str">
        <f>IF(NOT(ISBLANK(G215)),VLOOKUP(G215,Type!D$2:E$6,2,FALSE),"")</f>
        <v/>
      </c>
      <c r="AP215" t="str">
        <f t="shared" si="158"/>
        <v xml:space="preserve">            </v>
      </c>
      <c r="AQ215" t="str">
        <f t="shared" si="159"/>
        <v xml:space="preserve">                      </v>
      </c>
      <c r="AR215" t="str">
        <f t="shared" si="160"/>
        <v/>
      </c>
      <c r="AS215" t="str">
        <f t="shared" si="161"/>
        <v>0</v>
      </c>
      <c r="AT215" t="str">
        <f t="shared" si="162"/>
        <v xml:space="preserve">["VXP"] =    0; </v>
      </c>
      <c r="AU215" t="str">
        <f t="shared" si="163"/>
        <v>0</v>
      </c>
      <c r="AV215" t="str">
        <f t="shared" si="164"/>
        <v xml:space="preserve">["LP"] =  0; </v>
      </c>
      <c r="AW215" t="str">
        <f t="shared" si="165"/>
        <v>0</v>
      </c>
      <c r="AX215" t="str">
        <f t="shared" si="166"/>
        <v xml:space="preserve">["REP"] =     0; </v>
      </c>
      <c r="AY215">
        <f>IF(LEN(P215)&gt;0,VLOOKUP(P215,Faction!A$2:B$77,2,FALSE),1)</f>
        <v>1</v>
      </c>
      <c r="AZ215" t="str">
        <f t="shared" si="167"/>
        <v xml:space="preserve">["FACTION"] =  1; </v>
      </c>
      <c r="BA215" t="str">
        <f t="shared" si="146"/>
        <v/>
      </c>
      <c r="BB215" t="str">
        <f t="shared" si="168"/>
        <v xml:space="preserve">["MIN_LVL"] =   "6"; </v>
      </c>
      <c r="BC215" t="str">
        <f t="shared" si="169"/>
        <v xml:space="preserve">                  </v>
      </c>
      <c r="BD215" t="str">
        <f t="shared" si="170"/>
        <v xml:space="preserve">["NAME"] = { ["EN"] = "Festival Fortunes: An Adventurer's Song"; }; </v>
      </c>
      <c r="BE215" t="str">
        <f t="shared" si="171"/>
        <v xml:space="preserve">["LORE"] = { ["EN"] = "The festival cookies all contained strange pieces of paper with meaningful phrases written on them."; }; </v>
      </c>
      <c r="BF215" t="str">
        <f t="shared" si="172"/>
        <v xml:space="preserve">["SUMMARY"] = { ["EN"] = "Collect Fortune Cookies 41 - 50"; }; </v>
      </c>
      <c r="BG215" t="str">
        <f t="shared" si="173"/>
        <v xml:space="preserve">["TITLE"] = { ["EN"] = "the Poetical"; }; </v>
      </c>
      <c r="BH215" t="str">
        <f t="shared" si="174"/>
        <v/>
      </c>
      <c r="BI215" t="str">
        <f t="shared" si="175"/>
        <v/>
      </c>
      <c r="BJ215" t="str">
        <f t="shared" si="177"/>
        <v>};</v>
      </c>
    </row>
    <row r="216" spans="1:62" x14ac:dyDescent="0.25">
      <c r="A216">
        <v>1879182340</v>
      </c>
      <c r="B216">
        <v>173</v>
      </c>
      <c r="C216" t="s">
        <v>799</v>
      </c>
      <c r="D216" t="s">
        <v>24</v>
      </c>
      <c r="E216" t="s">
        <v>782</v>
      </c>
      <c r="M216" t="s">
        <v>800</v>
      </c>
      <c r="Q216" t="s">
        <v>802</v>
      </c>
      <c r="R216" t="s">
        <v>801</v>
      </c>
      <c r="S216">
        <v>0</v>
      </c>
      <c r="X216" t="str">
        <f t="shared" si="145"/>
        <v>[215] = {["ID"] = 1879182340; }; -- Spring is Dandy (Spring Festival)</v>
      </c>
      <c r="Y216" s="1" t="str">
        <f t="shared" si="147"/>
        <v>[215] = {["ID"] = 1879182340; ["SAVE_INDEX"] = 173; ["TYPE"] = 12;                       ["SUBTYPE"] =   0;                                   ["VXP"] =    0; ["LP"] =  0; ["REP"] =     0; ["FACTION"] =  1;                                        ["NAME"] = { ["EN"] = "Spring is Dandy"; }; ["LORE"] = { ["EN"] = "Spring is a dandy time of year!"; }; ["SUMMARY"] = { ["EN"] = "Complete many Spring Festival quests"; }; ["TITLE"] = { ["EN"] = "Spring Dandy"; }; };</v>
      </c>
      <c r="Z216">
        <f t="shared" si="176"/>
        <v>215</v>
      </c>
      <c r="AA216" t="str">
        <f t="shared" si="148"/>
        <v>[215] = {</v>
      </c>
      <c r="AB216" t="str">
        <f t="shared" si="149"/>
        <v xml:space="preserve">["ID"] = 1879182340; </v>
      </c>
      <c r="AC216" t="str">
        <f t="shared" si="150"/>
        <v xml:space="preserve">["ID"] = 1879182340; </v>
      </c>
      <c r="AD216" t="str">
        <f t="shared" si="151"/>
        <v/>
      </c>
      <c r="AE216" t="str">
        <f t="shared" si="152"/>
        <v xml:space="preserve"> (Spring Festival)</v>
      </c>
      <c r="AF216" s="1" t="str">
        <f t="shared" si="153"/>
        <v xml:space="preserve">["SAVE_INDEX"] = 173; </v>
      </c>
      <c r="AG216">
        <f>VLOOKUP(D216,Type!A$2:B$16,2,FALSE)</f>
        <v>12</v>
      </c>
      <c r="AH216" t="str">
        <f t="shared" si="154"/>
        <v xml:space="preserve">["TYPE"] = 12; </v>
      </c>
      <c r="AI216" t="str">
        <f t="shared" si="155"/>
        <v xml:space="preserve">                      </v>
      </c>
      <c r="AJ216" t="str">
        <f>IF(AND(F216="Class",NOT(ISBLANK(E216))),VLOOKUP(E216,Class!A$1:B$12,2,FALSE),"")</f>
        <v/>
      </c>
      <c r="AK216" t="str">
        <f>IF(AND(F216="Vocation",NOT(ISBLANK(E216))),VLOOKUP(E216,Vocation!A$1:B$8,2,FALSE),"")</f>
        <v/>
      </c>
      <c r="AL216" t="str">
        <f>IF(AND(F216="Race",NOT(ISBLANK(E216))),VLOOKUP(E216,Race!A$1:B$9,2,),"")</f>
        <v/>
      </c>
      <c r="AM216" t="str">
        <f t="shared" si="156"/>
        <v xml:space="preserve">  0</v>
      </c>
      <c r="AN216" t="str">
        <f t="shared" si="157"/>
        <v xml:space="preserve">["SUBTYPE"] =   0; </v>
      </c>
      <c r="AO216" t="str">
        <f>IF(NOT(ISBLANK(G216)),VLOOKUP(G216,Type!D$2:E$6,2,FALSE),"")</f>
        <v/>
      </c>
      <c r="AP216" t="str">
        <f t="shared" si="158"/>
        <v xml:space="preserve">            </v>
      </c>
      <c r="AQ216" t="str">
        <f t="shared" si="159"/>
        <v xml:space="preserve">                      </v>
      </c>
      <c r="AR216" t="str">
        <f t="shared" si="160"/>
        <v/>
      </c>
      <c r="AS216" t="str">
        <f t="shared" si="161"/>
        <v>0</v>
      </c>
      <c r="AT216" t="str">
        <f t="shared" si="162"/>
        <v xml:space="preserve">["VXP"] =    0; </v>
      </c>
      <c r="AU216" t="str">
        <f t="shared" si="163"/>
        <v>0</v>
      </c>
      <c r="AV216" t="str">
        <f t="shared" si="164"/>
        <v xml:space="preserve">["LP"] =  0; </v>
      </c>
      <c r="AW216" t="str">
        <f t="shared" si="165"/>
        <v>0</v>
      </c>
      <c r="AX216" t="str">
        <f t="shared" si="166"/>
        <v xml:space="preserve">["REP"] =     0; </v>
      </c>
      <c r="AY216">
        <f>IF(LEN(P216)&gt;0,VLOOKUP(P216,Faction!A$2:B$77,2,FALSE),1)</f>
        <v>1</v>
      </c>
      <c r="AZ216" t="str">
        <f t="shared" si="167"/>
        <v xml:space="preserve">["FACTION"] =  1; </v>
      </c>
      <c r="BA216" t="str">
        <f t="shared" si="146"/>
        <v/>
      </c>
      <c r="BB216" t="str">
        <f t="shared" si="168"/>
        <v xml:space="preserve">                     </v>
      </c>
      <c r="BC216" t="str">
        <f t="shared" si="169"/>
        <v xml:space="preserve">                  </v>
      </c>
      <c r="BD216" t="str">
        <f t="shared" si="170"/>
        <v xml:space="preserve">["NAME"] = { ["EN"] = "Spring is Dandy"; }; </v>
      </c>
      <c r="BE216" t="str">
        <f t="shared" si="171"/>
        <v xml:space="preserve">["LORE"] = { ["EN"] = "Spring is a dandy time of year!"; }; </v>
      </c>
      <c r="BF216" t="str">
        <f t="shared" si="172"/>
        <v xml:space="preserve">["SUMMARY"] = { ["EN"] = "Complete many Spring Festival quests"; }; </v>
      </c>
      <c r="BG216" t="str">
        <f t="shared" si="173"/>
        <v xml:space="preserve">["TITLE"] = { ["EN"] = "Spring Dandy"; }; </v>
      </c>
      <c r="BH216" t="str">
        <f t="shared" si="174"/>
        <v/>
      </c>
      <c r="BI216" t="str">
        <f t="shared" si="175"/>
        <v/>
      </c>
      <c r="BJ216" t="str">
        <f t="shared" si="177"/>
        <v>};</v>
      </c>
    </row>
    <row r="217" spans="1:62" x14ac:dyDescent="0.25">
      <c r="A217">
        <v>1879210647</v>
      </c>
      <c r="B217">
        <v>174</v>
      </c>
      <c r="C217" t="s">
        <v>828</v>
      </c>
      <c r="D217" t="s">
        <v>24</v>
      </c>
      <c r="E217" t="s">
        <v>782</v>
      </c>
      <c r="Q217" t="s">
        <v>960</v>
      </c>
      <c r="R217" t="s">
        <v>959</v>
      </c>
      <c r="S217">
        <v>0</v>
      </c>
      <c r="X217" t="str">
        <f t="shared" si="145"/>
        <v>[216] = {["ID"] = 1879210647; }; -- Consume Consumables: D.R.A.G.O.N. (Spring Festival)</v>
      </c>
      <c r="Y217" s="1" t="str">
        <f t="shared" si="147"/>
        <v>[216] = {["ID"] = 1879210647; ["SAVE_INDEX"] = 174; ["TYPE"] = 12;                       ["SUBTYPE"] =   0;                                   ["VXP"] =    0; ["LP"] =  0; ["REP"] =     0; ["FACTION"] =  1;                                        ["NAME"] = { ["EN"] = "Consume Consumables: D.R.A.G.O.N."; }; ["LORE"] = { ["EN"] = "D.R.A.G.O.N. can be purchased during the Spring Festival."; }; ["SUMMARY"] = { ["EN"] = "Use D.R.A.G.O.N. 300 times."; }; };</v>
      </c>
      <c r="Z217">
        <f t="shared" si="176"/>
        <v>216</v>
      </c>
      <c r="AA217" t="str">
        <f t="shared" si="148"/>
        <v>[216] = {</v>
      </c>
      <c r="AB217" t="str">
        <f t="shared" si="149"/>
        <v xml:space="preserve">["ID"] = 1879210647; </v>
      </c>
      <c r="AC217" t="str">
        <f t="shared" si="150"/>
        <v xml:space="preserve">["ID"] = 1879210647; </v>
      </c>
      <c r="AD217" t="str">
        <f t="shared" si="151"/>
        <v/>
      </c>
      <c r="AE217" t="str">
        <f t="shared" si="152"/>
        <v xml:space="preserve"> (Spring Festival)</v>
      </c>
      <c r="AF217" s="1" t="str">
        <f t="shared" si="153"/>
        <v xml:space="preserve">["SAVE_INDEX"] = 174; </v>
      </c>
      <c r="AG217">
        <f>VLOOKUP(D217,Type!A$2:B$16,2,FALSE)</f>
        <v>12</v>
      </c>
      <c r="AH217" t="str">
        <f t="shared" si="154"/>
        <v xml:space="preserve">["TYPE"] = 12; </v>
      </c>
      <c r="AI217" t="str">
        <f t="shared" si="155"/>
        <v xml:space="preserve">                      </v>
      </c>
      <c r="AJ217" t="str">
        <f>IF(AND(F217="Class",NOT(ISBLANK(E217))),VLOOKUP(E217,Class!A$1:B$12,2,FALSE),"")</f>
        <v/>
      </c>
      <c r="AK217" t="str">
        <f>IF(AND(F217="Vocation",NOT(ISBLANK(E217))),VLOOKUP(E217,Vocation!A$1:B$8,2,FALSE),"")</f>
        <v/>
      </c>
      <c r="AL217" t="str">
        <f>IF(AND(F217="Race",NOT(ISBLANK(E217))),VLOOKUP(E217,Race!A$1:B$9,2,),"")</f>
        <v/>
      </c>
      <c r="AM217" t="str">
        <f t="shared" si="156"/>
        <v xml:space="preserve">  0</v>
      </c>
      <c r="AN217" t="str">
        <f t="shared" si="157"/>
        <v xml:space="preserve">["SUBTYPE"] =   0; </v>
      </c>
      <c r="AO217" t="str">
        <f>IF(NOT(ISBLANK(G217)),VLOOKUP(G217,Type!D$2:E$6,2,FALSE),"")</f>
        <v/>
      </c>
      <c r="AP217" t="str">
        <f t="shared" si="158"/>
        <v xml:space="preserve">            </v>
      </c>
      <c r="AQ217" t="str">
        <f t="shared" si="159"/>
        <v xml:space="preserve">                      </v>
      </c>
      <c r="AR217" t="str">
        <f t="shared" si="160"/>
        <v/>
      </c>
      <c r="AS217" t="str">
        <f t="shared" si="161"/>
        <v>0</v>
      </c>
      <c r="AT217" t="str">
        <f t="shared" si="162"/>
        <v xml:space="preserve">["VXP"] =    0; </v>
      </c>
      <c r="AU217" t="str">
        <f t="shared" si="163"/>
        <v>0</v>
      </c>
      <c r="AV217" t="str">
        <f t="shared" si="164"/>
        <v xml:space="preserve">["LP"] =  0; </v>
      </c>
      <c r="AW217" t="str">
        <f t="shared" si="165"/>
        <v>0</v>
      </c>
      <c r="AX217" t="str">
        <f t="shared" si="166"/>
        <v xml:space="preserve">["REP"] =     0; </v>
      </c>
      <c r="AY217">
        <f>IF(LEN(P217)&gt;0,VLOOKUP(P217,Faction!A$2:B$77,2,FALSE),1)</f>
        <v>1</v>
      </c>
      <c r="AZ217" t="str">
        <f t="shared" si="167"/>
        <v xml:space="preserve">["FACTION"] =  1; </v>
      </c>
      <c r="BA217" t="str">
        <f t="shared" si="146"/>
        <v/>
      </c>
      <c r="BB217" t="str">
        <f t="shared" si="168"/>
        <v xml:space="preserve">                     </v>
      </c>
      <c r="BC217" t="str">
        <f t="shared" si="169"/>
        <v xml:space="preserve">                  </v>
      </c>
      <c r="BD217" t="str">
        <f t="shared" si="170"/>
        <v xml:space="preserve">["NAME"] = { ["EN"] = "Consume Consumables: D.R.A.G.O.N."; }; </v>
      </c>
      <c r="BE217" t="str">
        <f t="shared" si="171"/>
        <v xml:space="preserve">["LORE"] = { ["EN"] = "D.R.A.G.O.N. can be purchased during the Spring Festival."; }; </v>
      </c>
      <c r="BF217" t="str">
        <f t="shared" si="172"/>
        <v xml:space="preserve">["SUMMARY"] = { ["EN"] = "Use D.R.A.G.O.N. 300 times."; }; </v>
      </c>
      <c r="BG217" t="str">
        <f t="shared" si="173"/>
        <v/>
      </c>
      <c r="BH217" t="str">
        <f t="shared" si="174"/>
        <v/>
      </c>
      <c r="BI217" t="str">
        <f t="shared" si="175"/>
        <v/>
      </c>
      <c r="BJ217" t="str">
        <f t="shared" si="177"/>
        <v>};</v>
      </c>
    </row>
    <row r="218" spans="1:62" x14ac:dyDescent="0.25">
      <c r="A218">
        <v>1879153207</v>
      </c>
      <c r="B218">
        <v>175</v>
      </c>
      <c r="C218" t="s">
        <v>858</v>
      </c>
      <c r="D218" t="s">
        <v>24</v>
      </c>
      <c r="E218" t="s">
        <v>782</v>
      </c>
      <c r="M218" t="s">
        <v>1034</v>
      </c>
      <c r="Q218" t="s">
        <v>2769</v>
      </c>
      <c r="R218" t="s">
        <v>1030</v>
      </c>
      <c r="S218">
        <v>0</v>
      </c>
      <c r="X218" t="str">
        <f t="shared" si="145"/>
        <v>[217] = {["ID"] = 1879153207; }; -- Spring Sprung! (Spring Festival)</v>
      </c>
      <c r="Y218" s="1" t="str">
        <f t="shared" si="147"/>
        <v>[217]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6"/>
        <v>217</v>
      </c>
      <c r="AA218" t="str">
        <f t="shared" si="148"/>
        <v>[217] = {</v>
      </c>
      <c r="AB218" t="str">
        <f t="shared" si="149"/>
        <v xml:space="preserve">["ID"] = 1879153207; </v>
      </c>
      <c r="AC218" t="str">
        <f t="shared" si="150"/>
        <v xml:space="preserve">["ID"] = 1879153207; </v>
      </c>
      <c r="AD218" t="str">
        <f t="shared" si="151"/>
        <v/>
      </c>
      <c r="AE218" t="str">
        <f t="shared" si="152"/>
        <v xml:space="preserve"> (Spring Festival)</v>
      </c>
      <c r="AF218" s="1" t="str">
        <f t="shared" si="153"/>
        <v xml:space="preserve">["SAVE_INDEX"] = 175; </v>
      </c>
      <c r="AG218">
        <f>VLOOKUP(D218,Type!A$2:B$16,2,FALSE)</f>
        <v>12</v>
      </c>
      <c r="AH218" t="str">
        <f t="shared" si="154"/>
        <v xml:space="preserve">["TYPE"] = 12; </v>
      </c>
      <c r="AI218" t="str">
        <f t="shared" si="155"/>
        <v xml:space="preserve">                      </v>
      </c>
      <c r="AJ218" t="str">
        <f>IF(AND(F218="Class",NOT(ISBLANK(E218))),VLOOKUP(E218,Class!A$1:B$12,2,FALSE),"")</f>
        <v/>
      </c>
      <c r="AK218" t="str">
        <f>IF(AND(F218="Vocation",NOT(ISBLANK(E218))),VLOOKUP(E218,Vocation!A$1:B$8,2,FALSE),"")</f>
        <v/>
      </c>
      <c r="AL218" t="str">
        <f>IF(AND(F218="Race",NOT(ISBLANK(E218))),VLOOKUP(E218,Race!A$1:B$9,2,),"")</f>
        <v/>
      </c>
      <c r="AM218" t="str">
        <f t="shared" si="156"/>
        <v xml:space="preserve">  0</v>
      </c>
      <c r="AN218" t="str">
        <f t="shared" si="157"/>
        <v xml:space="preserve">["SUBTYPE"] =   0; </v>
      </c>
      <c r="AO218" t="str">
        <f>IF(NOT(ISBLANK(G218)),VLOOKUP(G218,Type!D$2:E$6,2,FALSE),"")</f>
        <v/>
      </c>
      <c r="AP218" t="str">
        <f t="shared" si="158"/>
        <v xml:space="preserve">            </v>
      </c>
      <c r="AQ218" t="str">
        <f t="shared" si="159"/>
        <v xml:space="preserve">                      </v>
      </c>
      <c r="AR218" t="str">
        <f t="shared" si="160"/>
        <v/>
      </c>
      <c r="AS218" t="str">
        <f t="shared" si="161"/>
        <v>0</v>
      </c>
      <c r="AT218" t="str">
        <f t="shared" si="162"/>
        <v xml:space="preserve">["VXP"] =    0; </v>
      </c>
      <c r="AU218" t="str">
        <f t="shared" si="163"/>
        <v>0</v>
      </c>
      <c r="AV218" t="str">
        <f t="shared" si="164"/>
        <v xml:space="preserve">["LP"] =  0; </v>
      </c>
      <c r="AW218" t="str">
        <f t="shared" si="165"/>
        <v>0</v>
      </c>
      <c r="AX218" t="str">
        <f t="shared" si="166"/>
        <v xml:space="preserve">["REP"] =     0; </v>
      </c>
      <c r="AY218">
        <f>IF(LEN(P218)&gt;0,VLOOKUP(P218,Faction!A$2:B$77,2,FALSE),1)</f>
        <v>1</v>
      </c>
      <c r="AZ218" t="str">
        <f t="shared" si="167"/>
        <v xml:space="preserve">["FACTION"] =  1; </v>
      </c>
      <c r="BA218" t="str">
        <f t="shared" si="146"/>
        <v/>
      </c>
      <c r="BB218" t="str">
        <f t="shared" si="168"/>
        <v xml:space="preserve">                     </v>
      </c>
      <c r="BC218" t="str">
        <f t="shared" si="169"/>
        <v xml:space="preserve">                  </v>
      </c>
      <c r="BD218" t="str">
        <f t="shared" si="170"/>
        <v xml:space="preserve">["NAME"] = { ["EN"] = "Spring Sprung!"; }; </v>
      </c>
      <c r="BE218" t="str">
        <f t="shared" si="171"/>
        <v xml:space="preserve">["LORE"] = { ["EN"] = "Participate in the joyous festival to welcome the wonders of spring!"; }; </v>
      </c>
      <c r="BF218" t="str">
        <f t="shared" si="172"/>
        <v xml:space="preserve">["SUMMARY"] = { ["EN"] = "Complete 'The Chicken Dash', 'A Last Laugh at the Lost', 'Misplaced Companions', 'The Green Challenge', and 'A Fool's Errand' quests in The Hedge Maze."; }; </v>
      </c>
      <c r="BG218" t="str">
        <f t="shared" si="173"/>
        <v xml:space="preserve">["TITLE"] = { ["EN"] = "Amazeling"; }; </v>
      </c>
      <c r="BH218" t="str">
        <f t="shared" si="174"/>
        <v/>
      </c>
      <c r="BI218" t="str">
        <f t="shared" si="175"/>
        <v/>
      </c>
      <c r="BJ218" t="str">
        <f t="shared" si="177"/>
        <v>};</v>
      </c>
    </row>
    <row r="219" spans="1:62" x14ac:dyDescent="0.25">
      <c r="A219">
        <v>1879182327</v>
      </c>
      <c r="B219">
        <v>176</v>
      </c>
      <c r="C219" t="s">
        <v>862</v>
      </c>
      <c r="D219" t="s">
        <v>24</v>
      </c>
      <c r="E219" t="s">
        <v>782</v>
      </c>
      <c r="M219" t="s">
        <v>936</v>
      </c>
      <c r="Q219" t="s">
        <v>935</v>
      </c>
      <c r="R219" t="s">
        <v>2143</v>
      </c>
      <c r="S219">
        <v>0</v>
      </c>
      <c r="T219">
        <v>6</v>
      </c>
      <c r="X219" t="str">
        <f t="shared" si="145"/>
        <v>[218] = {["ID"] = 1879182327; }; -- The Taming of the Shrews (Spring Festival)</v>
      </c>
      <c r="Y219" s="1" t="str">
        <f t="shared" si="147"/>
        <v>[218]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6"/>
        <v>218</v>
      </c>
      <c r="AA219" t="str">
        <f t="shared" si="148"/>
        <v>[218] = {</v>
      </c>
      <c r="AB219" t="str">
        <f t="shared" si="149"/>
        <v xml:space="preserve">["ID"] = 1879182327; </v>
      </c>
      <c r="AC219" t="str">
        <f t="shared" si="150"/>
        <v xml:space="preserve">["ID"] = 1879182327; </v>
      </c>
      <c r="AD219" t="str">
        <f t="shared" si="151"/>
        <v/>
      </c>
      <c r="AE219" t="str">
        <f t="shared" si="152"/>
        <v xml:space="preserve"> (Spring Festival)</v>
      </c>
      <c r="AF219" s="1" t="str">
        <f t="shared" si="153"/>
        <v xml:space="preserve">["SAVE_INDEX"] = 176; </v>
      </c>
      <c r="AG219">
        <f>VLOOKUP(D219,Type!A$2:B$16,2,FALSE)</f>
        <v>12</v>
      </c>
      <c r="AH219" t="str">
        <f t="shared" si="154"/>
        <v xml:space="preserve">["TYPE"] = 12; </v>
      </c>
      <c r="AI219" t="str">
        <f t="shared" si="155"/>
        <v xml:space="preserve">                      </v>
      </c>
      <c r="AJ219" t="str">
        <f>IF(AND(F219="Class",NOT(ISBLANK(E219))),VLOOKUP(E219,Class!A$1:B$12,2,FALSE),"")</f>
        <v/>
      </c>
      <c r="AK219" t="str">
        <f>IF(AND(F219="Vocation",NOT(ISBLANK(E219))),VLOOKUP(E219,Vocation!A$1:B$8,2,FALSE),"")</f>
        <v/>
      </c>
      <c r="AL219" t="str">
        <f>IF(AND(F219="Race",NOT(ISBLANK(E219))),VLOOKUP(E219,Race!A$1:B$9,2,),"")</f>
        <v/>
      </c>
      <c r="AM219" t="str">
        <f t="shared" si="156"/>
        <v xml:space="preserve">  0</v>
      </c>
      <c r="AN219" t="str">
        <f t="shared" si="157"/>
        <v xml:space="preserve">["SUBTYPE"] =   0; </v>
      </c>
      <c r="AO219" t="str">
        <f>IF(NOT(ISBLANK(G219)),VLOOKUP(G219,Type!D$2:E$6,2,FALSE),"")</f>
        <v/>
      </c>
      <c r="AP219" t="str">
        <f t="shared" si="158"/>
        <v xml:space="preserve">            </v>
      </c>
      <c r="AQ219" t="str">
        <f t="shared" si="159"/>
        <v xml:space="preserve">                      </v>
      </c>
      <c r="AR219" t="str">
        <f t="shared" si="160"/>
        <v/>
      </c>
      <c r="AS219" t="str">
        <f t="shared" si="161"/>
        <v>0</v>
      </c>
      <c r="AT219" t="str">
        <f t="shared" si="162"/>
        <v xml:space="preserve">["VXP"] =    0; </v>
      </c>
      <c r="AU219" t="str">
        <f t="shared" si="163"/>
        <v>0</v>
      </c>
      <c r="AV219" t="str">
        <f t="shared" si="164"/>
        <v xml:space="preserve">["LP"] =  0; </v>
      </c>
      <c r="AW219" t="str">
        <f t="shared" si="165"/>
        <v>0</v>
      </c>
      <c r="AX219" t="str">
        <f t="shared" si="166"/>
        <v xml:space="preserve">["REP"] =     0; </v>
      </c>
      <c r="AY219">
        <f>IF(LEN(P219)&gt;0,VLOOKUP(P219,Faction!A$2:B$77,2,FALSE),1)</f>
        <v>1</v>
      </c>
      <c r="AZ219" t="str">
        <f t="shared" si="167"/>
        <v xml:space="preserve">["FACTION"] =  1; </v>
      </c>
      <c r="BA219" t="str">
        <f t="shared" si="146"/>
        <v/>
      </c>
      <c r="BB219" t="str">
        <f t="shared" si="168"/>
        <v xml:space="preserve">["MIN_LVL"] =   "6"; </v>
      </c>
      <c r="BC219" t="str">
        <f t="shared" si="169"/>
        <v xml:space="preserve">                  </v>
      </c>
      <c r="BD219" t="str">
        <f t="shared" si="170"/>
        <v xml:space="preserve">["NAME"] = { ["EN"] = "The Taming of the Shrews"; }; </v>
      </c>
      <c r="BE219" t="str">
        <f t="shared" si="171"/>
        <v xml:space="preserve">["LORE"] = { ["EN"] = "The Festival Garden of Duillond is rife with pesky pests, and some very practical help is needed to rid the garden of its problems."; }; </v>
      </c>
      <c r="BF219" t="str">
        <f t="shared" si="172"/>
        <v xml:space="preserve">["SUMMARY"] = { ["EN"] = "Defeat 400 shrews in the Festival Garden at Duillond"; }; </v>
      </c>
      <c r="BG219" t="str">
        <f t="shared" si="173"/>
        <v xml:space="preserve">["TITLE"] = { ["EN"] = "Tamer of the Shrews"; }; </v>
      </c>
      <c r="BH219" t="str">
        <f t="shared" si="174"/>
        <v/>
      </c>
      <c r="BI219" t="str">
        <f t="shared" si="175"/>
        <v/>
      </c>
      <c r="BJ219" t="str">
        <f t="shared" si="177"/>
        <v>};</v>
      </c>
    </row>
    <row r="220" spans="1:62" x14ac:dyDescent="0.25">
      <c r="A220">
        <v>1879182332</v>
      </c>
      <c r="B220">
        <v>177</v>
      </c>
      <c r="C220" t="s">
        <v>861</v>
      </c>
      <c r="D220" t="s">
        <v>24</v>
      </c>
      <c r="E220" t="s">
        <v>782</v>
      </c>
      <c r="M220" t="s">
        <v>934</v>
      </c>
      <c r="Q220" t="s">
        <v>933</v>
      </c>
      <c r="R220" t="s">
        <v>2143</v>
      </c>
      <c r="S220">
        <v>1</v>
      </c>
      <c r="T220">
        <v>6</v>
      </c>
      <c r="X220" t="str">
        <f t="shared" si="145"/>
        <v>[219] = {["ID"] = 1879182332; ["TIER"] = 1; }; -- The Shrewd Gardener (Spring Festival)</v>
      </c>
      <c r="Y220" s="1" t="str">
        <f t="shared" si="147"/>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6"/>
        <v>219</v>
      </c>
      <c r="AA220" t="str">
        <f t="shared" si="148"/>
        <v>[219] = {</v>
      </c>
      <c r="AB220" t="str">
        <f t="shared" si="149"/>
        <v xml:space="preserve">["ID"] = 1879182332; </v>
      </c>
      <c r="AC220" t="str">
        <f t="shared" si="150"/>
        <v xml:space="preserve">["ID"] = 1879182332; </v>
      </c>
      <c r="AD220" t="str">
        <f t="shared" si="151"/>
        <v/>
      </c>
      <c r="AE220" t="str">
        <f t="shared" si="152"/>
        <v xml:space="preserve"> (Spring Festival)</v>
      </c>
      <c r="AF220" s="1" t="str">
        <f t="shared" si="153"/>
        <v xml:space="preserve">["SAVE_INDEX"] = 177; </v>
      </c>
      <c r="AG220">
        <f>VLOOKUP(D220,Type!A$2:B$16,2,FALSE)</f>
        <v>12</v>
      </c>
      <c r="AH220" t="str">
        <f t="shared" si="154"/>
        <v xml:space="preserve">["TYPE"] = 12; </v>
      </c>
      <c r="AI220" t="str">
        <f t="shared" si="155"/>
        <v xml:space="preserve">                      </v>
      </c>
      <c r="AJ220" t="str">
        <f>IF(AND(F220="Class",NOT(ISBLANK(E220))),VLOOKUP(E220,Class!A$1:B$12,2,FALSE),"")</f>
        <v/>
      </c>
      <c r="AK220" t="str">
        <f>IF(AND(F220="Vocation",NOT(ISBLANK(E220))),VLOOKUP(E220,Vocation!A$1:B$8,2,FALSE),"")</f>
        <v/>
      </c>
      <c r="AL220" t="str">
        <f>IF(AND(F220="Race",NOT(ISBLANK(E220))),VLOOKUP(E220,Race!A$1:B$9,2,),"")</f>
        <v/>
      </c>
      <c r="AM220" t="str">
        <f t="shared" si="156"/>
        <v xml:space="preserve">  0</v>
      </c>
      <c r="AN220" t="str">
        <f t="shared" si="157"/>
        <v xml:space="preserve">["SUBTYPE"] =   0; </v>
      </c>
      <c r="AO220" t="str">
        <f>IF(NOT(ISBLANK(G220)),VLOOKUP(G220,Type!D$2:E$6,2,FALSE),"")</f>
        <v/>
      </c>
      <c r="AP220" t="str">
        <f t="shared" si="158"/>
        <v xml:space="preserve">            </v>
      </c>
      <c r="AQ220" t="str">
        <f t="shared" si="159"/>
        <v xml:space="preserve">                      </v>
      </c>
      <c r="AR220" t="str">
        <f t="shared" si="160"/>
        <v/>
      </c>
      <c r="AS220" t="str">
        <f t="shared" si="161"/>
        <v>0</v>
      </c>
      <c r="AT220" t="str">
        <f t="shared" si="162"/>
        <v xml:space="preserve">["VXP"] =    0; </v>
      </c>
      <c r="AU220" t="str">
        <f t="shared" si="163"/>
        <v>0</v>
      </c>
      <c r="AV220" t="str">
        <f t="shared" si="164"/>
        <v xml:space="preserve">["LP"] =  0; </v>
      </c>
      <c r="AW220" t="str">
        <f t="shared" si="165"/>
        <v>0</v>
      </c>
      <c r="AX220" t="str">
        <f t="shared" si="166"/>
        <v xml:space="preserve">["REP"] =     0; </v>
      </c>
      <c r="AY220">
        <f>IF(LEN(P220)&gt;0,VLOOKUP(P220,Faction!A$2:B$77,2,FALSE),1)</f>
        <v>1</v>
      </c>
      <c r="AZ220" t="str">
        <f t="shared" si="167"/>
        <v xml:space="preserve">["FACTION"] =  1; </v>
      </c>
      <c r="BA220" t="str">
        <f t="shared" si="146"/>
        <v xml:space="preserve">["TIER"] = 1; </v>
      </c>
      <c r="BB220" t="str">
        <f t="shared" si="168"/>
        <v xml:space="preserve">["MIN_LVL"] =   "6"; </v>
      </c>
      <c r="BC220" t="str">
        <f t="shared" si="169"/>
        <v xml:space="preserve">                  </v>
      </c>
      <c r="BD220" t="str">
        <f t="shared" si="170"/>
        <v xml:space="preserve">["NAME"] = { ["EN"] = "The Shrewd Gardener"; }; </v>
      </c>
      <c r="BE220" t="str">
        <f t="shared" si="171"/>
        <v xml:space="preserve">["LORE"] = { ["EN"] = "The Festival Garden of Duillond is rife with pesky pests, and some very practical help is needed to rid the garden of its problems."; }; </v>
      </c>
      <c r="BF220" t="str">
        <f t="shared" si="172"/>
        <v xml:space="preserve">["SUMMARY"] = { ["EN"] = "Defeat 160 shrews in the Festival Garden at Duillond"; }; </v>
      </c>
      <c r="BG220" t="str">
        <f t="shared" si="173"/>
        <v xml:space="preserve">["TITLE"] = { ["EN"] = "the Shrewd"; }; </v>
      </c>
      <c r="BH220" t="str">
        <f t="shared" si="174"/>
        <v/>
      </c>
      <c r="BI220" t="str">
        <f t="shared" si="175"/>
        <v/>
      </c>
      <c r="BJ220" t="str">
        <f t="shared" si="177"/>
        <v>};</v>
      </c>
    </row>
    <row r="221" spans="1:62" x14ac:dyDescent="0.25">
      <c r="C221" s="3" t="s">
        <v>2765</v>
      </c>
      <c r="D221" s="2" t="s">
        <v>812</v>
      </c>
      <c r="S221">
        <v>1</v>
      </c>
      <c r="V221">
        <v>145</v>
      </c>
      <c r="X221" t="str">
        <f t="shared" si="145"/>
        <v>[220] = {["CAT_ID"] = 145; ["TIER"] = 1; }; -- - Bee's Big Business -</v>
      </c>
      <c r="Y221" s="1" t="str">
        <f t="shared" si="147"/>
        <v>[220] = {                                           ["TYPE"] = 14;                       ["SUBTYPE"] =   0;                                   ["VXP"] =    0; ["LP"] =  0; ["REP"] =     0; ["FACTION"] =  1; ["TIER"] = 1;                                        ["NAME"] = { ["EN"] = "- Bee's Big Business -"; }; };</v>
      </c>
      <c r="Z221">
        <f t="shared" si="176"/>
        <v>220</v>
      </c>
      <c r="AA221" t="str">
        <f t="shared" si="148"/>
        <v>[220] = {</v>
      </c>
      <c r="AB221" t="str">
        <f t="shared" si="149"/>
        <v xml:space="preserve">                     </v>
      </c>
      <c r="AC221" t="str">
        <f t="shared" si="150"/>
        <v/>
      </c>
      <c r="AD221" t="str">
        <f t="shared" si="151"/>
        <v xml:space="preserve">["CAT_ID"] = 145; </v>
      </c>
      <c r="AE221" t="str">
        <f t="shared" si="152"/>
        <v/>
      </c>
      <c r="AF221" s="1" t="str">
        <f t="shared" si="153"/>
        <v xml:space="preserve">                      </v>
      </c>
      <c r="AG221">
        <f>VLOOKUP(D221,Type!A$2:B$16,2,FALSE)</f>
        <v>14</v>
      </c>
      <c r="AH221" t="str">
        <f t="shared" si="154"/>
        <v xml:space="preserve">["TYPE"] = 14; </v>
      </c>
      <c r="AI221" t="str">
        <f t="shared" si="155"/>
        <v xml:space="preserve">                      </v>
      </c>
      <c r="AJ221" t="str">
        <f>IF(AND(F221="Class",NOT(ISBLANK(E221))),VLOOKUP(E221,Class!A$1:B$12,2,FALSE),"")</f>
        <v/>
      </c>
      <c r="AK221" t="str">
        <f>IF(AND(F221="Vocation",NOT(ISBLANK(E221))),VLOOKUP(E221,Vocation!A$1:B$8,2,FALSE),"")</f>
        <v/>
      </c>
      <c r="AL221" t="str">
        <f>IF(AND(F221="Race",NOT(ISBLANK(E221))),VLOOKUP(E221,Race!A$1:B$9,2,),"")</f>
        <v/>
      </c>
      <c r="AM221" t="str">
        <f t="shared" si="156"/>
        <v xml:space="preserve">  0</v>
      </c>
      <c r="AN221" t="str">
        <f t="shared" si="157"/>
        <v xml:space="preserve">["SUBTYPE"] =   0; </v>
      </c>
      <c r="AO221" t="str">
        <f>IF(NOT(ISBLANK(G221)),VLOOKUP(G221,Type!D$2:E$6,2,FALSE),"")</f>
        <v/>
      </c>
      <c r="AP221" t="str">
        <f t="shared" si="158"/>
        <v xml:space="preserve">            </v>
      </c>
      <c r="AQ221" t="str">
        <f t="shared" si="159"/>
        <v xml:space="preserve">                      </v>
      </c>
      <c r="AR221" t="str">
        <f t="shared" si="160"/>
        <v/>
      </c>
      <c r="AS221" t="str">
        <f t="shared" si="161"/>
        <v>0</v>
      </c>
      <c r="AT221" t="str">
        <f t="shared" si="162"/>
        <v xml:space="preserve">["VXP"] =    0; </v>
      </c>
      <c r="AU221" t="str">
        <f t="shared" si="163"/>
        <v>0</v>
      </c>
      <c r="AV221" t="str">
        <f t="shared" si="164"/>
        <v xml:space="preserve">["LP"] =  0; </v>
      </c>
      <c r="AW221" t="str">
        <f t="shared" si="165"/>
        <v>0</v>
      </c>
      <c r="AX221" t="str">
        <f t="shared" si="166"/>
        <v xml:space="preserve">["REP"] =     0; </v>
      </c>
      <c r="AY221">
        <f>IF(LEN(P221)&gt;0,VLOOKUP(P221,Faction!A$2:B$77,2,FALSE),1)</f>
        <v>1</v>
      </c>
      <c r="AZ221" t="str">
        <f t="shared" si="167"/>
        <v xml:space="preserve">["FACTION"] =  1; </v>
      </c>
      <c r="BA221" t="str">
        <f t="shared" si="146"/>
        <v xml:space="preserve">["TIER"] = 1; </v>
      </c>
      <c r="BB221" t="str">
        <f t="shared" si="168"/>
        <v xml:space="preserve">                     </v>
      </c>
      <c r="BC221" t="str">
        <f t="shared" si="169"/>
        <v xml:space="preserve">                  </v>
      </c>
      <c r="BD221" t="str">
        <f t="shared" si="170"/>
        <v xml:space="preserve">["NAME"] = { ["EN"] = "- Bee's Big Business -"; }; </v>
      </c>
      <c r="BE221" t="str">
        <f t="shared" si="171"/>
        <v/>
      </c>
      <c r="BF221" t="str">
        <f t="shared" si="172"/>
        <v/>
      </c>
      <c r="BG221" t="str">
        <f t="shared" si="173"/>
        <v/>
      </c>
      <c r="BH221" t="str">
        <f t="shared" si="174"/>
        <v/>
      </c>
      <c r="BI221" t="str">
        <f t="shared" si="175"/>
        <v/>
      </c>
      <c r="BJ221" t="str">
        <f t="shared" si="177"/>
        <v>};</v>
      </c>
    </row>
    <row r="222" spans="1:62" x14ac:dyDescent="0.25">
      <c r="A222">
        <v>1879414344</v>
      </c>
      <c r="B222">
        <v>325</v>
      </c>
      <c r="C222" t="s">
        <v>2758</v>
      </c>
      <c r="D222" t="s">
        <v>24</v>
      </c>
      <c r="E222" t="s">
        <v>782</v>
      </c>
      <c r="M222" t="s">
        <v>2764</v>
      </c>
      <c r="Q222" t="s">
        <v>2761</v>
      </c>
      <c r="R222" t="s">
        <v>2760</v>
      </c>
      <c r="S222">
        <v>0</v>
      </c>
      <c r="T222" t="s">
        <v>1691</v>
      </c>
      <c r="X222" t="str">
        <f t="shared" si="145"/>
        <v>[221] = {["ID"] = 1879414344; }; -- Challenge: Bee's Big Business -- Small Fellowship (Spring Festival)</v>
      </c>
      <c r="Y222" s="1" t="str">
        <f t="shared" si="147"/>
        <v>[221]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2">
        <f t="shared" si="176"/>
        <v>221</v>
      </c>
      <c r="AA222" t="str">
        <f t="shared" si="148"/>
        <v>[221] = {</v>
      </c>
      <c r="AB222" t="str">
        <f t="shared" si="149"/>
        <v xml:space="preserve">["ID"] = 1879414344; </v>
      </c>
      <c r="AC222" t="str">
        <f t="shared" si="150"/>
        <v xml:space="preserve">["ID"] = 1879414344; </v>
      </c>
      <c r="AD222" t="str">
        <f t="shared" si="151"/>
        <v/>
      </c>
      <c r="AE222" t="str">
        <f t="shared" si="152"/>
        <v xml:space="preserve"> (Spring Festival)</v>
      </c>
      <c r="AF222" s="1" t="str">
        <f t="shared" si="153"/>
        <v xml:space="preserve">["SAVE_INDEX"] = 325; </v>
      </c>
      <c r="AG222">
        <f>VLOOKUP(D222,Type!A$2:B$16,2,FALSE)</f>
        <v>12</v>
      </c>
      <c r="AH222" t="str">
        <f t="shared" si="154"/>
        <v xml:space="preserve">["TYPE"] = 12; </v>
      </c>
      <c r="AI222" t="str">
        <f t="shared" si="155"/>
        <v xml:space="preserve">                      </v>
      </c>
      <c r="AJ222" t="str">
        <f>IF(AND(F222="Class",NOT(ISBLANK(E222))),VLOOKUP(E222,Class!A$1:B$12,2,FALSE),"")</f>
        <v/>
      </c>
      <c r="AK222" t="str">
        <f>IF(AND(F222="Vocation",NOT(ISBLANK(E222))),VLOOKUP(E222,Vocation!A$1:B$8,2,FALSE),"")</f>
        <v/>
      </c>
      <c r="AL222" t="str">
        <f>IF(AND(F222="Race",NOT(ISBLANK(E222))),VLOOKUP(E222,Race!A$1:B$9,2,),"")</f>
        <v/>
      </c>
      <c r="AM222" t="str">
        <f t="shared" si="156"/>
        <v xml:space="preserve">  0</v>
      </c>
      <c r="AN222" t="str">
        <f t="shared" si="157"/>
        <v xml:space="preserve">["SUBTYPE"] =   0; </v>
      </c>
      <c r="AO222" t="str">
        <f>IF(NOT(ISBLANK(G222)),VLOOKUP(G222,Type!D$2:E$6,2,FALSE),"")</f>
        <v/>
      </c>
      <c r="AP222" t="str">
        <f t="shared" si="158"/>
        <v xml:space="preserve">            </v>
      </c>
      <c r="AQ222" t="str">
        <f t="shared" si="159"/>
        <v xml:space="preserve">                      </v>
      </c>
      <c r="AR222" t="str">
        <f t="shared" si="160"/>
        <v/>
      </c>
      <c r="AS222" t="str">
        <f t="shared" si="161"/>
        <v>0</v>
      </c>
      <c r="AT222" t="str">
        <f t="shared" si="162"/>
        <v xml:space="preserve">["VXP"] =    0; </v>
      </c>
      <c r="AU222" t="str">
        <f t="shared" si="163"/>
        <v>0</v>
      </c>
      <c r="AV222" t="str">
        <f t="shared" si="164"/>
        <v xml:space="preserve">["LP"] =  0; </v>
      </c>
      <c r="AW222" t="str">
        <f t="shared" si="165"/>
        <v>0</v>
      </c>
      <c r="AX222" t="str">
        <f t="shared" si="166"/>
        <v xml:space="preserve">["REP"] =     0; </v>
      </c>
      <c r="AY222">
        <f>IF(LEN(P222)&gt;0,VLOOKUP(P222,Faction!A$2:B$77,2,FALSE),1)</f>
        <v>1</v>
      </c>
      <c r="AZ222" t="str">
        <f t="shared" si="167"/>
        <v xml:space="preserve">["FACTION"] =  1; </v>
      </c>
      <c r="BA222" t="str">
        <f t="shared" si="146"/>
        <v/>
      </c>
      <c r="BB222" t="str">
        <f t="shared" si="168"/>
        <v xml:space="preserve">["MIN_LVL"] = "CAP"; </v>
      </c>
      <c r="BC222" t="str">
        <f t="shared" si="169"/>
        <v xml:space="preserve">                  </v>
      </c>
      <c r="BD222" t="str">
        <f t="shared" si="170"/>
        <v xml:space="preserve">["NAME"] = { ["EN"] = "Challenge: Bee's Big Business -- Small Fellowship"; }; </v>
      </c>
      <c r="BE222" t="str">
        <f t="shared" si="171"/>
        <v xml:space="preserve">["LORE"] = { ["EN"] = "It is time to pollinate the meadows!"; }; </v>
      </c>
      <c r="BF222" t="str">
        <f t="shared" si="172"/>
        <v xml:space="preserve">["SUMMARY"] = { ["EN"] = "Complete -- Challenge: Flower Power -- Small Fellowship"; }; </v>
      </c>
      <c r="BG222" t="str">
        <f t="shared" si="173"/>
        <v xml:space="preserve">["TITLE"] = { ["EN"] = "The Pollinator"; }; </v>
      </c>
      <c r="BH222" t="str">
        <f t="shared" si="174"/>
        <v/>
      </c>
      <c r="BI222" t="str">
        <f t="shared" si="175"/>
        <v/>
      </c>
      <c r="BJ222" t="str">
        <f t="shared" si="177"/>
        <v>};</v>
      </c>
    </row>
    <row r="223" spans="1:62" x14ac:dyDescent="0.25">
      <c r="A223">
        <v>1879414345</v>
      </c>
      <c r="B223">
        <v>326</v>
      </c>
      <c r="C223" t="s">
        <v>2759</v>
      </c>
      <c r="D223" t="s">
        <v>24</v>
      </c>
      <c r="E223" t="s">
        <v>782</v>
      </c>
      <c r="M223" t="s">
        <v>2763</v>
      </c>
      <c r="Q223" t="s">
        <v>2762</v>
      </c>
      <c r="R223" t="s">
        <v>2760</v>
      </c>
      <c r="S223">
        <v>0</v>
      </c>
      <c r="T223" t="s">
        <v>1691</v>
      </c>
      <c r="X223" t="str">
        <f t="shared" si="145"/>
        <v>[222] = {["ID"] = 1879414345; }; -- Challenge: Bee's Big Business -- Fellowship (Spring Festival)</v>
      </c>
      <c r="Y223" s="1" t="str">
        <f t="shared" si="147"/>
        <v>[222]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3">
        <f t="shared" si="176"/>
        <v>222</v>
      </c>
      <c r="AA223" t="str">
        <f t="shared" si="148"/>
        <v>[222] = {</v>
      </c>
      <c r="AB223" t="str">
        <f t="shared" si="149"/>
        <v xml:space="preserve">["ID"] = 1879414345; </v>
      </c>
      <c r="AC223" t="str">
        <f t="shared" si="150"/>
        <v xml:space="preserve">["ID"] = 1879414345; </v>
      </c>
      <c r="AD223" t="str">
        <f t="shared" si="151"/>
        <v/>
      </c>
      <c r="AE223" t="str">
        <f t="shared" si="152"/>
        <v xml:space="preserve"> (Spring Festival)</v>
      </c>
      <c r="AF223" s="1" t="str">
        <f t="shared" si="153"/>
        <v xml:space="preserve">["SAVE_INDEX"] = 326; </v>
      </c>
      <c r="AG223">
        <f>VLOOKUP(D223,Type!A$2:B$16,2,FALSE)</f>
        <v>12</v>
      </c>
      <c r="AH223" t="str">
        <f t="shared" si="154"/>
        <v xml:space="preserve">["TYPE"] = 12; </v>
      </c>
      <c r="AI223" t="str">
        <f t="shared" si="155"/>
        <v xml:space="preserve">                      </v>
      </c>
      <c r="AJ223" t="str">
        <f>IF(AND(F223="Class",NOT(ISBLANK(E223))),VLOOKUP(E223,Class!A$1:B$12,2,FALSE),"")</f>
        <v/>
      </c>
      <c r="AK223" t="str">
        <f>IF(AND(F223="Vocation",NOT(ISBLANK(E223))),VLOOKUP(E223,Vocation!A$1:B$8,2,FALSE),"")</f>
        <v/>
      </c>
      <c r="AL223" t="str">
        <f>IF(AND(F223="Race",NOT(ISBLANK(E223))),VLOOKUP(E223,Race!A$1:B$9,2,),"")</f>
        <v/>
      </c>
      <c r="AM223" t="str">
        <f t="shared" si="156"/>
        <v xml:space="preserve">  0</v>
      </c>
      <c r="AN223" t="str">
        <f t="shared" si="157"/>
        <v xml:space="preserve">["SUBTYPE"] =   0; </v>
      </c>
      <c r="AO223" t="str">
        <f>IF(NOT(ISBLANK(G223)),VLOOKUP(G223,Type!D$2:E$6,2,FALSE),"")</f>
        <v/>
      </c>
      <c r="AP223" t="str">
        <f t="shared" si="158"/>
        <v xml:space="preserve">            </v>
      </c>
      <c r="AQ223" t="str">
        <f t="shared" si="159"/>
        <v xml:space="preserve">                      </v>
      </c>
      <c r="AR223" t="str">
        <f t="shared" si="160"/>
        <v/>
      </c>
      <c r="AS223" t="str">
        <f t="shared" si="161"/>
        <v>0</v>
      </c>
      <c r="AT223" t="str">
        <f t="shared" si="162"/>
        <v xml:space="preserve">["VXP"] =    0; </v>
      </c>
      <c r="AU223" t="str">
        <f t="shared" si="163"/>
        <v>0</v>
      </c>
      <c r="AV223" t="str">
        <f t="shared" si="164"/>
        <v xml:space="preserve">["LP"] =  0; </v>
      </c>
      <c r="AW223" t="str">
        <f t="shared" si="165"/>
        <v>0</v>
      </c>
      <c r="AX223" t="str">
        <f t="shared" si="166"/>
        <v xml:space="preserve">["REP"] =     0; </v>
      </c>
      <c r="AY223">
        <f>IF(LEN(P223)&gt;0,VLOOKUP(P223,Faction!A$2:B$77,2,FALSE),1)</f>
        <v>1</v>
      </c>
      <c r="AZ223" t="str">
        <f t="shared" si="167"/>
        <v xml:space="preserve">["FACTION"] =  1; </v>
      </c>
      <c r="BA223" t="str">
        <f t="shared" si="146"/>
        <v/>
      </c>
      <c r="BB223" t="str">
        <f t="shared" si="168"/>
        <v xml:space="preserve">["MIN_LVL"] = "CAP"; </v>
      </c>
      <c r="BC223" t="str">
        <f t="shared" si="169"/>
        <v xml:space="preserve">                  </v>
      </c>
      <c r="BD223" t="str">
        <f t="shared" si="170"/>
        <v xml:space="preserve">["NAME"] = { ["EN"] = "Challenge: Bee's Big Business -- Fellowship"; }; </v>
      </c>
      <c r="BE223" t="str">
        <f t="shared" si="171"/>
        <v xml:space="preserve">["LORE"] = { ["EN"] = "It is time to pollinate the meadows!"; }; </v>
      </c>
      <c r="BF223" t="str">
        <f t="shared" si="172"/>
        <v xml:space="preserve">["SUMMARY"] = { ["EN"] = "Complete -- Challenge: Flower Power -- Fellowship"; }; </v>
      </c>
      <c r="BG223" t="str">
        <f t="shared" si="173"/>
        <v xml:space="preserve">["TITLE"] = { ["EN"] = "The Biggest Busiest Bee"; }; </v>
      </c>
      <c r="BH223" t="str">
        <f t="shared" si="174"/>
        <v/>
      </c>
      <c r="BI223" t="str">
        <f t="shared" si="175"/>
        <v/>
      </c>
      <c r="BJ223" t="str">
        <f t="shared" si="177"/>
        <v>};</v>
      </c>
    </row>
    <row r="224" spans="1:62" x14ac:dyDescent="0.25">
      <c r="C224" s="2" t="s">
        <v>962</v>
      </c>
      <c r="D224" s="2" t="s">
        <v>812</v>
      </c>
      <c r="V224">
        <v>146</v>
      </c>
      <c r="X224" t="str">
        <f t="shared" si="145"/>
        <v>[223] = {["CAT_ID"] = 146; }; -- Farmers Faire and Spring Festival</v>
      </c>
      <c r="Y224" s="1" t="str">
        <f t="shared" si="147"/>
        <v>[223] = {                                           ["TYPE"] = 14;                       ["SUBTYPE"] =   0;                                   ["VXP"] =    0; ["LP"] =  0; ["REP"] =     0; ["FACTION"] =  1;                                        ["NAME"] = { ["EN"] = "Farmers Faire and Spring Festival"; }; };</v>
      </c>
      <c r="Z224">
        <f t="shared" si="176"/>
        <v>223</v>
      </c>
      <c r="AA224" t="str">
        <f t="shared" si="148"/>
        <v>[223] = {</v>
      </c>
      <c r="AB224" t="str">
        <f t="shared" si="149"/>
        <v xml:space="preserve">                     </v>
      </c>
      <c r="AC224" t="str">
        <f t="shared" si="150"/>
        <v/>
      </c>
      <c r="AD224" t="str">
        <f t="shared" si="151"/>
        <v xml:space="preserve">["CAT_ID"] = 146; </v>
      </c>
      <c r="AE224" t="str">
        <f t="shared" si="152"/>
        <v/>
      </c>
      <c r="AF224" s="1" t="str">
        <f t="shared" si="153"/>
        <v xml:space="preserve">                      </v>
      </c>
      <c r="AG224">
        <f>VLOOKUP(D224,Type!A$2:B$16,2,FALSE)</f>
        <v>14</v>
      </c>
      <c r="AH224" t="str">
        <f t="shared" si="154"/>
        <v xml:space="preserve">["TYPE"] = 14; </v>
      </c>
      <c r="AI224" t="str">
        <f t="shared" si="155"/>
        <v xml:space="preserve">                      </v>
      </c>
      <c r="AJ224" t="str">
        <f>IF(AND(F224="Class",NOT(ISBLANK(E224))),VLOOKUP(E224,Class!A$1:B$12,2,FALSE),"")</f>
        <v/>
      </c>
      <c r="AK224" t="str">
        <f>IF(AND(F224="Vocation",NOT(ISBLANK(E224))),VLOOKUP(E224,Vocation!A$1:B$8,2,FALSE),"")</f>
        <v/>
      </c>
      <c r="AL224" t="str">
        <f>IF(AND(F224="Race",NOT(ISBLANK(E224))),VLOOKUP(E224,Race!A$1:B$9,2,),"")</f>
        <v/>
      </c>
      <c r="AM224" t="str">
        <f t="shared" si="156"/>
        <v xml:space="preserve">  0</v>
      </c>
      <c r="AN224" t="str">
        <f t="shared" si="157"/>
        <v xml:space="preserve">["SUBTYPE"] =   0; </v>
      </c>
      <c r="AO224" t="str">
        <f>IF(NOT(ISBLANK(G224)),VLOOKUP(G224,Type!D$2:E$6,2,FALSE),"")</f>
        <v/>
      </c>
      <c r="AP224" t="str">
        <f t="shared" si="158"/>
        <v xml:space="preserve">            </v>
      </c>
      <c r="AQ224" t="str">
        <f t="shared" si="159"/>
        <v xml:space="preserve">                      </v>
      </c>
      <c r="AR224" t="str">
        <f t="shared" si="160"/>
        <v/>
      </c>
      <c r="AS224" t="str">
        <f t="shared" si="161"/>
        <v>0</v>
      </c>
      <c r="AT224" t="str">
        <f t="shared" si="162"/>
        <v xml:space="preserve">["VXP"] =    0; </v>
      </c>
      <c r="AU224" t="str">
        <f t="shared" si="163"/>
        <v>0</v>
      </c>
      <c r="AV224" t="str">
        <f t="shared" si="164"/>
        <v xml:space="preserve">["LP"] =  0; </v>
      </c>
      <c r="AW224" t="str">
        <f t="shared" si="165"/>
        <v>0</v>
      </c>
      <c r="AX224" t="str">
        <f t="shared" si="166"/>
        <v xml:space="preserve">["REP"] =     0; </v>
      </c>
      <c r="AY224">
        <f>IF(LEN(P224)&gt;0,VLOOKUP(P224,Faction!A$2:B$77,2,FALSE),1)</f>
        <v>1</v>
      </c>
      <c r="AZ224" t="str">
        <f t="shared" si="167"/>
        <v xml:space="preserve">["FACTION"] =  1; </v>
      </c>
      <c r="BA224" t="str">
        <f t="shared" si="146"/>
        <v/>
      </c>
      <c r="BB224" t="str">
        <f t="shared" si="168"/>
        <v xml:space="preserve">                     </v>
      </c>
      <c r="BC224" t="str">
        <f t="shared" si="169"/>
        <v xml:space="preserve">                  </v>
      </c>
      <c r="BD224" t="str">
        <f t="shared" si="170"/>
        <v xml:space="preserve">["NAME"] = { ["EN"] = "Farmers Faire and Spring Festival"; }; </v>
      </c>
      <c r="BE224" t="str">
        <f t="shared" si="171"/>
        <v/>
      </c>
      <c r="BF224" t="str">
        <f t="shared" si="172"/>
        <v/>
      </c>
      <c r="BG224" t="str">
        <f t="shared" si="173"/>
        <v/>
      </c>
      <c r="BH224" t="str">
        <f t="shared" si="174"/>
        <v/>
      </c>
      <c r="BI224" t="str">
        <f t="shared" si="175"/>
        <v/>
      </c>
      <c r="BJ224" t="str">
        <f t="shared" si="177"/>
        <v>};</v>
      </c>
    </row>
    <row r="225" spans="1:62" x14ac:dyDescent="0.25">
      <c r="A225">
        <v>1879210648</v>
      </c>
      <c r="B225">
        <v>178</v>
      </c>
      <c r="C225" t="s">
        <v>829</v>
      </c>
      <c r="D225" t="s">
        <v>24</v>
      </c>
      <c r="E225" t="s">
        <v>962</v>
      </c>
      <c r="Q225" t="s">
        <v>961</v>
      </c>
      <c r="R225" t="s">
        <v>2160</v>
      </c>
      <c r="S225">
        <v>0</v>
      </c>
      <c r="X225" t="str">
        <f t="shared" si="145"/>
        <v>[224] = {["ID"] = 1879210648; }; -- Consume Consumables: Doom-shroom (Farmers Faire and Spring Festival)</v>
      </c>
      <c r="Y225" s="1" t="str">
        <f t="shared" si="147"/>
        <v>[224]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5">
        <f t="shared" si="176"/>
        <v>224</v>
      </c>
      <c r="AA225" t="str">
        <f t="shared" si="148"/>
        <v>[224] = {</v>
      </c>
      <c r="AB225" t="str">
        <f t="shared" si="149"/>
        <v xml:space="preserve">["ID"] = 1879210648; </v>
      </c>
      <c r="AC225" t="str">
        <f t="shared" si="150"/>
        <v xml:space="preserve">["ID"] = 1879210648; </v>
      </c>
      <c r="AD225" t="str">
        <f t="shared" si="151"/>
        <v/>
      </c>
      <c r="AE225" t="str">
        <f t="shared" si="152"/>
        <v xml:space="preserve"> (Farmers Faire and Spring Festival)</v>
      </c>
      <c r="AF225" s="1" t="str">
        <f t="shared" si="153"/>
        <v xml:space="preserve">["SAVE_INDEX"] = 178; </v>
      </c>
      <c r="AG225">
        <f>VLOOKUP(D225,Type!A$2:B$16,2,FALSE)</f>
        <v>12</v>
      </c>
      <c r="AH225" t="str">
        <f t="shared" si="154"/>
        <v xml:space="preserve">["TYPE"] = 12; </v>
      </c>
      <c r="AI225" t="str">
        <f t="shared" si="155"/>
        <v xml:space="preserve">                      </v>
      </c>
      <c r="AJ225" t="str">
        <f>IF(AND(F225="Class",NOT(ISBLANK(E225))),VLOOKUP(E225,Class!A$1:B$12,2,FALSE),"")</f>
        <v/>
      </c>
      <c r="AK225" t="str">
        <f>IF(AND(F225="Vocation",NOT(ISBLANK(E225))),VLOOKUP(E225,Vocation!A$1:B$8,2,FALSE),"")</f>
        <v/>
      </c>
      <c r="AL225" t="str">
        <f>IF(AND(F225="Race",NOT(ISBLANK(E225))),VLOOKUP(E225,Race!A$1:B$9,2,),"")</f>
        <v/>
      </c>
      <c r="AM225" t="str">
        <f t="shared" si="156"/>
        <v xml:space="preserve">  0</v>
      </c>
      <c r="AN225" t="str">
        <f t="shared" si="157"/>
        <v xml:space="preserve">["SUBTYPE"] =   0; </v>
      </c>
      <c r="AO225" t="str">
        <f>IF(NOT(ISBLANK(G225)),VLOOKUP(G225,Type!D$2:E$6,2,FALSE),"")</f>
        <v/>
      </c>
      <c r="AP225" t="str">
        <f t="shared" si="158"/>
        <v xml:space="preserve">            </v>
      </c>
      <c r="AQ225" t="str">
        <f t="shared" si="159"/>
        <v xml:space="preserve">                      </v>
      </c>
      <c r="AR225" t="str">
        <f t="shared" si="160"/>
        <v/>
      </c>
      <c r="AS225" t="str">
        <f t="shared" si="161"/>
        <v>0</v>
      </c>
      <c r="AT225" t="str">
        <f t="shared" si="162"/>
        <v xml:space="preserve">["VXP"] =    0; </v>
      </c>
      <c r="AU225" t="str">
        <f t="shared" si="163"/>
        <v>0</v>
      </c>
      <c r="AV225" t="str">
        <f t="shared" si="164"/>
        <v xml:space="preserve">["LP"] =  0; </v>
      </c>
      <c r="AW225" t="str">
        <f t="shared" si="165"/>
        <v>0</v>
      </c>
      <c r="AX225" t="str">
        <f t="shared" si="166"/>
        <v xml:space="preserve">["REP"] =     0; </v>
      </c>
      <c r="AY225">
        <f>IF(LEN(P225)&gt;0,VLOOKUP(P225,Faction!A$2:B$77,2,FALSE),1)</f>
        <v>1</v>
      </c>
      <c r="AZ225" t="str">
        <f t="shared" si="167"/>
        <v xml:space="preserve">["FACTION"] =  1; </v>
      </c>
      <c r="BA225" t="str">
        <f t="shared" si="146"/>
        <v/>
      </c>
      <c r="BB225" t="str">
        <f t="shared" si="168"/>
        <v xml:space="preserve">                     </v>
      </c>
      <c r="BC225" t="str">
        <f t="shared" si="169"/>
        <v xml:space="preserve">                  </v>
      </c>
      <c r="BD225" t="str">
        <f t="shared" si="170"/>
        <v xml:space="preserve">["NAME"] = { ["EN"] = "Consume Consumables: Doom-shroom"; }; </v>
      </c>
      <c r="BE225" t="str">
        <f t="shared" si="171"/>
        <v xml:space="preserve">["LORE"] = { ["EN"] = "Doom-shrooms can be purchased during the Spring Festival. You should use doom-shrooms many times to accomplish this deed."; }; </v>
      </c>
      <c r="BF225" t="str">
        <f t="shared" si="172"/>
        <v xml:space="preserve">["SUMMARY"] = { ["EN"] = "Use Doom-shrooms 300 times."; }; </v>
      </c>
      <c r="BG225" t="str">
        <f t="shared" si="173"/>
        <v/>
      </c>
      <c r="BH225" t="str">
        <f t="shared" si="174"/>
        <v/>
      </c>
      <c r="BI225" t="str">
        <f t="shared" si="175"/>
        <v/>
      </c>
      <c r="BJ225" t="str">
        <f t="shared" si="177"/>
        <v>};</v>
      </c>
    </row>
    <row r="226" spans="1:62" x14ac:dyDescent="0.25">
      <c r="C226" s="2" t="s">
        <v>986</v>
      </c>
      <c r="D226" s="2" t="s">
        <v>812</v>
      </c>
      <c r="V226">
        <v>147</v>
      </c>
      <c r="X226" t="str">
        <f t="shared" si="145"/>
        <v>[225] = {["CAT_ID"] = 147; }; -- Hobnanigans and Treasure Hunt</v>
      </c>
      <c r="Y226" s="1" t="str">
        <f t="shared" si="147"/>
        <v>[225] = {                                           ["TYPE"] = 14;                       ["SUBTYPE"] =   0;                                   ["VXP"] =    0; ["LP"] =  0; ["REP"] =     0; ["FACTION"] =  1;                                        ["NAME"] = { ["EN"] = "Hobnanigans and Treasure Hunt"; }; };</v>
      </c>
      <c r="Z226">
        <f t="shared" si="176"/>
        <v>225</v>
      </c>
      <c r="AA226" t="str">
        <f t="shared" si="148"/>
        <v>[225] = {</v>
      </c>
      <c r="AB226" t="str">
        <f t="shared" si="149"/>
        <v xml:space="preserve">                     </v>
      </c>
      <c r="AC226" t="str">
        <f t="shared" si="150"/>
        <v/>
      </c>
      <c r="AD226" t="str">
        <f t="shared" si="151"/>
        <v xml:space="preserve">["CAT_ID"] = 147; </v>
      </c>
      <c r="AE226" t="str">
        <f t="shared" si="152"/>
        <v/>
      </c>
      <c r="AF226" s="1" t="str">
        <f t="shared" si="153"/>
        <v xml:space="preserve">                      </v>
      </c>
      <c r="AG226">
        <f>VLOOKUP(D226,Type!A$2:B$16,2,FALSE)</f>
        <v>14</v>
      </c>
      <c r="AH226" t="str">
        <f t="shared" si="154"/>
        <v xml:space="preserve">["TYPE"] = 14; </v>
      </c>
      <c r="AI226" t="str">
        <f t="shared" si="155"/>
        <v xml:space="preserve">                      </v>
      </c>
      <c r="AJ226" t="str">
        <f>IF(AND(F226="Class",NOT(ISBLANK(E226))),VLOOKUP(E226,Class!A$1:B$12,2,FALSE),"")</f>
        <v/>
      </c>
      <c r="AK226" t="str">
        <f>IF(AND(F226="Vocation",NOT(ISBLANK(E226))),VLOOKUP(E226,Vocation!A$1:B$8,2,FALSE),"")</f>
        <v/>
      </c>
      <c r="AL226" t="str">
        <f>IF(AND(F226="Race",NOT(ISBLANK(E226))),VLOOKUP(E226,Race!A$1:B$9,2,),"")</f>
        <v/>
      </c>
      <c r="AM226" t="str">
        <f t="shared" si="156"/>
        <v xml:space="preserve">  0</v>
      </c>
      <c r="AN226" t="str">
        <f t="shared" si="157"/>
        <v xml:space="preserve">["SUBTYPE"] =   0; </v>
      </c>
      <c r="AO226" t="str">
        <f>IF(NOT(ISBLANK(G226)),VLOOKUP(G226,Type!D$2:E$6,2,FALSE),"")</f>
        <v/>
      </c>
      <c r="AP226" t="str">
        <f t="shared" si="158"/>
        <v xml:space="preserve">            </v>
      </c>
      <c r="AQ226" t="str">
        <f t="shared" si="159"/>
        <v xml:space="preserve">                      </v>
      </c>
      <c r="AR226" t="str">
        <f t="shared" si="160"/>
        <v/>
      </c>
      <c r="AS226" t="str">
        <f t="shared" si="161"/>
        <v>0</v>
      </c>
      <c r="AT226" t="str">
        <f t="shared" si="162"/>
        <v xml:space="preserve">["VXP"] =    0; </v>
      </c>
      <c r="AU226" t="str">
        <f t="shared" si="163"/>
        <v>0</v>
      </c>
      <c r="AV226" t="str">
        <f t="shared" si="164"/>
        <v xml:space="preserve">["LP"] =  0; </v>
      </c>
      <c r="AW226" t="str">
        <f t="shared" si="165"/>
        <v>0</v>
      </c>
      <c r="AX226" t="str">
        <f t="shared" si="166"/>
        <v xml:space="preserve">["REP"] =     0; </v>
      </c>
      <c r="AY226">
        <f>IF(LEN(P226)&gt;0,VLOOKUP(P226,Faction!A$2:B$77,2,FALSE),1)</f>
        <v>1</v>
      </c>
      <c r="AZ226" t="str">
        <f t="shared" si="167"/>
        <v xml:space="preserve">["FACTION"] =  1; </v>
      </c>
      <c r="BA226" t="str">
        <f t="shared" si="146"/>
        <v/>
      </c>
      <c r="BB226" t="str">
        <f t="shared" si="168"/>
        <v xml:space="preserve">                     </v>
      </c>
      <c r="BC226" t="str">
        <f t="shared" si="169"/>
        <v xml:space="preserve">                  </v>
      </c>
      <c r="BD226" t="str">
        <f t="shared" si="170"/>
        <v xml:space="preserve">["NAME"] = { ["EN"] = "Hobnanigans and Treasure Hunt"; }; </v>
      </c>
      <c r="BE226" t="str">
        <f t="shared" si="171"/>
        <v/>
      </c>
      <c r="BF226" t="str">
        <f t="shared" si="172"/>
        <v/>
      </c>
      <c r="BG226" t="str">
        <f t="shared" si="173"/>
        <v/>
      </c>
      <c r="BH226" t="str">
        <f t="shared" si="174"/>
        <v/>
      </c>
      <c r="BI226" t="str">
        <f t="shared" si="175"/>
        <v/>
      </c>
      <c r="BJ226" t="str">
        <f t="shared" si="177"/>
        <v>};</v>
      </c>
    </row>
    <row r="227" spans="1:62" x14ac:dyDescent="0.25">
      <c r="A227">
        <v>1879406772</v>
      </c>
      <c r="B227">
        <v>179</v>
      </c>
      <c r="C227" t="s">
        <v>878</v>
      </c>
      <c r="D227" t="s">
        <v>24</v>
      </c>
      <c r="E227" t="s">
        <v>986</v>
      </c>
      <c r="Q227" t="s">
        <v>985</v>
      </c>
      <c r="R227" t="s">
        <v>2173</v>
      </c>
      <c r="S227">
        <v>0</v>
      </c>
      <c r="X227" t="str">
        <f t="shared" si="145"/>
        <v>[226] = {["ID"] = 1879406772; }; -- Consume Consumables: Black-foot Carrying Chicken (Hobnanigans and Treasure Hunt)</v>
      </c>
      <c r="Y227" s="1" t="str">
        <f t="shared" si="147"/>
        <v>[226]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7">
        <f t="shared" si="176"/>
        <v>226</v>
      </c>
      <c r="AA227" t="str">
        <f t="shared" si="148"/>
        <v>[226] = {</v>
      </c>
      <c r="AB227" t="str">
        <f t="shared" si="149"/>
        <v xml:space="preserve">["ID"] = 1879406772; </v>
      </c>
      <c r="AC227" t="str">
        <f t="shared" si="150"/>
        <v xml:space="preserve">["ID"] = 1879406772; </v>
      </c>
      <c r="AD227" t="str">
        <f t="shared" si="151"/>
        <v/>
      </c>
      <c r="AE227" t="str">
        <f t="shared" si="152"/>
        <v xml:space="preserve"> (Hobnanigans and Treasure Hunt)</v>
      </c>
      <c r="AF227" s="1" t="str">
        <f t="shared" si="153"/>
        <v xml:space="preserve">["SAVE_INDEX"] = 179; </v>
      </c>
      <c r="AG227">
        <f>VLOOKUP(D227,Type!A$2:B$16,2,FALSE)</f>
        <v>12</v>
      </c>
      <c r="AH227" t="str">
        <f t="shared" si="154"/>
        <v xml:space="preserve">["TYPE"] = 12; </v>
      </c>
      <c r="AI227" t="str">
        <f t="shared" si="155"/>
        <v xml:space="preserve">                      </v>
      </c>
      <c r="AJ227" t="str">
        <f>IF(AND(F227="Class",NOT(ISBLANK(E227))),VLOOKUP(E227,Class!A$1:B$12,2,FALSE),"")</f>
        <v/>
      </c>
      <c r="AK227" t="str">
        <f>IF(AND(F227="Vocation",NOT(ISBLANK(E227))),VLOOKUP(E227,Vocation!A$1:B$8,2,FALSE),"")</f>
        <v/>
      </c>
      <c r="AL227" t="str">
        <f>IF(AND(F227="Race",NOT(ISBLANK(E227))),VLOOKUP(E227,Race!A$1:B$9,2,),"")</f>
        <v/>
      </c>
      <c r="AM227" t="str">
        <f t="shared" si="156"/>
        <v xml:space="preserve">  0</v>
      </c>
      <c r="AN227" t="str">
        <f t="shared" si="157"/>
        <v xml:space="preserve">["SUBTYPE"] =   0; </v>
      </c>
      <c r="AO227" t="str">
        <f>IF(NOT(ISBLANK(G227)),VLOOKUP(G227,Type!D$2:E$6,2,FALSE),"")</f>
        <v/>
      </c>
      <c r="AP227" t="str">
        <f t="shared" si="158"/>
        <v xml:space="preserve">            </v>
      </c>
      <c r="AQ227" t="str">
        <f t="shared" si="159"/>
        <v xml:space="preserve">                      </v>
      </c>
      <c r="AR227" t="str">
        <f t="shared" si="160"/>
        <v/>
      </c>
      <c r="AS227" t="str">
        <f t="shared" si="161"/>
        <v>0</v>
      </c>
      <c r="AT227" t="str">
        <f t="shared" si="162"/>
        <v xml:space="preserve">["VXP"] =    0; </v>
      </c>
      <c r="AU227" t="str">
        <f t="shared" si="163"/>
        <v>0</v>
      </c>
      <c r="AV227" t="str">
        <f t="shared" si="164"/>
        <v xml:space="preserve">["LP"] =  0; </v>
      </c>
      <c r="AW227" t="str">
        <f t="shared" si="165"/>
        <v>0</v>
      </c>
      <c r="AX227" t="str">
        <f t="shared" si="166"/>
        <v xml:space="preserve">["REP"] =     0; </v>
      </c>
      <c r="AY227">
        <f>IF(LEN(P227)&gt;0,VLOOKUP(P227,Faction!A$2:B$77,2,FALSE),1)</f>
        <v>1</v>
      </c>
      <c r="AZ227" t="str">
        <f t="shared" si="167"/>
        <v xml:space="preserve">["FACTION"] =  1; </v>
      </c>
      <c r="BA227" t="str">
        <f t="shared" si="146"/>
        <v/>
      </c>
      <c r="BB227" t="str">
        <f t="shared" si="168"/>
        <v xml:space="preserve">                     </v>
      </c>
      <c r="BC227" t="str">
        <f t="shared" si="169"/>
        <v xml:space="preserve">                  </v>
      </c>
      <c r="BD227" t="str">
        <f t="shared" si="170"/>
        <v xml:space="preserve">["NAME"] = { ["EN"] = "Consume Consumables: Black-foot Carrying Chicken"; }; </v>
      </c>
      <c r="BE227" t="str">
        <f t="shared" si="171"/>
        <v xml:space="preserve">["LORE"] = { ["EN"] = "Black-foot Carrying Chickens can be bartered for Hobnanigans Tokens or Buried Treasure Tokens during either event. You should use a Black-foot Carrying Chicken many times to accomplish this deed."; }; </v>
      </c>
      <c r="BF227" t="str">
        <f t="shared" si="172"/>
        <v xml:space="preserve">["SUMMARY"] = { ["EN"] = "Use Black-foot Carrying Chickens 50 times."; }; </v>
      </c>
      <c r="BG227" t="str">
        <f t="shared" si="173"/>
        <v/>
      </c>
      <c r="BH227" t="str">
        <f t="shared" si="174"/>
        <v/>
      </c>
      <c r="BI227" t="str">
        <f t="shared" si="175"/>
        <v/>
      </c>
      <c r="BJ227" t="str">
        <f t="shared" si="177"/>
        <v>};</v>
      </c>
    </row>
    <row r="228" spans="1:62" x14ac:dyDescent="0.25">
      <c r="A228">
        <v>1879406771</v>
      </c>
      <c r="B228">
        <v>180</v>
      </c>
      <c r="C228" t="s">
        <v>879</v>
      </c>
      <c r="D228" t="s">
        <v>24</v>
      </c>
      <c r="E228" t="s">
        <v>986</v>
      </c>
      <c r="Q228" t="s">
        <v>987</v>
      </c>
      <c r="R228" t="s">
        <v>988</v>
      </c>
      <c r="S228">
        <v>0</v>
      </c>
      <c r="X228" t="str">
        <f t="shared" si="145"/>
        <v>[227] = {["ID"] = 1879406771; }; -- Consume Consumables: Dorking Carrying Chicken (Hobnanigans and Treasure Hunt)</v>
      </c>
      <c r="Y228" s="1" t="str">
        <f t="shared" si="147"/>
        <v>[227]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8">
        <f t="shared" si="176"/>
        <v>227</v>
      </c>
      <c r="AA228" t="str">
        <f t="shared" si="148"/>
        <v>[227] = {</v>
      </c>
      <c r="AB228" t="str">
        <f t="shared" si="149"/>
        <v xml:space="preserve">["ID"] = 1879406771; </v>
      </c>
      <c r="AC228" t="str">
        <f t="shared" si="150"/>
        <v xml:space="preserve">["ID"] = 1879406771; </v>
      </c>
      <c r="AD228" t="str">
        <f t="shared" si="151"/>
        <v/>
      </c>
      <c r="AE228" t="str">
        <f t="shared" si="152"/>
        <v xml:space="preserve"> (Hobnanigans and Treasure Hunt)</v>
      </c>
      <c r="AF228" s="1" t="str">
        <f t="shared" si="153"/>
        <v xml:space="preserve">["SAVE_INDEX"] = 180; </v>
      </c>
      <c r="AG228">
        <f>VLOOKUP(D228,Type!A$2:B$16,2,FALSE)</f>
        <v>12</v>
      </c>
      <c r="AH228" t="str">
        <f t="shared" si="154"/>
        <v xml:space="preserve">["TYPE"] = 12; </v>
      </c>
      <c r="AI228" t="str">
        <f t="shared" si="155"/>
        <v xml:space="preserve">                      </v>
      </c>
      <c r="AJ228" t="str">
        <f>IF(AND(F228="Class",NOT(ISBLANK(E228))),VLOOKUP(E228,Class!A$1:B$12,2,FALSE),"")</f>
        <v/>
      </c>
      <c r="AK228" t="str">
        <f>IF(AND(F228="Vocation",NOT(ISBLANK(E228))),VLOOKUP(E228,Vocation!A$1:B$8,2,FALSE),"")</f>
        <v/>
      </c>
      <c r="AL228" t="str">
        <f>IF(AND(F228="Race",NOT(ISBLANK(E228))),VLOOKUP(E228,Race!A$1:B$9,2,),"")</f>
        <v/>
      </c>
      <c r="AM228" t="str">
        <f t="shared" si="156"/>
        <v xml:space="preserve">  0</v>
      </c>
      <c r="AN228" t="str">
        <f t="shared" si="157"/>
        <v xml:space="preserve">["SUBTYPE"] =   0; </v>
      </c>
      <c r="AO228" t="str">
        <f>IF(NOT(ISBLANK(G228)),VLOOKUP(G228,Type!D$2:E$6,2,FALSE),"")</f>
        <v/>
      </c>
      <c r="AP228" t="str">
        <f t="shared" si="158"/>
        <v xml:space="preserve">            </v>
      </c>
      <c r="AQ228" t="str">
        <f t="shared" si="159"/>
        <v xml:space="preserve">                      </v>
      </c>
      <c r="AR228" t="str">
        <f t="shared" si="160"/>
        <v/>
      </c>
      <c r="AS228" t="str">
        <f t="shared" si="161"/>
        <v>0</v>
      </c>
      <c r="AT228" t="str">
        <f t="shared" si="162"/>
        <v xml:space="preserve">["VXP"] =    0; </v>
      </c>
      <c r="AU228" t="str">
        <f t="shared" si="163"/>
        <v>0</v>
      </c>
      <c r="AV228" t="str">
        <f t="shared" si="164"/>
        <v xml:space="preserve">["LP"] =  0; </v>
      </c>
      <c r="AW228" t="str">
        <f t="shared" si="165"/>
        <v>0</v>
      </c>
      <c r="AX228" t="str">
        <f t="shared" si="166"/>
        <v xml:space="preserve">["REP"] =     0; </v>
      </c>
      <c r="AY228">
        <f>IF(LEN(P228)&gt;0,VLOOKUP(P228,Faction!A$2:B$77,2,FALSE),1)</f>
        <v>1</v>
      </c>
      <c r="AZ228" t="str">
        <f t="shared" si="167"/>
        <v xml:space="preserve">["FACTION"] =  1; </v>
      </c>
      <c r="BA228" t="str">
        <f t="shared" si="146"/>
        <v/>
      </c>
      <c r="BB228" t="str">
        <f t="shared" si="168"/>
        <v xml:space="preserve">                     </v>
      </c>
      <c r="BC228" t="str">
        <f t="shared" si="169"/>
        <v xml:space="preserve">                  </v>
      </c>
      <c r="BD228" t="str">
        <f t="shared" si="170"/>
        <v xml:space="preserve">["NAME"] = { ["EN"] = "Consume Consumables: Dorking Carrying Chicken"; }; </v>
      </c>
      <c r="BE228" t="str">
        <f t="shared" si="171"/>
        <v xml:space="preserve">["LORE"] = { ["EN"] = "Dorking Carrying Chickens can be bartered for Hobnanigans Tokens or Buried Treasure Tokens during the events. You should use a Dorking Carrying Chicken many times to accomplish this deed."; }; </v>
      </c>
      <c r="BF228" t="str">
        <f t="shared" si="172"/>
        <v xml:space="preserve">["SUMMARY"] = { ["EN"] = "Use Dorking Carrying Chickens 50 times."; }; </v>
      </c>
      <c r="BG228" t="str">
        <f t="shared" si="173"/>
        <v/>
      </c>
      <c r="BH228" t="str">
        <f t="shared" si="174"/>
        <v/>
      </c>
      <c r="BI228" t="str">
        <f t="shared" si="175"/>
        <v/>
      </c>
      <c r="BJ228" t="str">
        <f t="shared" si="177"/>
        <v>};</v>
      </c>
    </row>
    <row r="229" spans="1:62" x14ac:dyDescent="0.25">
      <c r="A229">
        <v>1879406774</v>
      </c>
      <c r="B229">
        <v>181</v>
      </c>
      <c r="C229" t="s">
        <v>880</v>
      </c>
      <c r="D229" t="s">
        <v>24</v>
      </c>
      <c r="E229" t="s">
        <v>986</v>
      </c>
      <c r="Q229" t="s">
        <v>989</v>
      </c>
      <c r="R229" t="s">
        <v>2174</v>
      </c>
      <c r="S229">
        <v>0</v>
      </c>
      <c r="X229" t="str">
        <f t="shared" si="145"/>
        <v>[228] = {["ID"] = 1879406774; }; -- Consume Consumables: Orange Wyandotte Carrying Chicken (Hobnanigans and Treasure Hunt)</v>
      </c>
      <c r="Y229" s="1" t="str">
        <f t="shared" si="147"/>
        <v>[228]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9">
        <f t="shared" si="176"/>
        <v>228</v>
      </c>
      <c r="AA229" t="str">
        <f t="shared" si="148"/>
        <v>[228] = {</v>
      </c>
      <c r="AB229" t="str">
        <f t="shared" si="149"/>
        <v xml:space="preserve">["ID"] = 1879406774; </v>
      </c>
      <c r="AC229" t="str">
        <f t="shared" si="150"/>
        <v xml:space="preserve">["ID"] = 1879406774; </v>
      </c>
      <c r="AD229" t="str">
        <f t="shared" si="151"/>
        <v/>
      </c>
      <c r="AE229" t="str">
        <f t="shared" si="152"/>
        <v xml:space="preserve"> (Hobnanigans and Treasure Hunt)</v>
      </c>
      <c r="AF229" s="1" t="str">
        <f t="shared" si="153"/>
        <v xml:space="preserve">["SAVE_INDEX"] = 181; </v>
      </c>
      <c r="AG229">
        <f>VLOOKUP(D229,Type!A$2:B$16,2,FALSE)</f>
        <v>12</v>
      </c>
      <c r="AH229" t="str">
        <f t="shared" si="154"/>
        <v xml:space="preserve">["TYPE"] = 12; </v>
      </c>
      <c r="AI229" t="str">
        <f t="shared" si="155"/>
        <v xml:space="preserve">                      </v>
      </c>
      <c r="AJ229" t="str">
        <f>IF(AND(F229="Class",NOT(ISBLANK(E229))),VLOOKUP(E229,Class!A$1:B$12,2,FALSE),"")</f>
        <v/>
      </c>
      <c r="AK229" t="str">
        <f>IF(AND(F229="Vocation",NOT(ISBLANK(E229))),VLOOKUP(E229,Vocation!A$1:B$8,2,FALSE),"")</f>
        <v/>
      </c>
      <c r="AL229" t="str">
        <f>IF(AND(F229="Race",NOT(ISBLANK(E229))),VLOOKUP(E229,Race!A$1:B$9,2,),"")</f>
        <v/>
      </c>
      <c r="AM229" t="str">
        <f t="shared" si="156"/>
        <v xml:space="preserve">  0</v>
      </c>
      <c r="AN229" t="str">
        <f t="shared" si="157"/>
        <v xml:space="preserve">["SUBTYPE"] =   0; </v>
      </c>
      <c r="AO229" t="str">
        <f>IF(NOT(ISBLANK(G229)),VLOOKUP(G229,Type!D$2:E$6,2,FALSE),"")</f>
        <v/>
      </c>
      <c r="AP229" t="str">
        <f t="shared" si="158"/>
        <v xml:space="preserve">            </v>
      </c>
      <c r="AQ229" t="str">
        <f t="shared" si="159"/>
        <v xml:space="preserve">                      </v>
      </c>
      <c r="AR229" t="str">
        <f t="shared" si="160"/>
        <v/>
      </c>
      <c r="AS229" t="str">
        <f t="shared" si="161"/>
        <v>0</v>
      </c>
      <c r="AT229" t="str">
        <f t="shared" si="162"/>
        <v xml:space="preserve">["VXP"] =    0; </v>
      </c>
      <c r="AU229" t="str">
        <f t="shared" si="163"/>
        <v>0</v>
      </c>
      <c r="AV229" t="str">
        <f t="shared" si="164"/>
        <v xml:space="preserve">["LP"] =  0; </v>
      </c>
      <c r="AW229" t="str">
        <f t="shared" si="165"/>
        <v>0</v>
      </c>
      <c r="AX229" t="str">
        <f t="shared" si="166"/>
        <v xml:space="preserve">["REP"] =     0; </v>
      </c>
      <c r="AY229">
        <f>IF(LEN(P229)&gt;0,VLOOKUP(P229,Faction!A$2:B$77,2,FALSE),1)</f>
        <v>1</v>
      </c>
      <c r="AZ229" t="str">
        <f t="shared" si="167"/>
        <v xml:space="preserve">["FACTION"] =  1; </v>
      </c>
      <c r="BA229" t="str">
        <f t="shared" si="146"/>
        <v/>
      </c>
      <c r="BB229" t="str">
        <f t="shared" si="168"/>
        <v xml:space="preserve">                     </v>
      </c>
      <c r="BC229" t="str">
        <f t="shared" si="169"/>
        <v xml:space="preserve">                  </v>
      </c>
      <c r="BD229" t="str">
        <f t="shared" si="170"/>
        <v xml:space="preserve">["NAME"] = { ["EN"] = "Consume Consumables: Orange Wyandotte Carrying Chicken"; }; </v>
      </c>
      <c r="BE229" t="str">
        <f t="shared" si="171"/>
        <v xml:space="preserve">["LORE"] = { ["EN"] = "Orange Wyandotte Carrying Chickens can be bartered for Hobnanigans Tokens or Buried Treasure Tokens during either event. You should use an Orange Wyandotte Carrying Chicken many times to accomplish this deed."; }; </v>
      </c>
      <c r="BF229" t="str">
        <f t="shared" si="172"/>
        <v xml:space="preserve">["SUMMARY"] = { ["EN"] = "Use Orange Wyandotte Carrying Chickens 50 times."; }; </v>
      </c>
      <c r="BG229" t="str">
        <f t="shared" si="173"/>
        <v/>
      </c>
      <c r="BH229" t="str">
        <f t="shared" si="174"/>
        <v/>
      </c>
      <c r="BI229" t="str">
        <f t="shared" si="175"/>
        <v/>
      </c>
      <c r="BJ229" t="str">
        <f t="shared" si="177"/>
        <v>};</v>
      </c>
    </row>
    <row r="230" spans="1:62" x14ac:dyDescent="0.25">
      <c r="A230">
        <v>1879406769</v>
      </c>
      <c r="B230">
        <v>182</v>
      </c>
      <c r="C230" t="s">
        <v>881</v>
      </c>
      <c r="D230" t="s">
        <v>24</v>
      </c>
      <c r="E230" t="s">
        <v>986</v>
      </c>
      <c r="Q230" t="s">
        <v>993</v>
      </c>
      <c r="R230" t="s">
        <v>990</v>
      </c>
      <c r="S230">
        <v>0</v>
      </c>
      <c r="X230" t="str">
        <f t="shared" si="145"/>
        <v>[229] = {["ID"] = 1879406769; }; -- Consume Consumables: Red Carrying Chicken (Hobnanigans and Treasure Hunt)</v>
      </c>
      <c r="Y230" s="1" t="str">
        <f t="shared" si="147"/>
        <v>[229]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0">
        <f t="shared" si="176"/>
        <v>229</v>
      </c>
      <c r="AA230" t="str">
        <f t="shared" si="148"/>
        <v>[229] = {</v>
      </c>
      <c r="AB230" t="str">
        <f t="shared" si="149"/>
        <v xml:space="preserve">["ID"] = 1879406769; </v>
      </c>
      <c r="AC230" t="str">
        <f t="shared" si="150"/>
        <v xml:space="preserve">["ID"] = 1879406769; </v>
      </c>
      <c r="AD230" t="str">
        <f t="shared" si="151"/>
        <v/>
      </c>
      <c r="AE230" t="str">
        <f t="shared" si="152"/>
        <v xml:space="preserve"> (Hobnanigans and Treasure Hunt)</v>
      </c>
      <c r="AF230" s="1" t="str">
        <f t="shared" si="153"/>
        <v xml:space="preserve">["SAVE_INDEX"] = 182; </v>
      </c>
      <c r="AG230">
        <f>VLOOKUP(D230,Type!A$2:B$16,2,FALSE)</f>
        <v>12</v>
      </c>
      <c r="AH230" t="str">
        <f t="shared" si="154"/>
        <v xml:space="preserve">["TYPE"] = 12; </v>
      </c>
      <c r="AI230" t="str">
        <f t="shared" si="155"/>
        <v xml:space="preserve">                      </v>
      </c>
      <c r="AJ230" t="str">
        <f>IF(AND(F230="Class",NOT(ISBLANK(E230))),VLOOKUP(E230,Class!A$1:B$12,2,FALSE),"")</f>
        <v/>
      </c>
      <c r="AK230" t="str">
        <f>IF(AND(F230="Vocation",NOT(ISBLANK(E230))),VLOOKUP(E230,Vocation!A$1:B$8,2,FALSE),"")</f>
        <v/>
      </c>
      <c r="AL230" t="str">
        <f>IF(AND(F230="Race",NOT(ISBLANK(E230))),VLOOKUP(E230,Race!A$1:B$9,2,),"")</f>
        <v/>
      </c>
      <c r="AM230" t="str">
        <f t="shared" si="156"/>
        <v xml:space="preserve">  0</v>
      </c>
      <c r="AN230" t="str">
        <f t="shared" si="157"/>
        <v xml:space="preserve">["SUBTYPE"] =   0; </v>
      </c>
      <c r="AO230" t="str">
        <f>IF(NOT(ISBLANK(G230)),VLOOKUP(G230,Type!D$2:E$6,2,FALSE),"")</f>
        <v/>
      </c>
      <c r="AP230" t="str">
        <f t="shared" si="158"/>
        <v xml:space="preserve">            </v>
      </c>
      <c r="AQ230" t="str">
        <f t="shared" si="159"/>
        <v xml:space="preserve">                      </v>
      </c>
      <c r="AR230" t="str">
        <f t="shared" si="160"/>
        <v/>
      </c>
      <c r="AS230" t="str">
        <f t="shared" si="161"/>
        <v>0</v>
      </c>
      <c r="AT230" t="str">
        <f t="shared" si="162"/>
        <v xml:space="preserve">["VXP"] =    0; </v>
      </c>
      <c r="AU230" t="str">
        <f t="shared" si="163"/>
        <v>0</v>
      </c>
      <c r="AV230" t="str">
        <f t="shared" si="164"/>
        <v xml:space="preserve">["LP"] =  0; </v>
      </c>
      <c r="AW230" t="str">
        <f t="shared" si="165"/>
        <v>0</v>
      </c>
      <c r="AX230" t="str">
        <f t="shared" si="166"/>
        <v xml:space="preserve">["REP"] =     0; </v>
      </c>
      <c r="AY230">
        <f>IF(LEN(P230)&gt;0,VLOOKUP(P230,Faction!A$2:B$77,2,FALSE),1)</f>
        <v>1</v>
      </c>
      <c r="AZ230" t="str">
        <f t="shared" si="167"/>
        <v xml:space="preserve">["FACTION"] =  1; </v>
      </c>
      <c r="BA230" t="str">
        <f t="shared" si="146"/>
        <v/>
      </c>
      <c r="BB230" t="str">
        <f t="shared" si="168"/>
        <v xml:space="preserve">                     </v>
      </c>
      <c r="BC230" t="str">
        <f t="shared" si="169"/>
        <v xml:space="preserve">                  </v>
      </c>
      <c r="BD230" t="str">
        <f t="shared" si="170"/>
        <v xml:space="preserve">["NAME"] = { ["EN"] = "Consume Consumables: Red Carrying Chicken"; }; </v>
      </c>
      <c r="BE230" t="str">
        <f t="shared" si="171"/>
        <v xml:space="preserve">["LORE"] = { ["EN"] = "Red Carrying Chickens can be bartered for Hobnanigans Tokens or Buried Treasure Tokens during the events. You should use a Red Carrying Chicken many times to accomplish this deed."; }; </v>
      </c>
      <c r="BF230" t="str">
        <f t="shared" si="172"/>
        <v xml:space="preserve">["SUMMARY"] = { ["EN"] = "Use Red Carrying Chickens 50 times."; }; </v>
      </c>
      <c r="BG230" t="str">
        <f t="shared" si="173"/>
        <v/>
      </c>
      <c r="BH230" t="str">
        <f t="shared" si="174"/>
        <v/>
      </c>
      <c r="BI230" t="str">
        <f t="shared" si="175"/>
        <v/>
      </c>
      <c r="BJ230" t="str">
        <f t="shared" si="177"/>
        <v>};</v>
      </c>
    </row>
    <row r="231" spans="1:62" x14ac:dyDescent="0.25">
      <c r="A231">
        <v>1879406773</v>
      </c>
      <c r="B231">
        <v>183</v>
      </c>
      <c r="C231" t="s">
        <v>882</v>
      </c>
      <c r="D231" t="s">
        <v>24</v>
      </c>
      <c r="E231" t="s">
        <v>986</v>
      </c>
      <c r="Q231" t="s">
        <v>992</v>
      </c>
      <c r="R231" t="s">
        <v>991</v>
      </c>
      <c r="S231">
        <v>0</v>
      </c>
      <c r="X231" t="str">
        <f t="shared" si="145"/>
        <v>[230] = {["ID"] = 1879406773; }; -- Consume Consumables: Scrapper Carrying Chicken (Hobnanigans and Treasure Hunt)</v>
      </c>
      <c r="Y231" s="1" t="str">
        <f t="shared" si="147"/>
        <v>[230]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1">
        <f t="shared" si="176"/>
        <v>230</v>
      </c>
      <c r="AA231" t="str">
        <f t="shared" si="148"/>
        <v>[230] = {</v>
      </c>
      <c r="AB231" t="str">
        <f t="shared" si="149"/>
        <v xml:space="preserve">["ID"] = 1879406773; </v>
      </c>
      <c r="AC231" t="str">
        <f t="shared" si="150"/>
        <v xml:space="preserve">["ID"] = 1879406773; </v>
      </c>
      <c r="AD231" t="str">
        <f t="shared" si="151"/>
        <v/>
      </c>
      <c r="AE231" t="str">
        <f t="shared" si="152"/>
        <v xml:space="preserve"> (Hobnanigans and Treasure Hunt)</v>
      </c>
      <c r="AF231" s="1" t="str">
        <f t="shared" si="153"/>
        <v xml:space="preserve">["SAVE_INDEX"] = 183; </v>
      </c>
      <c r="AG231">
        <f>VLOOKUP(D231,Type!A$2:B$16,2,FALSE)</f>
        <v>12</v>
      </c>
      <c r="AH231" t="str">
        <f t="shared" si="154"/>
        <v xml:space="preserve">["TYPE"] = 12; </v>
      </c>
      <c r="AI231" t="str">
        <f t="shared" si="155"/>
        <v xml:space="preserve">                      </v>
      </c>
      <c r="AJ231" t="str">
        <f>IF(AND(F231="Class",NOT(ISBLANK(E231))),VLOOKUP(E231,Class!A$1:B$12,2,FALSE),"")</f>
        <v/>
      </c>
      <c r="AK231" t="str">
        <f>IF(AND(F231="Vocation",NOT(ISBLANK(E231))),VLOOKUP(E231,Vocation!A$1:B$8,2,FALSE),"")</f>
        <v/>
      </c>
      <c r="AL231" t="str">
        <f>IF(AND(F231="Race",NOT(ISBLANK(E231))),VLOOKUP(E231,Race!A$1:B$9,2,),"")</f>
        <v/>
      </c>
      <c r="AM231" t="str">
        <f t="shared" si="156"/>
        <v xml:space="preserve">  0</v>
      </c>
      <c r="AN231" t="str">
        <f t="shared" si="157"/>
        <v xml:space="preserve">["SUBTYPE"] =   0; </v>
      </c>
      <c r="AO231" t="str">
        <f>IF(NOT(ISBLANK(G231)),VLOOKUP(G231,Type!D$2:E$6,2,FALSE),"")</f>
        <v/>
      </c>
      <c r="AP231" t="str">
        <f t="shared" si="158"/>
        <v xml:space="preserve">            </v>
      </c>
      <c r="AQ231" t="str">
        <f t="shared" si="159"/>
        <v xml:space="preserve">                      </v>
      </c>
      <c r="AR231" t="str">
        <f t="shared" si="160"/>
        <v/>
      </c>
      <c r="AS231" t="str">
        <f t="shared" si="161"/>
        <v>0</v>
      </c>
      <c r="AT231" t="str">
        <f t="shared" si="162"/>
        <v xml:space="preserve">["VXP"] =    0; </v>
      </c>
      <c r="AU231" t="str">
        <f t="shared" si="163"/>
        <v>0</v>
      </c>
      <c r="AV231" t="str">
        <f t="shared" si="164"/>
        <v xml:space="preserve">["LP"] =  0; </v>
      </c>
      <c r="AW231" t="str">
        <f t="shared" si="165"/>
        <v>0</v>
      </c>
      <c r="AX231" t="str">
        <f t="shared" si="166"/>
        <v xml:space="preserve">["REP"] =     0; </v>
      </c>
      <c r="AY231">
        <f>IF(LEN(P231)&gt;0,VLOOKUP(P231,Faction!A$2:B$77,2,FALSE),1)</f>
        <v>1</v>
      </c>
      <c r="AZ231" t="str">
        <f t="shared" si="167"/>
        <v xml:space="preserve">["FACTION"] =  1; </v>
      </c>
      <c r="BA231" t="str">
        <f t="shared" si="146"/>
        <v/>
      </c>
      <c r="BB231" t="str">
        <f t="shared" si="168"/>
        <v xml:space="preserve">                     </v>
      </c>
      <c r="BC231" t="str">
        <f t="shared" si="169"/>
        <v xml:space="preserve">                  </v>
      </c>
      <c r="BD231" t="str">
        <f t="shared" si="170"/>
        <v xml:space="preserve">["NAME"] = { ["EN"] = "Consume Consumables: Scrapper Carrying Chicken"; }; </v>
      </c>
      <c r="BE231" t="str">
        <f t="shared" si="171"/>
        <v xml:space="preserve">["LORE"] = { ["EN"] = "Scrapper Carrying Chickens can be bartered for Hobnanigans Tokens or Buried Treasure Tokens during the events. You should use a Scrapper Carrying Chicken many times to accomplish this deed."; }; </v>
      </c>
      <c r="BF231" t="str">
        <f t="shared" si="172"/>
        <v xml:space="preserve">["SUMMARY"] = { ["EN"] = "Use Scrapper Carrying Chickens 50 times."; }; </v>
      </c>
      <c r="BG231" t="str">
        <f t="shared" si="173"/>
        <v/>
      </c>
      <c r="BH231" t="str">
        <f t="shared" si="174"/>
        <v/>
      </c>
      <c r="BI231" t="str">
        <f t="shared" si="175"/>
        <v/>
      </c>
      <c r="BJ231" t="str">
        <f t="shared" si="177"/>
        <v>};</v>
      </c>
    </row>
    <row r="232" spans="1:62" x14ac:dyDescent="0.25">
      <c r="A232">
        <v>1879406770</v>
      </c>
      <c r="B232">
        <v>184</v>
      </c>
      <c r="C232" t="s">
        <v>883</v>
      </c>
      <c r="D232" t="s">
        <v>24</v>
      </c>
      <c r="E232" t="s">
        <v>986</v>
      </c>
      <c r="Q232" t="s">
        <v>995</v>
      </c>
      <c r="R232" t="s">
        <v>994</v>
      </c>
      <c r="S232">
        <v>0</v>
      </c>
      <c r="X232" t="str">
        <f t="shared" si="145"/>
        <v>[231] = {["ID"] = 1879406770; }; -- Consume Consumables: White Carrying Chicken (Hobnanigans and Treasure Hunt)</v>
      </c>
      <c r="Y232" s="1" t="str">
        <f t="shared" si="147"/>
        <v>[231]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2">
        <f t="shared" si="176"/>
        <v>231</v>
      </c>
      <c r="AA232" t="str">
        <f t="shared" si="148"/>
        <v>[231] = {</v>
      </c>
      <c r="AB232" t="str">
        <f t="shared" si="149"/>
        <v xml:space="preserve">["ID"] = 1879406770; </v>
      </c>
      <c r="AC232" t="str">
        <f t="shared" si="150"/>
        <v xml:space="preserve">["ID"] = 1879406770; </v>
      </c>
      <c r="AD232" t="str">
        <f t="shared" si="151"/>
        <v/>
      </c>
      <c r="AE232" t="str">
        <f t="shared" si="152"/>
        <v xml:space="preserve"> (Hobnanigans and Treasure Hunt)</v>
      </c>
      <c r="AF232" s="1" t="str">
        <f t="shared" si="153"/>
        <v xml:space="preserve">["SAVE_INDEX"] = 184; </v>
      </c>
      <c r="AG232">
        <f>VLOOKUP(D232,Type!A$2:B$16,2,FALSE)</f>
        <v>12</v>
      </c>
      <c r="AH232" t="str">
        <f t="shared" si="154"/>
        <v xml:space="preserve">["TYPE"] = 12; </v>
      </c>
      <c r="AI232" t="str">
        <f t="shared" si="155"/>
        <v xml:space="preserve">                      </v>
      </c>
      <c r="AJ232" t="str">
        <f>IF(AND(F232="Class",NOT(ISBLANK(E232))),VLOOKUP(E232,Class!A$1:B$12,2,FALSE),"")</f>
        <v/>
      </c>
      <c r="AK232" t="str">
        <f>IF(AND(F232="Vocation",NOT(ISBLANK(E232))),VLOOKUP(E232,Vocation!A$1:B$8,2,FALSE),"")</f>
        <v/>
      </c>
      <c r="AL232" t="str">
        <f>IF(AND(F232="Race",NOT(ISBLANK(E232))),VLOOKUP(E232,Race!A$1:B$9,2,),"")</f>
        <v/>
      </c>
      <c r="AM232" t="str">
        <f t="shared" si="156"/>
        <v xml:space="preserve">  0</v>
      </c>
      <c r="AN232" t="str">
        <f t="shared" si="157"/>
        <v xml:space="preserve">["SUBTYPE"] =   0; </v>
      </c>
      <c r="AO232" t="str">
        <f>IF(NOT(ISBLANK(G232)),VLOOKUP(G232,Type!D$2:E$6,2,FALSE),"")</f>
        <v/>
      </c>
      <c r="AP232" t="str">
        <f t="shared" si="158"/>
        <v xml:space="preserve">            </v>
      </c>
      <c r="AQ232" t="str">
        <f t="shared" si="159"/>
        <v xml:space="preserve">                      </v>
      </c>
      <c r="AR232" t="str">
        <f t="shared" si="160"/>
        <v/>
      </c>
      <c r="AS232" t="str">
        <f t="shared" si="161"/>
        <v>0</v>
      </c>
      <c r="AT232" t="str">
        <f t="shared" si="162"/>
        <v xml:space="preserve">["VXP"] =    0; </v>
      </c>
      <c r="AU232" t="str">
        <f t="shared" si="163"/>
        <v>0</v>
      </c>
      <c r="AV232" t="str">
        <f t="shared" si="164"/>
        <v xml:space="preserve">["LP"] =  0; </v>
      </c>
      <c r="AW232" t="str">
        <f t="shared" si="165"/>
        <v>0</v>
      </c>
      <c r="AX232" t="str">
        <f t="shared" si="166"/>
        <v xml:space="preserve">["REP"] =     0; </v>
      </c>
      <c r="AY232">
        <f>IF(LEN(P232)&gt;0,VLOOKUP(P232,Faction!A$2:B$77,2,FALSE),1)</f>
        <v>1</v>
      </c>
      <c r="AZ232" t="str">
        <f t="shared" si="167"/>
        <v xml:space="preserve">["FACTION"] =  1; </v>
      </c>
      <c r="BA232" t="str">
        <f t="shared" si="146"/>
        <v/>
      </c>
      <c r="BB232" t="str">
        <f t="shared" si="168"/>
        <v xml:space="preserve">                     </v>
      </c>
      <c r="BC232" t="str">
        <f t="shared" si="169"/>
        <v xml:space="preserve">                  </v>
      </c>
      <c r="BD232" t="str">
        <f t="shared" si="170"/>
        <v xml:space="preserve">["NAME"] = { ["EN"] = "Consume Consumables: White Carrying Chicken"; }; </v>
      </c>
      <c r="BE232" t="str">
        <f t="shared" si="171"/>
        <v xml:space="preserve">["LORE"] = { ["EN"] = "White Carrying Chickens can be bartered for Hobnanigans Tokens or Buried Treasure Tokens during the events. You should use a White Carrying Chicken many times to accomplish this deed."; }; </v>
      </c>
      <c r="BF232" t="str">
        <f t="shared" si="172"/>
        <v xml:space="preserve">["SUMMARY"] = { ["EN"] = "Use White Carrying Chickens 50 times."; }; </v>
      </c>
      <c r="BG232" t="str">
        <f t="shared" si="173"/>
        <v/>
      </c>
      <c r="BH232" t="str">
        <f t="shared" si="174"/>
        <v/>
      </c>
      <c r="BI232" t="str">
        <f t="shared" si="175"/>
        <v/>
      </c>
      <c r="BJ232" t="str">
        <f t="shared" si="177"/>
        <v>};</v>
      </c>
    </row>
    <row r="233" spans="1:62" x14ac:dyDescent="0.25">
      <c r="A233">
        <v>1879418933</v>
      </c>
      <c r="B233">
        <v>333</v>
      </c>
      <c r="C233" t="s">
        <v>2871</v>
      </c>
      <c r="D233" t="s">
        <v>24</v>
      </c>
      <c r="E233" t="s">
        <v>986</v>
      </c>
      <c r="Q233" t="s">
        <v>2880</v>
      </c>
      <c r="R233" t="s">
        <v>2879</v>
      </c>
      <c r="S233">
        <v>0</v>
      </c>
      <c r="X233" t="str">
        <f t="shared" si="145"/>
        <v>[232] = {["ID"] = 1879418933; }; -- Consume Consumables: Flower Facepaint Stencils (Hobnanigans and Treasure Hunt)</v>
      </c>
      <c r="Y233" s="1" t="str">
        <f t="shared" si="147"/>
        <v>[232]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3">
        <f t="shared" si="176"/>
        <v>232</v>
      </c>
      <c r="AA233" t="str">
        <f t="shared" si="148"/>
        <v>[232] = {</v>
      </c>
      <c r="AB233" t="str">
        <f t="shared" si="149"/>
        <v xml:space="preserve">["ID"] = 1879418933; </v>
      </c>
      <c r="AC233" t="str">
        <f t="shared" si="150"/>
        <v xml:space="preserve">["ID"] = 1879418933; </v>
      </c>
      <c r="AD233" t="str">
        <f t="shared" si="151"/>
        <v/>
      </c>
      <c r="AE233" t="str">
        <f t="shared" si="152"/>
        <v xml:space="preserve"> (Hobnanigans and Treasure Hunt)</v>
      </c>
      <c r="AF233" s="1" t="str">
        <f t="shared" si="153"/>
        <v xml:space="preserve">["SAVE_INDEX"] = 333; </v>
      </c>
      <c r="AG233">
        <f>VLOOKUP(D233,Type!A$2:B$16,2,FALSE)</f>
        <v>12</v>
      </c>
      <c r="AH233" t="str">
        <f t="shared" si="154"/>
        <v xml:space="preserve">["TYPE"] = 12; </v>
      </c>
      <c r="AI233" t="str">
        <f t="shared" si="155"/>
        <v xml:space="preserve">                      </v>
      </c>
      <c r="AJ233" t="str">
        <f>IF(AND(F233="Class",NOT(ISBLANK(E233))),VLOOKUP(E233,Class!A$1:B$12,2,FALSE),"")</f>
        <v/>
      </c>
      <c r="AK233" t="str">
        <f>IF(AND(F233="Vocation",NOT(ISBLANK(E233))),VLOOKUP(E233,Vocation!A$1:B$8,2,FALSE),"")</f>
        <v/>
      </c>
      <c r="AL233" t="str">
        <f>IF(AND(F233="Race",NOT(ISBLANK(E233))),VLOOKUP(E233,Race!A$1:B$9,2,),"")</f>
        <v/>
      </c>
      <c r="AM233" t="str">
        <f t="shared" si="156"/>
        <v xml:space="preserve">  0</v>
      </c>
      <c r="AN233" t="str">
        <f t="shared" si="157"/>
        <v xml:space="preserve">["SUBTYPE"] =   0; </v>
      </c>
      <c r="AO233" t="str">
        <f>IF(NOT(ISBLANK(G233)),VLOOKUP(G233,Type!D$2:E$6,2,FALSE),"")</f>
        <v/>
      </c>
      <c r="AP233" t="str">
        <f t="shared" si="158"/>
        <v xml:space="preserve">            </v>
      </c>
      <c r="AQ233" t="str">
        <f t="shared" si="159"/>
        <v xml:space="preserve">                      </v>
      </c>
      <c r="AR233" t="str">
        <f t="shared" si="160"/>
        <v/>
      </c>
      <c r="AS233" t="str">
        <f t="shared" si="161"/>
        <v>0</v>
      </c>
      <c r="AT233" t="str">
        <f t="shared" si="162"/>
        <v xml:space="preserve">["VXP"] =    0; </v>
      </c>
      <c r="AU233" t="str">
        <f t="shared" si="163"/>
        <v>0</v>
      </c>
      <c r="AV233" t="str">
        <f t="shared" si="164"/>
        <v xml:space="preserve">["LP"] =  0; </v>
      </c>
      <c r="AW233" t="str">
        <f t="shared" si="165"/>
        <v>0</v>
      </c>
      <c r="AX233" t="str">
        <f t="shared" si="166"/>
        <v xml:space="preserve">["REP"] =     0; </v>
      </c>
      <c r="AY233">
        <f>IF(LEN(P233)&gt;0,VLOOKUP(P233,Faction!A$2:B$77,2,FALSE),1)</f>
        <v>1</v>
      </c>
      <c r="AZ233" t="str">
        <f t="shared" si="167"/>
        <v xml:space="preserve">["FACTION"] =  1; </v>
      </c>
      <c r="BA233" t="str">
        <f t="shared" si="146"/>
        <v/>
      </c>
      <c r="BB233" t="str">
        <f t="shared" si="168"/>
        <v xml:space="preserve">                     </v>
      </c>
      <c r="BC233" t="str">
        <f t="shared" si="169"/>
        <v xml:space="preserve">                  </v>
      </c>
      <c r="BD233" t="str">
        <f t="shared" si="170"/>
        <v xml:space="preserve">["NAME"] = { ["EN"] = "Consume Consumables: Flower Facepaint Stencils"; }; </v>
      </c>
      <c r="BE233" t="str">
        <f t="shared" si="171"/>
        <v xml:space="preserve">["LORE"] = { ["EN"] = "Flower facepaint stencils can be bartered for Hobnanigans Tokens or Buried Treasure Tokens during the events."; }; </v>
      </c>
      <c r="BF233" t="str">
        <f t="shared" si="172"/>
        <v xml:space="preserve">["SUMMARY"] = { ["EN"] = "Use flower facepaint stencils 50 times."; }; </v>
      </c>
      <c r="BG233" t="str">
        <f t="shared" si="173"/>
        <v/>
      </c>
      <c r="BH233" t="str">
        <f t="shared" si="174"/>
        <v/>
      </c>
      <c r="BI233" t="str">
        <f t="shared" si="175"/>
        <v/>
      </c>
      <c r="BJ233" t="str">
        <f t="shared" si="177"/>
        <v>};</v>
      </c>
    </row>
    <row r="234" spans="1:62" x14ac:dyDescent="0.25">
      <c r="A234">
        <v>1879418934</v>
      </c>
      <c r="B234">
        <v>334</v>
      </c>
      <c r="C234" t="s">
        <v>2872</v>
      </c>
      <c r="D234" t="s">
        <v>24</v>
      </c>
      <c r="E234" t="s">
        <v>986</v>
      </c>
      <c r="Q234" t="s">
        <v>2888</v>
      </c>
      <c r="R234" t="s">
        <v>2881</v>
      </c>
      <c r="S234">
        <v>0</v>
      </c>
      <c r="X234" t="str">
        <f t="shared" si="145"/>
        <v>[233] = {["ID"] = 1879418934; }; -- Consume Consumables: Bee Facepaint Stencils (Hobnanigans and Treasure Hunt)</v>
      </c>
      <c r="Y234" s="1" t="str">
        <f t="shared" si="147"/>
        <v>[233]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4">
        <f t="shared" si="176"/>
        <v>233</v>
      </c>
      <c r="AA234" t="str">
        <f t="shared" si="148"/>
        <v>[233] = {</v>
      </c>
      <c r="AB234" t="str">
        <f t="shared" si="149"/>
        <v xml:space="preserve">["ID"] = 1879418934; </v>
      </c>
      <c r="AC234" t="str">
        <f t="shared" si="150"/>
        <v xml:space="preserve">["ID"] = 1879418934; </v>
      </c>
      <c r="AD234" t="str">
        <f t="shared" si="151"/>
        <v/>
      </c>
      <c r="AE234" t="str">
        <f t="shared" si="152"/>
        <v xml:space="preserve"> (Hobnanigans and Treasure Hunt)</v>
      </c>
      <c r="AF234" s="1" t="str">
        <f t="shared" si="153"/>
        <v xml:space="preserve">["SAVE_INDEX"] = 334; </v>
      </c>
      <c r="AG234">
        <f>VLOOKUP(D234,Type!A$2:B$16,2,FALSE)</f>
        <v>12</v>
      </c>
      <c r="AH234" t="str">
        <f t="shared" si="154"/>
        <v xml:space="preserve">["TYPE"] = 12; </v>
      </c>
      <c r="AI234" t="str">
        <f t="shared" si="155"/>
        <v xml:space="preserve">                      </v>
      </c>
      <c r="AJ234" t="str">
        <f>IF(AND(F234="Class",NOT(ISBLANK(E234))),VLOOKUP(E234,Class!A$1:B$12,2,FALSE),"")</f>
        <v/>
      </c>
      <c r="AK234" t="str">
        <f>IF(AND(F234="Vocation",NOT(ISBLANK(E234))),VLOOKUP(E234,Vocation!A$1:B$8,2,FALSE),"")</f>
        <v/>
      </c>
      <c r="AL234" t="str">
        <f>IF(AND(F234="Race",NOT(ISBLANK(E234))),VLOOKUP(E234,Race!A$1:B$9,2,),"")</f>
        <v/>
      </c>
      <c r="AM234" t="str">
        <f t="shared" si="156"/>
        <v xml:space="preserve">  0</v>
      </c>
      <c r="AN234" t="str">
        <f t="shared" si="157"/>
        <v xml:space="preserve">["SUBTYPE"] =   0; </v>
      </c>
      <c r="AO234" t="str">
        <f>IF(NOT(ISBLANK(G234)),VLOOKUP(G234,Type!D$2:E$6,2,FALSE),"")</f>
        <v/>
      </c>
      <c r="AP234" t="str">
        <f t="shared" si="158"/>
        <v xml:space="preserve">            </v>
      </c>
      <c r="AQ234" t="str">
        <f t="shared" si="159"/>
        <v xml:space="preserve">                      </v>
      </c>
      <c r="AR234" t="str">
        <f t="shared" si="160"/>
        <v/>
      </c>
      <c r="AS234" t="str">
        <f t="shared" si="161"/>
        <v>0</v>
      </c>
      <c r="AT234" t="str">
        <f t="shared" si="162"/>
        <v xml:space="preserve">["VXP"] =    0; </v>
      </c>
      <c r="AU234" t="str">
        <f t="shared" si="163"/>
        <v>0</v>
      </c>
      <c r="AV234" t="str">
        <f t="shared" si="164"/>
        <v xml:space="preserve">["LP"] =  0; </v>
      </c>
      <c r="AW234" t="str">
        <f t="shared" si="165"/>
        <v>0</v>
      </c>
      <c r="AX234" t="str">
        <f t="shared" si="166"/>
        <v xml:space="preserve">["REP"] =     0; </v>
      </c>
      <c r="AY234">
        <f>IF(LEN(P234)&gt;0,VLOOKUP(P234,Faction!A$2:B$77,2,FALSE),1)</f>
        <v>1</v>
      </c>
      <c r="AZ234" t="str">
        <f t="shared" si="167"/>
        <v xml:space="preserve">["FACTION"] =  1; </v>
      </c>
      <c r="BA234" t="str">
        <f t="shared" si="146"/>
        <v/>
      </c>
      <c r="BB234" t="str">
        <f t="shared" si="168"/>
        <v xml:space="preserve">                     </v>
      </c>
      <c r="BC234" t="str">
        <f t="shared" si="169"/>
        <v xml:space="preserve">                  </v>
      </c>
      <c r="BD234" t="str">
        <f t="shared" si="170"/>
        <v xml:space="preserve">["NAME"] = { ["EN"] = "Consume Consumables: Bee Facepaint Stencils"; }; </v>
      </c>
      <c r="BE234" t="str">
        <f t="shared" si="171"/>
        <v xml:space="preserve">["LORE"] = { ["EN"] = "Bee facepaint stencils can be bartered for Hobnanigans Tokens or Buried Treasure Tokens during the events."; }; </v>
      </c>
      <c r="BF234" t="str">
        <f t="shared" si="172"/>
        <v xml:space="preserve">["SUMMARY"] = { ["EN"] = "Use bee facepaint stencils 50 times."; }; </v>
      </c>
      <c r="BG234" t="str">
        <f t="shared" si="173"/>
        <v/>
      </c>
      <c r="BH234" t="str">
        <f t="shared" si="174"/>
        <v/>
      </c>
      <c r="BI234" t="str">
        <f t="shared" si="175"/>
        <v/>
      </c>
      <c r="BJ234" t="str">
        <f t="shared" si="177"/>
        <v>};</v>
      </c>
    </row>
    <row r="235" spans="1:62" x14ac:dyDescent="0.25">
      <c r="A235">
        <v>1879418935</v>
      </c>
      <c r="B235">
        <v>335</v>
      </c>
      <c r="C235" t="s">
        <v>2873</v>
      </c>
      <c r="D235" t="s">
        <v>24</v>
      </c>
      <c r="E235" t="s">
        <v>986</v>
      </c>
      <c r="Q235" t="s">
        <v>2889</v>
      </c>
      <c r="R235" t="s">
        <v>2882</v>
      </c>
      <c r="S235">
        <v>0</v>
      </c>
      <c r="X235" t="str">
        <f t="shared" si="145"/>
        <v>[234] = {["ID"] = 1879418935; }; -- Consume Consumables: Feather Facepaint Stencils (Hobnanigans and Treasure Hunt)</v>
      </c>
      <c r="Y235" s="1" t="str">
        <f t="shared" si="147"/>
        <v>[234]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5">
        <f t="shared" si="176"/>
        <v>234</v>
      </c>
      <c r="AA235" t="str">
        <f t="shared" si="148"/>
        <v>[234] = {</v>
      </c>
      <c r="AB235" t="str">
        <f t="shared" si="149"/>
        <v xml:space="preserve">["ID"] = 1879418935; </v>
      </c>
      <c r="AC235" t="str">
        <f t="shared" si="150"/>
        <v xml:space="preserve">["ID"] = 1879418935; </v>
      </c>
      <c r="AD235" t="str">
        <f t="shared" si="151"/>
        <v/>
      </c>
      <c r="AE235" t="str">
        <f t="shared" si="152"/>
        <v xml:space="preserve"> (Hobnanigans and Treasure Hunt)</v>
      </c>
      <c r="AF235" s="1" t="str">
        <f t="shared" si="153"/>
        <v xml:space="preserve">["SAVE_INDEX"] = 335; </v>
      </c>
      <c r="AG235">
        <f>VLOOKUP(D235,Type!A$2:B$16,2,FALSE)</f>
        <v>12</v>
      </c>
      <c r="AH235" t="str">
        <f t="shared" si="154"/>
        <v xml:space="preserve">["TYPE"] = 12; </v>
      </c>
      <c r="AI235" t="str">
        <f t="shared" si="155"/>
        <v xml:space="preserve">                      </v>
      </c>
      <c r="AJ235" t="str">
        <f>IF(AND(F235="Class",NOT(ISBLANK(E235))),VLOOKUP(E235,Class!A$1:B$12,2,FALSE),"")</f>
        <v/>
      </c>
      <c r="AK235" t="str">
        <f>IF(AND(F235="Vocation",NOT(ISBLANK(E235))),VLOOKUP(E235,Vocation!A$1:B$8,2,FALSE),"")</f>
        <v/>
      </c>
      <c r="AL235" t="str">
        <f>IF(AND(F235="Race",NOT(ISBLANK(E235))),VLOOKUP(E235,Race!A$1:B$9,2,),"")</f>
        <v/>
      </c>
      <c r="AM235" t="str">
        <f t="shared" si="156"/>
        <v xml:space="preserve">  0</v>
      </c>
      <c r="AN235" t="str">
        <f t="shared" si="157"/>
        <v xml:space="preserve">["SUBTYPE"] =   0; </v>
      </c>
      <c r="AO235" t="str">
        <f>IF(NOT(ISBLANK(G235)),VLOOKUP(G235,Type!D$2:E$6,2,FALSE),"")</f>
        <v/>
      </c>
      <c r="AP235" t="str">
        <f t="shared" si="158"/>
        <v xml:space="preserve">            </v>
      </c>
      <c r="AQ235" t="str">
        <f t="shared" si="159"/>
        <v xml:space="preserve">                      </v>
      </c>
      <c r="AR235" t="str">
        <f t="shared" si="160"/>
        <v/>
      </c>
      <c r="AS235" t="str">
        <f t="shared" si="161"/>
        <v>0</v>
      </c>
      <c r="AT235" t="str">
        <f t="shared" si="162"/>
        <v xml:space="preserve">["VXP"] =    0; </v>
      </c>
      <c r="AU235" t="str">
        <f t="shared" si="163"/>
        <v>0</v>
      </c>
      <c r="AV235" t="str">
        <f t="shared" si="164"/>
        <v xml:space="preserve">["LP"] =  0; </v>
      </c>
      <c r="AW235" t="str">
        <f t="shared" si="165"/>
        <v>0</v>
      </c>
      <c r="AX235" t="str">
        <f t="shared" si="166"/>
        <v xml:space="preserve">["REP"] =     0; </v>
      </c>
      <c r="AY235">
        <f>IF(LEN(P235)&gt;0,VLOOKUP(P235,Faction!A$2:B$77,2,FALSE),1)</f>
        <v>1</v>
      </c>
      <c r="AZ235" t="str">
        <f t="shared" si="167"/>
        <v xml:space="preserve">["FACTION"] =  1; </v>
      </c>
      <c r="BA235" t="str">
        <f t="shared" si="146"/>
        <v/>
      </c>
      <c r="BB235" t="str">
        <f t="shared" si="168"/>
        <v xml:space="preserve">                     </v>
      </c>
      <c r="BC235" t="str">
        <f t="shared" si="169"/>
        <v xml:space="preserve">                  </v>
      </c>
      <c r="BD235" t="str">
        <f t="shared" si="170"/>
        <v xml:space="preserve">["NAME"] = { ["EN"] = "Consume Consumables: Feather Facepaint Stencils"; }; </v>
      </c>
      <c r="BE235" t="str">
        <f t="shared" si="171"/>
        <v xml:space="preserve">["LORE"] = { ["EN"] = "Feather facepaint stencils can be bartered for Hobnanigans Tokens or Buried Treasure Tokens during the events."; }; </v>
      </c>
      <c r="BF235" t="str">
        <f t="shared" si="172"/>
        <v xml:space="preserve">["SUMMARY"] = { ["EN"] = "Use feather facepaint stencils 50 times."; }; </v>
      </c>
      <c r="BG235" t="str">
        <f t="shared" si="173"/>
        <v/>
      </c>
      <c r="BH235" t="str">
        <f t="shared" si="174"/>
        <v/>
      </c>
      <c r="BI235" t="str">
        <f t="shared" si="175"/>
        <v/>
      </c>
      <c r="BJ235" t="str">
        <f t="shared" si="177"/>
        <v>};</v>
      </c>
    </row>
    <row r="236" spans="1:62" x14ac:dyDescent="0.25">
      <c r="A236">
        <v>1879418936</v>
      </c>
      <c r="B236">
        <v>336</v>
      </c>
      <c r="C236" t="s">
        <v>2874</v>
      </c>
      <c r="D236" t="s">
        <v>24</v>
      </c>
      <c r="E236" t="s">
        <v>986</v>
      </c>
      <c r="Q236" t="s">
        <v>2890</v>
      </c>
      <c r="R236" t="s">
        <v>2883</v>
      </c>
      <c r="S236">
        <v>0</v>
      </c>
      <c r="X236" t="str">
        <f t="shared" si="145"/>
        <v>[235] = {["ID"] = 1879418936; }; -- Consume Consumables: Butterfly Facepaint Stencils (Hobnanigans and Treasure Hunt)</v>
      </c>
      <c r="Y236" s="1" t="str">
        <f t="shared" si="147"/>
        <v>[235]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6">
        <f t="shared" si="176"/>
        <v>235</v>
      </c>
      <c r="AA236" t="str">
        <f t="shared" si="148"/>
        <v>[235] = {</v>
      </c>
      <c r="AB236" t="str">
        <f t="shared" si="149"/>
        <v xml:space="preserve">["ID"] = 1879418936; </v>
      </c>
      <c r="AC236" t="str">
        <f t="shared" si="150"/>
        <v xml:space="preserve">["ID"] = 1879418936; </v>
      </c>
      <c r="AD236" t="str">
        <f t="shared" si="151"/>
        <v/>
      </c>
      <c r="AE236" t="str">
        <f t="shared" si="152"/>
        <v xml:space="preserve"> (Hobnanigans and Treasure Hunt)</v>
      </c>
      <c r="AF236" s="1" t="str">
        <f t="shared" si="153"/>
        <v xml:space="preserve">["SAVE_INDEX"] = 336; </v>
      </c>
      <c r="AG236">
        <f>VLOOKUP(D236,Type!A$2:B$16,2,FALSE)</f>
        <v>12</v>
      </c>
      <c r="AH236" t="str">
        <f t="shared" si="154"/>
        <v xml:space="preserve">["TYPE"] = 12; </v>
      </c>
      <c r="AI236" t="str">
        <f t="shared" si="155"/>
        <v xml:space="preserve">                      </v>
      </c>
      <c r="AJ236" t="str">
        <f>IF(AND(F236="Class",NOT(ISBLANK(E236))),VLOOKUP(E236,Class!A$1:B$12,2,FALSE),"")</f>
        <v/>
      </c>
      <c r="AK236" t="str">
        <f>IF(AND(F236="Vocation",NOT(ISBLANK(E236))),VLOOKUP(E236,Vocation!A$1:B$8,2,FALSE),"")</f>
        <v/>
      </c>
      <c r="AL236" t="str">
        <f>IF(AND(F236="Race",NOT(ISBLANK(E236))),VLOOKUP(E236,Race!A$1:B$9,2,),"")</f>
        <v/>
      </c>
      <c r="AM236" t="str">
        <f t="shared" si="156"/>
        <v xml:space="preserve">  0</v>
      </c>
      <c r="AN236" t="str">
        <f t="shared" si="157"/>
        <v xml:space="preserve">["SUBTYPE"] =   0; </v>
      </c>
      <c r="AO236" t="str">
        <f>IF(NOT(ISBLANK(G236)),VLOOKUP(G236,Type!D$2:E$6,2,FALSE),"")</f>
        <v/>
      </c>
      <c r="AP236" t="str">
        <f t="shared" si="158"/>
        <v xml:space="preserve">            </v>
      </c>
      <c r="AQ236" t="str">
        <f t="shared" si="159"/>
        <v xml:space="preserve">                      </v>
      </c>
      <c r="AR236" t="str">
        <f t="shared" si="160"/>
        <v/>
      </c>
      <c r="AS236" t="str">
        <f t="shared" si="161"/>
        <v>0</v>
      </c>
      <c r="AT236" t="str">
        <f t="shared" si="162"/>
        <v xml:space="preserve">["VXP"] =    0; </v>
      </c>
      <c r="AU236" t="str">
        <f t="shared" si="163"/>
        <v>0</v>
      </c>
      <c r="AV236" t="str">
        <f t="shared" si="164"/>
        <v xml:space="preserve">["LP"] =  0; </v>
      </c>
      <c r="AW236" t="str">
        <f t="shared" si="165"/>
        <v>0</v>
      </c>
      <c r="AX236" t="str">
        <f t="shared" si="166"/>
        <v xml:space="preserve">["REP"] =     0; </v>
      </c>
      <c r="AY236">
        <f>IF(LEN(P236)&gt;0,VLOOKUP(P236,Faction!A$2:B$77,2,FALSE),1)</f>
        <v>1</v>
      </c>
      <c r="AZ236" t="str">
        <f t="shared" si="167"/>
        <v xml:space="preserve">["FACTION"] =  1; </v>
      </c>
      <c r="BA236" t="str">
        <f t="shared" si="146"/>
        <v/>
      </c>
      <c r="BB236" t="str">
        <f t="shared" si="168"/>
        <v xml:space="preserve">                     </v>
      </c>
      <c r="BC236" t="str">
        <f t="shared" si="169"/>
        <v xml:space="preserve">                  </v>
      </c>
      <c r="BD236" t="str">
        <f t="shared" si="170"/>
        <v xml:space="preserve">["NAME"] = { ["EN"] = "Consume Consumables: Butterfly Facepaint Stencils"; }; </v>
      </c>
      <c r="BE236" t="str">
        <f t="shared" si="171"/>
        <v xml:space="preserve">["LORE"] = { ["EN"] = "Butterfly facepaint stencils can be bartered for Hobnanigans Tokens or Buried Treasure Tokens during the events."; }; </v>
      </c>
      <c r="BF236" t="str">
        <f t="shared" si="172"/>
        <v xml:space="preserve">["SUMMARY"] = { ["EN"] = "Use butterfly facepaint stencils 50 times."; }; </v>
      </c>
      <c r="BG236" t="str">
        <f t="shared" si="173"/>
        <v/>
      </c>
      <c r="BH236" t="str">
        <f t="shared" si="174"/>
        <v/>
      </c>
      <c r="BI236" t="str">
        <f t="shared" si="175"/>
        <v/>
      </c>
      <c r="BJ236" t="str">
        <f t="shared" si="177"/>
        <v>};</v>
      </c>
    </row>
    <row r="237" spans="1:62" x14ac:dyDescent="0.25">
      <c r="A237">
        <v>1879418937</v>
      </c>
      <c r="B237">
        <v>337</v>
      </c>
      <c r="C237" t="s">
        <v>2875</v>
      </c>
      <c r="D237" t="s">
        <v>24</v>
      </c>
      <c r="E237" t="s">
        <v>986</v>
      </c>
      <c r="Q237" t="s">
        <v>2891</v>
      </c>
      <c r="R237" t="s">
        <v>2884</v>
      </c>
      <c r="S237">
        <v>0</v>
      </c>
      <c r="X237" t="str">
        <f t="shared" si="145"/>
        <v>[236] = {["ID"] = 1879418937; }; -- Consume Consumables: Bow Facepaint Stencils (Hobnanigans and Treasure Hunt)</v>
      </c>
      <c r="Y237" s="1" t="str">
        <f t="shared" si="147"/>
        <v>[236]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7">
        <f t="shared" si="176"/>
        <v>236</v>
      </c>
      <c r="AA237" t="str">
        <f t="shared" si="148"/>
        <v>[236] = {</v>
      </c>
      <c r="AB237" t="str">
        <f t="shared" si="149"/>
        <v xml:space="preserve">["ID"] = 1879418937; </v>
      </c>
      <c r="AC237" t="str">
        <f t="shared" si="150"/>
        <v xml:space="preserve">["ID"] = 1879418937; </v>
      </c>
      <c r="AD237" t="str">
        <f t="shared" si="151"/>
        <v/>
      </c>
      <c r="AE237" t="str">
        <f t="shared" si="152"/>
        <v xml:space="preserve"> (Hobnanigans and Treasure Hunt)</v>
      </c>
      <c r="AF237" s="1" t="str">
        <f t="shared" si="153"/>
        <v xml:space="preserve">["SAVE_INDEX"] = 337; </v>
      </c>
      <c r="AG237">
        <f>VLOOKUP(D237,Type!A$2:B$16,2,FALSE)</f>
        <v>12</v>
      </c>
      <c r="AH237" t="str">
        <f t="shared" si="154"/>
        <v xml:space="preserve">["TYPE"] = 12; </v>
      </c>
      <c r="AI237" t="str">
        <f t="shared" si="155"/>
        <v xml:space="preserve">                      </v>
      </c>
      <c r="AJ237" t="str">
        <f>IF(AND(F237="Class",NOT(ISBLANK(E237))),VLOOKUP(E237,Class!A$1:B$12,2,FALSE),"")</f>
        <v/>
      </c>
      <c r="AK237" t="str">
        <f>IF(AND(F237="Vocation",NOT(ISBLANK(E237))),VLOOKUP(E237,Vocation!A$1:B$8,2,FALSE),"")</f>
        <v/>
      </c>
      <c r="AL237" t="str">
        <f>IF(AND(F237="Race",NOT(ISBLANK(E237))),VLOOKUP(E237,Race!A$1:B$9,2,),"")</f>
        <v/>
      </c>
      <c r="AM237" t="str">
        <f t="shared" si="156"/>
        <v xml:space="preserve">  0</v>
      </c>
      <c r="AN237" t="str">
        <f t="shared" si="157"/>
        <v xml:space="preserve">["SUBTYPE"] =   0; </v>
      </c>
      <c r="AO237" t="str">
        <f>IF(NOT(ISBLANK(G237)),VLOOKUP(G237,Type!D$2:E$6,2,FALSE),"")</f>
        <v/>
      </c>
      <c r="AP237" t="str">
        <f t="shared" si="158"/>
        <v xml:space="preserve">            </v>
      </c>
      <c r="AQ237" t="str">
        <f t="shared" si="159"/>
        <v xml:space="preserve">                      </v>
      </c>
      <c r="AR237" t="str">
        <f t="shared" si="160"/>
        <v/>
      </c>
      <c r="AS237" t="str">
        <f t="shared" si="161"/>
        <v>0</v>
      </c>
      <c r="AT237" t="str">
        <f t="shared" si="162"/>
        <v xml:space="preserve">["VXP"] =    0; </v>
      </c>
      <c r="AU237" t="str">
        <f t="shared" si="163"/>
        <v>0</v>
      </c>
      <c r="AV237" t="str">
        <f t="shared" si="164"/>
        <v xml:space="preserve">["LP"] =  0; </v>
      </c>
      <c r="AW237" t="str">
        <f t="shared" si="165"/>
        <v>0</v>
      </c>
      <c r="AX237" t="str">
        <f t="shared" si="166"/>
        <v xml:space="preserve">["REP"] =     0; </v>
      </c>
      <c r="AY237">
        <f>IF(LEN(P237)&gt;0,VLOOKUP(P237,Faction!A$2:B$77,2,FALSE),1)</f>
        <v>1</v>
      </c>
      <c r="AZ237" t="str">
        <f t="shared" si="167"/>
        <v xml:space="preserve">["FACTION"] =  1; </v>
      </c>
      <c r="BA237" t="str">
        <f t="shared" si="146"/>
        <v/>
      </c>
      <c r="BB237" t="str">
        <f t="shared" si="168"/>
        <v xml:space="preserve">                     </v>
      </c>
      <c r="BC237" t="str">
        <f t="shared" si="169"/>
        <v xml:space="preserve">                  </v>
      </c>
      <c r="BD237" t="str">
        <f t="shared" si="170"/>
        <v xml:space="preserve">["NAME"] = { ["EN"] = "Consume Consumables: Bow Facepaint Stencils"; }; </v>
      </c>
      <c r="BE237" t="str">
        <f t="shared" si="171"/>
        <v xml:space="preserve">["LORE"] = { ["EN"] = "Bow facepaint stencils can be bartered for Hobnanigans Tokens or Buried Treasure Tokens during the events."; }; </v>
      </c>
      <c r="BF237" t="str">
        <f t="shared" si="172"/>
        <v xml:space="preserve">["SUMMARY"] = { ["EN"] = "Use bow facepaint stencils 50 times."; }; </v>
      </c>
      <c r="BG237" t="str">
        <f t="shared" si="173"/>
        <v/>
      </c>
      <c r="BH237" t="str">
        <f t="shared" si="174"/>
        <v/>
      </c>
      <c r="BI237" t="str">
        <f t="shared" si="175"/>
        <v/>
      </c>
      <c r="BJ237" t="str">
        <f t="shared" si="177"/>
        <v>};</v>
      </c>
    </row>
    <row r="238" spans="1:62" x14ac:dyDescent="0.25">
      <c r="A238">
        <v>1879418938</v>
      </c>
      <c r="B238">
        <v>338</v>
      </c>
      <c r="C238" t="s">
        <v>2876</v>
      </c>
      <c r="D238" t="s">
        <v>24</v>
      </c>
      <c r="E238" t="s">
        <v>986</v>
      </c>
      <c r="Q238" t="s">
        <v>2892</v>
      </c>
      <c r="R238" t="s">
        <v>2885</v>
      </c>
      <c r="S238">
        <v>0</v>
      </c>
      <c r="X238" t="str">
        <f t="shared" si="145"/>
        <v>[237] = {["ID"] = 1879418938; }; -- Consume Consumables: Star Facepaint Stencils (Hobnanigans and Treasure Hunt)</v>
      </c>
      <c r="Y238" s="1" t="str">
        <f t="shared" si="147"/>
        <v>[237]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38">
        <f t="shared" si="176"/>
        <v>237</v>
      </c>
      <c r="AA238" t="str">
        <f t="shared" si="148"/>
        <v>[237] = {</v>
      </c>
      <c r="AB238" t="str">
        <f t="shared" si="149"/>
        <v xml:space="preserve">["ID"] = 1879418938; </v>
      </c>
      <c r="AC238" t="str">
        <f t="shared" si="150"/>
        <v xml:space="preserve">["ID"] = 1879418938; </v>
      </c>
      <c r="AD238" t="str">
        <f t="shared" si="151"/>
        <v/>
      </c>
      <c r="AE238" t="str">
        <f t="shared" si="152"/>
        <v xml:space="preserve"> (Hobnanigans and Treasure Hunt)</v>
      </c>
      <c r="AF238" s="1" t="str">
        <f t="shared" si="153"/>
        <v xml:space="preserve">["SAVE_INDEX"] = 338; </v>
      </c>
      <c r="AG238">
        <f>VLOOKUP(D238,Type!A$2:B$16,2,FALSE)</f>
        <v>12</v>
      </c>
      <c r="AH238" t="str">
        <f t="shared" si="154"/>
        <v xml:space="preserve">["TYPE"] = 12; </v>
      </c>
      <c r="AI238" t="str">
        <f t="shared" si="155"/>
        <v xml:space="preserve">                      </v>
      </c>
      <c r="AJ238" t="str">
        <f>IF(AND(F238="Class",NOT(ISBLANK(E238))),VLOOKUP(E238,Class!A$1:B$12,2,FALSE),"")</f>
        <v/>
      </c>
      <c r="AK238" t="str">
        <f>IF(AND(F238="Vocation",NOT(ISBLANK(E238))),VLOOKUP(E238,Vocation!A$1:B$8,2,FALSE),"")</f>
        <v/>
      </c>
      <c r="AL238" t="str">
        <f>IF(AND(F238="Race",NOT(ISBLANK(E238))),VLOOKUP(E238,Race!A$1:B$9,2,),"")</f>
        <v/>
      </c>
      <c r="AM238" t="str">
        <f t="shared" si="156"/>
        <v xml:space="preserve">  0</v>
      </c>
      <c r="AN238" t="str">
        <f t="shared" si="157"/>
        <v xml:space="preserve">["SUBTYPE"] =   0; </v>
      </c>
      <c r="AO238" t="str">
        <f>IF(NOT(ISBLANK(G238)),VLOOKUP(G238,Type!D$2:E$6,2,FALSE),"")</f>
        <v/>
      </c>
      <c r="AP238" t="str">
        <f t="shared" si="158"/>
        <v xml:space="preserve">            </v>
      </c>
      <c r="AQ238" t="str">
        <f t="shared" si="159"/>
        <v xml:space="preserve">                      </v>
      </c>
      <c r="AR238" t="str">
        <f t="shared" si="160"/>
        <v/>
      </c>
      <c r="AS238" t="str">
        <f t="shared" si="161"/>
        <v>0</v>
      </c>
      <c r="AT238" t="str">
        <f t="shared" si="162"/>
        <v xml:space="preserve">["VXP"] =    0; </v>
      </c>
      <c r="AU238" t="str">
        <f t="shared" si="163"/>
        <v>0</v>
      </c>
      <c r="AV238" t="str">
        <f t="shared" si="164"/>
        <v xml:space="preserve">["LP"] =  0; </v>
      </c>
      <c r="AW238" t="str">
        <f t="shared" si="165"/>
        <v>0</v>
      </c>
      <c r="AX238" t="str">
        <f t="shared" si="166"/>
        <v xml:space="preserve">["REP"] =     0; </v>
      </c>
      <c r="AY238">
        <f>IF(LEN(P238)&gt;0,VLOOKUP(P238,Faction!A$2:B$77,2,FALSE),1)</f>
        <v>1</v>
      </c>
      <c r="AZ238" t="str">
        <f t="shared" si="167"/>
        <v xml:space="preserve">["FACTION"] =  1; </v>
      </c>
      <c r="BA238" t="str">
        <f t="shared" si="146"/>
        <v/>
      </c>
      <c r="BB238" t="str">
        <f t="shared" si="168"/>
        <v xml:space="preserve">                     </v>
      </c>
      <c r="BC238" t="str">
        <f t="shared" si="169"/>
        <v xml:space="preserve">                  </v>
      </c>
      <c r="BD238" t="str">
        <f t="shared" si="170"/>
        <v xml:space="preserve">["NAME"] = { ["EN"] = "Consume Consumables: Star Facepaint Stencils"; }; </v>
      </c>
      <c r="BE238" t="str">
        <f t="shared" si="171"/>
        <v xml:space="preserve">["LORE"] = { ["EN"] = "Star facepaint stencils can be bartered for Hobnanigans Tokens or Buried Treasure Tokens during the events."; }; </v>
      </c>
      <c r="BF238" t="str">
        <f t="shared" si="172"/>
        <v xml:space="preserve">["SUMMARY"] = { ["EN"] = "Use star facepaint stencils 50 times."; }; </v>
      </c>
      <c r="BG238" t="str">
        <f t="shared" si="173"/>
        <v/>
      </c>
      <c r="BH238" t="str">
        <f t="shared" si="174"/>
        <v/>
      </c>
      <c r="BI238" t="str">
        <f t="shared" si="175"/>
        <v/>
      </c>
      <c r="BJ238" t="str">
        <f t="shared" si="177"/>
        <v>};</v>
      </c>
    </row>
    <row r="239" spans="1:62" x14ac:dyDescent="0.25">
      <c r="A239">
        <v>1879418939</v>
      </c>
      <c r="B239">
        <v>339</v>
      </c>
      <c r="C239" t="s">
        <v>2877</v>
      </c>
      <c r="D239" t="s">
        <v>24</v>
      </c>
      <c r="E239" t="s">
        <v>986</v>
      </c>
      <c r="Q239" t="s">
        <v>2893</v>
      </c>
      <c r="R239" t="s">
        <v>2886</v>
      </c>
      <c r="S239">
        <v>0</v>
      </c>
      <c r="X239" t="str">
        <f t="shared" si="145"/>
        <v>[238] = {["ID"] = 1879418939; }; -- Consume Consumables: Sword Facepaint Stencils (Hobnanigans and Treasure Hunt)</v>
      </c>
      <c r="Y239" s="1" t="str">
        <f t="shared" si="147"/>
        <v>[238]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39">
        <f t="shared" si="176"/>
        <v>238</v>
      </c>
      <c r="AA239" t="str">
        <f t="shared" si="148"/>
        <v>[238] = {</v>
      </c>
      <c r="AB239" t="str">
        <f t="shared" si="149"/>
        <v xml:space="preserve">["ID"] = 1879418939; </v>
      </c>
      <c r="AC239" t="str">
        <f t="shared" si="150"/>
        <v xml:space="preserve">["ID"] = 1879418939; </v>
      </c>
      <c r="AD239" t="str">
        <f t="shared" si="151"/>
        <v/>
      </c>
      <c r="AE239" t="str">
        <f t="shared" si="152"/>
        <v xml:space="preserve"> (Hobnanigans and Treasure Hunt)</v>
      </c>
      <c r="AF239" s="1" t="str">
        <f t="shared" si="153"/>
        <v xml:space="preserve">["SAVE_INDEX"] = 339; </v>
      </c>
      <c r="AG239">
        <f>VLOOKUP(D239,Type!A$2:B$16,2,FALSE)</f>
        <v>12</v>
      </c>
      <c r="AH239" t="str">
        <f t="shared" si="154"/>
        <v xml:space="preserve">["TYPE"] = 12; </v>
      </c>
      <c r="AI239" t="str">
        <f t="shared" si="155"/>
        <v xml:space="preserve">                      </v>
      </c>
      <c r="AJ239" t="str">
        <f>IF(AND(F239="Class",NOT(ISBLANK(E239))),VLOOKUP(E239,Class!A$1:B$12,2,FALSE),"")</f>
        <v/>
      </c>
      <c r="AK239" t="str">
        <f>IF(AND(F239="Vocation",NOT(ISBLANK(E239))),VLOOKUP(E239,Vocation!A$1:B$8,2,FALSE),"")</f>
        <v/>
      </c>
      <c r="AL239" t="str">
        <f>IF(AND(F239="Race",NOT(ISBLANK(E239))),VLOOKUP(E239,Race!A$1:B$9,2,),"")</f>
        <v/>
      </c>
      <c r="AM239" t="str">
        <f t="shared" si="156"/>
        <v xml:space="preserve">  0</v>
      </c>
      <c r="AN239" t="str">
        <f t="shared" si="157"/>
        <v xml:space="preserve">["SUBTYPE"] =   0; </v>
      </c>
      <c r="AO239" t="str">
        <f>IF(NOT(ISBLANK(G239)),VLOOKUP(G239,Type!D$2:E$6,2,FALSE),"")</f>
        <v/>
      </c>
      <c r="AP239" t="str">
        <f t="shared" si="158"/>
        <v xml:space="preserve">            </v>
      </c>
      <c r="AQ239" t="str">
        <f t="shared" si="159"/>
        <v xml:space="preserve">                      </v>
      </c>
      <c r="AR239" t="str">
        <f t="shared" si="160"/>
        <v/>
      </c>
      <c r="AS239" t="str">
        <f t="shared" si="161"/>
        <v>0</v>
      </c>
      <c r="AT239" t="str">
        <f t="shared" si="162"/>
        <v xml:space="preserve">["VXP"] =    0; </v>
      </c>
      <c r="AU239" t="str">
        <f t="shared" si="163"/>
        <v>0</v>
      </c>
      <c r="AV239" t="str">
        <f t="shared" si="164"/>
        <v xml:space="preserve">["LP"] =  0; </v>
      </c>
      <c r="AW239" t="str">
        <f t="shared" si="165"/>
        <v>0</v>
      </c>
      <c r="AX239" t="str">
        <f t="shared" si="166"/>
        <v xml:space="preserve">["REP"] =     0; </v>
      </c>
      <c r="AY239">
        <f>IF(LEN(P239)&gt;0,VLOOKUP(P239,Faction!A$2:B$77,2,FALSE),1)</f>
        <v>1</v>
      </c>
      <c r="AZ239" t="str">
        <f t="shared" si="167"/>
        <v xml:space="preserve">["FACTION"] =  1; </v>
      </c>
      <c r="BA239" t="str">
        <f t="shared" si="146"/>
        <v/>
      </c>
      <c r="BB239" t="str">
        <f t="shared" si="168"/>
        <v xml:space="preserve">                     </v>
      </c>
      <c r="BC239" t="str">
        <f t="shared" si="169"/>
        <v xml:space="preserve">                  </v>
      </c>
      <c r="BD239" t="str">
        <f t="shared" si="170"/>
        <v xml:space="preserve">["NAME"] = { ["EN"] = "Consume Consumables: Sword Facepaint Stencils"; }; </v>
      </c>
      <c r="BE239" t="str">
        <f t="shared" si="171"/>
        <v xml:space="preserve">["LORE"] = { ["EN"] = "Sword facepaint stencils can be bartered for Hobnanigans Tokens or Buried Treasure Tokens during the events."; }; </v>
      </c>
      <c r="BF239" t="str">
        <f t="shared" si="172"/>
        <v xml:space="preserve">["SUMMARY"] = { ["EN"] = "Use sword facepaint stencils 50 times."; }; </v>
      </c>
      <c r="BG239" t="str">
        <f t="shared" si="173"/>
        <v/>
      </c>
      <c r="BH239" t="str">
        <f t="shared" si="174"/>
        <v/>
      </c>
      <c r="BI239" t="str">
        <f t="shared" si="175"/>
        <v/>
      </c>
      <c r="BJ239" t="str">
        <f t="shared" si="177"/>
        <v>};</v>
      </c>
    </row>
    <row r="240" spans="1:62" x14ac:dyDescent="0.25">
      <c r="A240">
        <v>1879418940</v>
      </c>
      <c r="B240">
        <v>340</v>
      </c>
      <c r="C240" t="s">
        <v>2878</v>
      </c>
      <c r="D240" t="s">
        <v>24</v>
      </c>
      <c r="E240" t="s">
        <v>986</v>
      </c>
      <c r="Q240" t="s">
        <v>2894</v>
      </c>
      <c r="R240" t="s">
        <v>2887</v>
      </c>
      <c r="S240">
        <v>0</v>
      </c>
      <c r="X240" t="str">
        <f t="shared" si="145"/>
        <v>[239] = {["ID"] = 1879418940; }; -- Consume Consumables: Pipe Facepaint Stencils (Hobnanigans and Treasure Hunt)</v>
      </c>
      <c r="Y240" s="1" t="str">
        <f t="shared" si="147"/>
        <v>[239]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0">
        <f t="shared" si="176"/>
        <v>239</v>
      </c>
      <c r="AA240" t="str">
        <f t="shared" si="148"/>
        <v>[239] = {</v>
      </c>
      <c r="AB240" t="str">
        <f t="shared" si="149"/>
        <v xml:space="preserve">["ID"] = 1879418940; </v>
      </c>
      <c r="AC240" t="str">
        <f t="shared" si="150"/>
        <v xml:space="preserve">["ID"] = 1879418940; </v>
      </c>
      <c r="AD240" t="str">
        <f t="shared" si="151"/>
        <v/>
      </c>
      <c r="AE240" t="str">
        <f t="shared" si="152"/>
        <v xml:space="preserve"> (Hobnanigans and Treasure Hunt)</v>
      </c>
      <c r="AF240" s="1" t="str">
        <f t="shared" si="153"/>
        <v xml:space="preserve">["SAVE_INDEX"] = 340; </v>
      </c>
      <c r="AG240">
        <f>VLOOKUP(D240,Type!A$2:B$16,2,FALSE)</f>
        <v>12</v>
      </c>
      <c r="AH240" t="str">
        <f t="shared" si="154"/>
        <v xml:space="preserve">["TYPE"] = 12; </v>
      </c>
      <c r="AI240" t="str">
        <f t="shared" si="155"/>
        <v xml:space="preserve">                      </v>
      </c>
      <c r="AJ240" t="str">
        <f>IF(AND(F240="Class",NOT(ISBLANK(E240))),VLOOKUP(E240,Class!A$1:B$12,2,FALSE),"")</f>
        <v/>
      </c>
      <c r="AK240" t="str">
        <f>IF(AND(F240="Vocation",NOT(ISBLANK(E240))),VLOOKUP(E240,Vocation!A$1:B$8,2,FALSE),"")</f>
        <v/>
      </c>
      <c r="AL240" t="str">
        <f>IF(AND(F240="Race",NOT(ISBLANK(E240))),VLOOKUP(E240,Race!A$1:B$9,2,),"")</f>
        <v/>
      </c>
      <c r="AM240" t="str">
        <f t="shared" si="156"/>
        <v xml:space="preserve">  0</v>
      </c>
      <c r="AN240" t="str">
        <f t="shared" si="157"/>
        <v xml:space="preserve">["SUBTYPE"] =   0; </v>
      </c>
      <c r="AO240" t="str">
        <f>IF(NOT(ISBLANK(G240)),VLOOKUP(G240,Type!D$2:E$6,2,FALSE),"")</f>
        <v/>
      </c>
      <c r="AP240" t="str">
        <f t="shared" si="158"/>
        <v xml:space="preserve">            </v>
      </c>
      <c r="AQ240" t="str">
        <f t="shared" si="159"/>
        <v xml:space="preserve">                      </v>
      </c>
      <c r="AR240" t="str">
        <f t="shared" si="160"/>
        <v/>
      </c>
      <c r="AS240" t="str">
        <f t="shared" si="161"/>
        <v>0</v>
      </c>
      <c r="AT240" t="str">
        <f t="shared" si="162"/>
        <v xml:space="preserve">["VXP"] =    0; </v>
      </c>
      <c r="AU240" t="str">
        <f t="shared" si="163"/>
        <v>0</v>
      </c>
      <c r="AV240" t="str">
        <f t="shared" si="164"/>
        <v xml:space="preserve">["LP"] =  0; </v>
      </c>
      <c r="AW240" t="str">
        <f t="shared" si="165"/>
        <v>0</v>
      </c>
      <c r="AX240" t="str">
        <f t="shared" si="166"/>
        <v xml:space="preserve">["REP"] =     0; </v>
      </c>
      <c r="AY240">
        <f>IF(LEN(P240)&gt;0,VLOOKUP(P240,Faction!A$2:B$77,2,FALSE),1)</f>
        <v>1</v>
      </c>
      <c r="AZ240" t="str">
        <f t="shared" si="167"/>
        <v xml:space="preserve">["FACTION"] =  1; </v>
      </c>
      <c r="BA240" t="str">
        <f t="shared" si="146"/>
        <v/>
      </c>
      <c r="BB240" t="str">
        <f t="shared" si="168"/>
        <v xml:space="preserve">                     </v>
      </c>
      <c r="BC240" t="str">
        <f t="shared" si="169"/>
        <v xml:space="preserve">                  </v>
      </c>
      <c r="BD240" t="str">
        <f t="shared" si="170"/>
        <v xml:space="preserve">["NAME"] = { ["EN"] = "Consume Consumables: Pipe Facepaint Stencils"; }; </v>
      </c>
      <c r="BE240" t="str">
        <f t="shared" si="171"/>
        <v xml:space="preserve">["LORE"] = { ["EN"] = "Pipe facepaint stencils can be bartered for Hobnanigans Tokens or Buried Treasure Tokens during the events."; }; </v>
      </c>
      <c r="BF240" t="str">
        <f t="shared" si="172"/>
        <v xml:space="preserve">["SUMMARY"] = { ["EN"] = "Use pipe facepaint stencils 50 times."; }; </v>
      </c>
      <c r="BG240" t="str">
        <f t="shared" si="173"/>
        <v/>
      </c>
      <c r="BH240" t="str">
        <f t="shared" si="174"/>
        <v/>
      </c>
      <c r="BI240" t="str">
        <f t="shared" si="175"/>
        <v/>
      </c>
      <c r="BJ240" t="str">
        <f t="shared" si="177"/>
        <v>};</v>
      </c>
    </row>
    <row r="241" spans="1:62" x14ac:dyDescent="0.25">
      <c r="C241" s="2" t="s">
        <v>817</v>
      </c>
      <c r="D241" s="2" t="s">
        <v>812</v>
      </c>
      <c r="S241">
        <v>0</v>
      </c>
      <c r="V241">
        <v>148</v>
      </c>
      <c r="X241" t="str">
        <f t="shared" si="145"/>
        <v>[240] = {["CAT_ID"] = 148; }; -- Ale &amp; Inn</v>
      </c>
      <c r="Y241" s="1" t="str">
        <f t="shared" si="147"/>
        <v>[240] = {                                           ["TYPE"] = 14;                       ["SUBTYPE"] =   0;                                   ["VXP"] =    0; ["LP"] =  0; ["REP"] =     0; ["FACTION"] =  1;                                        ["NAME"] = { ["EN"] = "Ale &amp; Inn"; }; };</v>
      </c>
      <c r="Z241">
        <f t="shared" si="176"/>
        <v>240</v>
      </c>
      <c r="AA241" t="str">
        <f t="shared" si="148"/>
        <v>[240] = {</v>
      </c>
      <c r="AB241" t="str">
        <f t="shared" si="149"/>
        <v xml:space="preserve">                     </v>
      </c>
      <c r="AC241" t="str">
        <f t="shared" si="150"/>
        <v/>
      </c>
      <c r="AD241" t="str">
        <f t="shared" si="151"/>
        <v xml:space="preserve">["CAT_ID"] = 148; </v>
      </c>
      <c r="AE241" t="str">
        <f t="shared" si="152"/>
        <v/>
      </c>
      <c r="AF241" s="1" t="str">
        <f t="shared" si="153"/>
        <v xml:space="preserve">                      </v>
      </c>
      <c r="AG241">
        <f>VLOOKUP(D241,Type!A$2:B$16,2,FALSE)</f>
        <v>14</v>
      </c>
      <c r="AH241" t="str">
        <f t="shared" si="154"/>
        <v xml:space="preserve">["TYPE"] = 14; </v>
      </c>
      <c r="AI241" t="str">
        <f t="shared" si="155"/>
        <v xml:space="preserve">                      </v>
      </c>
      <c r="AJ241" t="str">
        <f>IF(AND(F241="Class",NOT(ISBLANK(E241))),VLOOKUP(E241,Class!A$1:B$12,2,FALSE),"")</f>
        <v/>
      </c>
      <c r="AK241" t="str">
        <f>IF(AND(F241="Vocation",NOT(ISBLANK(E241))),VLOOKUP(E241,Vocation!A$1:B$8,2,FALSE),"")</f>
        <v/>
      </c>
      <c r="AL241" t="str">
        <f>IF(AND(F241="Race",NOT(ISBLANK(E241))),VLOOKUP(E241,Race!A$1:B$9,2,),"")</f>
        <v/>
      </c>
      <c r="AM241" t="str">
        <f t="shared" si="156"/>
        <v xml:space="preserve">  0</v>
      </c>
      <c r="AN241" t="str">
        <f t="shared" si="157"/>
        <v xml:space="preserve">["SUBTYPE"] =   0; </v>
      </c>
      <c r="AO241" t="str">
        <f>IF(NOT(ISBLANK(G241)),VLOOKUP(G241,Type!D$2:E$6,2,FALSE),"")</f>
        <v/>
      </c>
      <c r="AP241" t="str">
        <f t="shared" si="158"/>
        <v xml:space="preserve">            </v>
      </c>
      <c r="AQ241" t="str">
        <f t="shared" si="159"/>
        <v xml:space="preserve">                      </v>
      </c>
      <c r="AR241" t="str">
        <f t="shared" si="160"/>
        <v/>
      </c>
      <c r="AS241" t="str">
        <f t="shared" si="161"/>
        <v>0</v>
      </c>
      <c r="AT241" t="str">
        <f t="shared" si="162"/>
        <v xml:space="preserve">["VXP"] =    0; </v>
      </c>
      <c r="AU241" t="str">
        <f t="shared" si="163"/>
        <v>0</v>
      </c>
      <c r="AV241" t="str">
        <f t="shared" si="164"/>
        <v xml:space="preserve">["LP"] =  0; </v>
      </c>
      <c r="AW241" t="str">
        <f t="shared" si="165"/>
        <v>0</v>
      </c>
      <c r="AX241" t="str">
        <f t="shared" si="166"/>
        <v xml:space="preserve">["REP"] =     0; </v>
      </c>
      <c r="AY241">
        <f>IF(LEN(P241)&gt;0,VLOOKUP(P241,Faction!A$2:B$77,2,FALSE),1)</f>
        <v>1</v>
      </c>
      <c r="AZ241" t="str">
        <f t="shared" si="167"/>
        <v xml:space="preserve">["FACTION"] =  1; </v>
      </c>
      <c r="BA241" t="str">
        <f t="shared" si="146"/>
        <v/>
      </c>
      <c r="BB241" t="str">
        <f t="shared" si="168"/>
        <v xml:space="preserve">                     </v>
      </c>
      <c r="BC241" t="str">
        <f t="shared" si="169"/>
        <v xml:space="preserve">                  </v>
      </c>
      <c r="BD241" t="str">
        <f t="shared" si="170"/>
        <v xml:space="preserve">["NAME"] = { ["EN"] = "Ale &amp; Inn"; }; </v>
      </c>
      <c r="BE241" t="str">
        <f t="shared" si="171"/>
        <v/>
      </c>
      <c r="BF241" t="str">
        <f t="shared" si="172"/>
        <v/>
      </c>
      <c r="BG241" t="str">
        <f t="shared" si="173"/>
        <v/>
      </c>
      <c r="BH241" t="str">
        <f t="shared" si="174"/>
        <v/>
      </c>
      <c r="BI241" t="str">
        <f t="shared" si="175"/>
        <v/>
      </c>
      <c r="BJ241" t="str">
        <f t="shared" si="177"/>
        <v>};</v>
      </c>
    </row>
    <row r="242" spans="1:62" x14ac:dyDescent="0.25">
      <c r="A242">
        <v>1879183074</v>
      </c>
      <c r="B242">
        <v>185</v>
      </c>
      <c r="C242" t="s">
        <v>875</v>
      </c>
      <c r="D242" t="s">
        <v>30</v>
      </c>
      <c r="E242" t="s">
        <v>1064</v>
      </c>
      <c r="M242" t="s">
        <v>1077</v>
      </c>
      <c r="Q242" t="s">
        <v>1076</v>
      </c>
      <c r="R242" t="s">
        <v>2145</v>
      </c>
      <c r="S242">
        <v>0</v>
      </c>
      <c r="X242" t="str">
        <f t="shared" si="145"/>
        <v>[241] = {["ID"] = 1879183074; }; -- Kindred of Malevolence (Ale Association)</v>
      </c>
      <c r="Y242" s="1" t="str">
        <f t="shared" si="147"/>
        <v>[241]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2">
        <f t="shared" si="176"/>
        <v>241</v>
      </c>
      <c r="AA242" t="str">
        <f t="shared" si="148"/>
        <v>[241] = {</v>
      </c>
      <c r="AB242" t="str">
        <f t="shared" si="149"/>
        <v xml:space="preserve">["ID"] = 1879183074; </v>
      </c>
      <c r="AC242" t="str">
        <f t="shared" si="150"/>
        <v xml:space="preserve">["ID"] = 1879183074; </v>
      </c>
      <c r="AD242" t="str">
        <f t="shared" si="151"/>
        <v/>
      </c>
      <c r="AE242" t="str">
        <f t="shared" si="152"/>
        <v xml:space="preserve"> (Ale Association)</v>
      </c>
      <c r="AF242" s="1" t="str">
        <f t="shared" si="153"/>
        <v xml:space="preserve">["SAVE_INDEX"] = 185; </v>
      </c>
      <c r="AG242">
        <f>VLOOKUP(D242,Type!A$2:B$16,2,FALSE)</f>
        <v>7</v>
      </c>
      <c r="AH242" t="str">
        <f t="shared" si="154"/>
        <v xml:space="preserve">["TYPE"] =  7; </v>
      </c>
      <c r="AI242" t="str">
        <f t="shared" si="155"/>
        <v xml:space="preserve">                      </v>
      </c>
      <c r="AJ242" t="str">
        <f>IF(AND(F242="Class",NOT(ISBLANK(E242))),VLOOKUP(E242,Class!A$1:B$12,2,FALSE),"")</f>
        <v/>
      </c>
      <c r="AK242" t="str">
        <f>IF(AND(F242="Vocation",NOT(ISBLANK(E242))),VLOOKUP(E242,Vocation!A$1:B$8,2,FALSE),"")</f>
        <v/>
      </c>
      <c r="AL242" t="str">
        <f>IF(AND(F242="Race",NOT(ISBLANK(E242))),VLOOKUP(E242,Race!A$1:B$9,2,),"")</f>
        <v/>
      </c>
      <c r="AM242" t="str">
        <f t="shared" si="156"/>
        <v xml:space="preserve">  0</v>
      </c>
      <c r="AN242" t="str">
        <f t="shared" si="157"/>
        <v xml:space="preserve">["SUBTYPE"] =   0; </v>
      </c>
      <c r="AO242" t="str">
        <f>IF(NOT(ISBLANK(G242)),VLOOKUP(G242,Type!D$2:E$6,2,FALSE),"")</f>
        <v/>
      </c>
      <c r="AP242" t="str">
        <f t="shared" si="158"/>
        <v xml:space="preserve">            </v>
      </c>
      <c r="AQ242" t="str">
        <f t="shared" si="159"/>
        <v xml:space="preserve">                      </v>
      </c>
      <c r="AR242" t="str">
        <f t="shared" si="160"/>
        <v/>
      </c>
      <c r="AS242" t="str">
        <f t="shared" si="161"/>
        <v>0</v>
      </c>
      <c r="AT242" t="str">
        <f t="shared" si="162"/>
        <v xml:space="preserve">["VXP"] =    0; </v>
      </c>
      <c r="AU242" t="str">
        <f t="shared" si="163"/>
        <v>0</v>
      </c>
      <c r="AV242" t="str">
        <f t="shared" si="164"/>
        <v xml:space="preserve">["LP"] =  0; </v>
      </c>
      <c r="AW242" t="str">
        <f t="shared" si="165"/>
        <v>0</v>
      </c>
      <c r="AX242" t="str">
        <f t="shared" si="166"/>
        <v xml:space="preserve">["REP"] =     0; </v>
      </c>
      <c r="AY242">
        <f>IF(LEN(P242)&gt;0,VLOOKUP(P242,Faction!A$2:B$77,2,FALSE),1)</f>
        <v>1</v>
      </c>
      <c r="AZ242" t="str">
        <f t="shared" si="167"/>
        <v xml:space="preserve">["FACTION"] =  1; </v>
      </c>
      <c r="BA242" t="str">
        <f t="shared" si="146"/>
        <v/>
      </c>
      <c r="BB242" t="str">
        <f t="shared" si="168"/>
        <v xml:space="preserve">                     </v>
      </c>
      <c r="BC242" t="str">
        <f t="shared" si="169"/>
        <v xml:space="preserve">                  </v>
      </c>
      <c r="BD242" t="str">
        <f t="shared" si="170"/>
        <v xml:space="preserve">["NAME"] = { ["EN"] = "Kindred of Malevolence"; }; </v>
      </c>
      <c r="BE242" t="str">
        <f t="shared" si="171"/>
        <v xml:space="preserve">["LORE"] = { ["EN"] = "You have reached Kindred standing with the Ale Association."; }; </v>
      </c>
      <c r="BF242" t="str">
        <f t="shared" si="172"/>
        <v xml:space="preserve">["SUMMARY"] = { ["EN"] = "You have reached kindred standing with the Ale Association."; }; </v>
      </c>
      <c r="BG242" t="str">
        <f t="shared" si="173"/>
        <v xml:space="preserve">["TITLE"] = { ["EN"] = "Creep"; }; </v>
      </c>
      <c r="BH242" t="str">
        <f t="shared" si="174"/>
        <v/>
      </c>
      <c r="BI242" t="str">
        <f t="shared" si="175"/>
        <v/>
      </c>
      <c r="BJ242" t="str">
        <f t="shared" si="177"/>
        <v>};</v>
      </c>
    </row>
    <row r="243" spans="1:62" x14ac:dyDescent="0.25">
      <c r="A243">
        <v>1879183073</v>
      </c>
      <c r="B243">
        <v>186</v>
      </c>
      <c r="C243" t="s">
        <v>869</v>
      </c>
      <c r="D243" t="s">
        <v>30</v>
      </c>
      <c r="E243" t="s">
        <v>1064</v>
      </c>
      <c r="M243" t="s">
        <v>1075</v>
      </c>
      <c r="Q243" t="s">
        <v>1074</v>
      </c>
      <c r="R243" t="s">
        <v>1073</v>
      </c>
      <c r="S243">
        <v>1</v>
      </c>
      <c r="X243" t="str">
        <f t="shared" si="145"/>
        <v>[242] = {["ID"] = 1879183073; ["TIER"] = 1; }; -- Ale Association Ally (Ale Association)</v>
      </c>
      <c r="Y243" s="1" t="str">
        <f t="shared" si="147"/>
        <v>[242]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3">
        <f t="shared" si="176"/>
        <v>242</v>
      </c>
      <c r="AA243" t="str">
        <f t="shared" si="148"/>
        <v>[242] = {</v>
      </c>
      <c r="AB243" t="str">
        <f t="shared" si="149"/>
        <v xml:space="preserve">["ID"] = 1879183073; </v>
      </c>
      <c r="AC243" t="str">
        <f t="shared" si="150"/>
        <v xml:space="preserve">["ID"] = 1879183073; </v>
      </c>
      <c r="AD243" t="str">
        <f t="shared" si="151"/>
        <v/>
      </c>
      <c r="AE243" t="str">
        <f t="shared" si="152"/>
        <v xml:space="preserve"> (Ale Association)</v>
      </c>
      <c r="AF243" s="1" t="str">
        <f t="shared" si="153"/>
        <v xml:space="preserve">["SAVE_INDEX"] = 186; </v>
      </c>
      <c r="AG243">
        <f>VLOOKUP(D243,Type!A$2:B$16,2,FALSE)</f>
        <v>7</v>
      </c>
      <c r="AH243" t="str">
        <f t="shared" si="154"/>
        <v xml:space="preserve">["TYPE"] =  7; </v>
      </c>
      <c r="AI243" t="str">
        <f t="shared" si="155"/>
        <v xml:space="preserve">                      </v>
      </c>
      <c r="AJ243" t="str">
        <f>IF(AND(F243="Class",NOT(ISBLANK(E243))),VLOOKUP(E243,Class!A$1:B$12,2,FALSE),"")</f>
        <v/>
      </c>
      <c r="AK243" t="str">
        <f>IF(AND(F243="Vocation",NOT(ISBLANK(E243))),VLOOKUP(E243,Vocation!A$1:B$8,2,FALSE),"")</f>
        <v/>
      </c>
      <c r="AL243" t="str">
        <f>IF(AND(F243="Race",NOT(ISBLANK(E243))),VLOOKUP(E243,Race!A$1:B$9,2,),"")</f>
        <v/>
      </c>
      <c r="AM243" t="str">
        <f t="shared" si="156"/>
        <v xml:space="preserve">  0</v>
      </c>
      <c r="AN243" t="str">
        <f t="shared" si="157"/>
        <v xml:space="preserve">["SUBTYPE"] =   0; </v>
      </c>
      <c r="AO243" t="str">
        <f>IF(NOT(ISBLANK(G243)),VLOOKUP(G243,Type!D$2:E$6,2,FALSE),"")</f>
        <v/>
      </c>
      <c r="AP243" t="str">
        <f t="shared" si="158"/>
        <v xml:space="preserve">            </v>
      </c>
      <c r="AQ243" t="str">
        <f t="shared" si="159"/>
        <v xml:space="preserve">                      </v>
      </c>
      <c r="AR243" t="str">
        <f t="shared" si="160"/>
        <v/>
      </c>
      <c r="AS243" t="str">
        <f t="shared" si="161"/>
        <v>0</v>
      </c>
      <c r="AT243" t="str">
        <f t="shared" si="162"/>
        <v xml:space="preserve">["VXP"] =    0; </v>
      </c>
      <c r="AU243" t="str">
        <f t="shared" si="163"/>
        <v>0</v>
      </c>
      <c r="AV243" t="str">
        <f t="shared" si="164"/>
        <v xml:space="preserve">["LP"] =  0; </v>
      </c>
      <c r="AW243" t="str">
        <f t="shared" si="165"/>
        <v>0</v>
      </c>
      <c r="AX243" t="str">
        <f t="shared" si="166"/>
        <v xml:space="preserve">["REP"] =     0; </v>
      </c>
      <c r="AY243">
        <f>IF(LEN(P243)&gt;0,VLOOKUP(P243,Faction!A$2:B$77,2,FALSE),1)</f>
        <v>1</v>
      </c>
      <c r="AZ243" t="str">
        <f t="shared" si="167"/>
        <v xml:space="preserve">["FACTION"] =  1; </v>
      </c>
      <c r="BA243" t="str">
        <f t="shared" si="146"/>
        <v xml:space="preserve">["TIER"] = 1; </v>
      </c>
      <c r="BB243" t="str">
        <f t="shared" si="168"/>
        <v xml:space="preserve">                     </v>
      </c>
      <c r="BC243" t="str">
        <f t="shared" si="169"/>
        <v xml:space="preserve">                  </v>
      </c>
      <c r="BD243" t="str">
        <f t="shared" si="170"/>
        <v xml:space="preserve">["NAME"] = { ["EN"] = "Ale Association Ally"; }; </v>
      </c>
      <c r="BE243" t="str">
        <f t="shared" si="171"/>
        <v xml:space="preserve">["LORE"] = { ["EN"] = "You have reached Ally standing with the Ale Association."; }; </v>
      </c>
      <c r="BF243" t="str">
        <f t="shared" si="172"/>
        <v xml:space="preserve">["SUMMARY"] = { ["EN"] = "Reach Ally standing with the Ale Association."; }; </v>
      </c>
      <c r="BG243" t="str">
        <f t="shared" si="173"/>
        <v xml:space="preserve">["TITLE"] = { ["EN"] = "the Great Saboteur"; }; </v>
      </c>
      <c r="BH243" t="str">
        <f t="shared" si="174"/>
        <v/>
      </c>
      <c r="BI243" t="str">
        <f t="shared" si="175"/>
        <v/>
      </c>
      <c r="BJ243" t="str">
        <f t="shared" si="177"/>
        <v>};</v>
      </c>
    </row>
    <row r="244" spans="1:62" x14ac:dyDescent="0.25">
      <c r="A244">
        <v>1879183072</v>
      </c>
      <c r="B244">
        <v>187</v>
      </c>
      <c r="C244" t="s">
        <v>870</v>
      </c>
      <c r="D244" t="s">
        <v>30</v>
      </c>
      <c r="E244" t="s">
        <v>1064</v>
      </c>
      <c r="M244" t="s">
        <v>1070</v>
      </c>
      <c r="Q244" t="s">
        <v>1072</v>
      </c>
      <c r="R244" t="s">
        <v>1071</v>
      </c>
      <c r="S244">
        <v>2</v>
      </c>
      <c r="X244" t="str">
        <f t="shared" si="145"/>
        <v>[243] = {["ID"] = 1879183072; ["TIER"] = 2; }; -- Ale Association Friend (Ale Association)</v>
      </c>
      <c r="Y244" s="1" t="str">
        <f t="shared" si="147"/>
        <v>[243]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4">
        <f t="shared" si="176"/>
        <v>243</v>
      </c>
      <c r="AA244" t="str">
        <f t="shared" si="148"/>
        <v>[243] = {</v>
      </c>
      <c r="AB244" t="str">
        <f t="shared" si="149"/>
        <v xml:space="preserve">["ID"] = 1879183072; </v>
      </c>
      <c r="AC244" t="str">
        <f t="shared" si="150"/>
        <v xml:space="preserve">["ID"] = 1879183072; </v>
      </c>
      <c r="AD244" t="str">
        <f t="shared" si="151"/>
        <v/>
      </c>
      <c r="AE244" t="str">
        <f t="shared" si="152"/>
        <v xml:space="preserve"> (Ale Association)</v>
      </c>
      <c r="AF244" s="1" t="str">
        <f t="shared" si="153"/>
        <v xml:space="preserve">["SAVE_INDEX"] = 187; </v>
      </c>
      <c r="AG244">
        <f>VLOOKUP(D244,Type!A$2:B$16,2,FALSE)</f>
        <v>7</v>
      </c>
      <c r="AH244" t="str">
        <f t="shared" si="154"/>
        <v xml:space="preserve">["TYPE"] =  7; </v>
      </c>
      <c r="AI244" t="str">
        <f t="shared" si="155"/>
        <v xml:space="preserve">                      </v>
      </c>
      <c r="AJ244" t="str">
        <f>IF(AND(F244="Class",NOT(ISBLANK(E244))),VLOOKUP(E244,Class!A$1:B$12,2,FALSE),"")</f>
        <v/>
      </c>
      <c r="AK244" t="str">
        <f>IF(AND(F244="Vocation",NOT(ISBLANK(E244))),VLOOKUP(E244,Vocation!A$1:B$8,2,FALSE),"")</f>
        <v/>
      </c>
      <c r="AL244" t="str">
        <f>IF(AND(F244="Race",NOT(ISBLANK(E244))),VLOOKUP(E244,Race!A$1:B$9,2,),"")</f>
        <v/>
      </c>
      <c r="AM244" t="str">
        <f t="shared" si="156"/>
        <v xml:space="preserve">  0</v>
      </c>
      <c r="AN244" t="str">
        <f t="shared" si="157"/>
        <v xml:space="preserve">["SUBTYPE"] =   0; </v>
      </c>
      <c r="AO244" t="str">
        <f>IF(NOT(ISBLANK(G244)),VLOOKUP(G244,Type!D$2:E$6,2,FALSE),"")</f>
        <v/>
      </c>
      <c r="AP244" t="str">
        <f t="shared" si="158"/>
        <v xml:space="preserve">            </v>
      </c>
      <c r="AQ244" t="str">
        <f t="shared" si="159"/>
        <v xml:space="preserve">                      </v>
      </c>
      <c r="AR244" t="str">
        <f t="shared" si="160"/>
        <v/>
      </c>
      <c r="AS244" t="str">
        <f t="shared" si="161"/>
        <v>0</v>
      </c>
      <c r="AT244" t="str">
        <f t="shared" si="162"/>
        <v xml:space="preserve">["VXP"] =    0; </v>
      </c>
      <c r="AU244" t="str">
        <f t="shared" si="163"/>
        <v>0</v>
      </c>
      <c r="AV244" t="str">
        <f t="shared" si="164"/>
        <v xml:space="preserve">["LP"] =  0; </v>
      </c>
      <c r="AW244" t="str">
        <f t="shared" si="165"/>
        <v>0</v>
      </c>
      <c r="AX244" t="str">
        <f t="shared" si="166"/>
        <v xml:space="preserve">["REP"] =     0; </v>
      </c>
      <c r="AY244">
        <f>IF(LEN(P244)&gt;0,VLOOKUP(P244,Faction!A$2:B$77,2,FALSE),1)</f>
        <v>1</v>
      </c>
      <c r="AZ244" t="str">
        <f t="shared" si="167"/>
        <v xml:space="preserve">["FACTION"] =  1; </v>
      </c>
      <c r="BA244" t="str">
        <f t="shared" si="146"/>
        <v xml:space="preserve">["TIER"] = 2; </v>
      </c>
      <c r="BB244" t="str">
        <f t="shared" si="168"/>
        <v xml:space="preserve">                     </v>
      </c>
      <c r="BC244" t="str">
        <f t="shared" si="169"/>
        <v xml:space="preserve">                  </v>
      </c>
      <c r="BD244" t="str">
        <f t="shared" si="170"/>
        <v xml:space="preserve">["NAME"] = { ["EN"] = "Ale Association Friend"; }; </v>
      </c>
      <c r="BE244" t="str">
        <f t="shared" si="171"/>
        <v xml:space="preserve">["LORE"] = { ["EN"] = "You have reached Friend standing with the Ale Association."; }; </v>
      </c>
      <c r="BF244" t="str">
        <f t="shared" si="172"/>
        <v xml:space="preserve">["SUMMARY"] = { ["EN"] = "Reach Friend standing with the Ale Association."; }; </v>
      </c>
      <c r="BG244" t="str">
        <f t="shared" si="173"/>
        <v xml:space="preserve">["TITLE"] = { ["EN"] = "Abuser of Amusement"; }; </v>
      </c>
      <c r="BH244" t="str">
        <f t="shared" si="174"/>
        <v/>
      </c>
      <c r="BI244" t="str">
        <f t="shared" si="175"/>
        <v/>
      </c>
      <c r="BJ244" t="str">
        <f t="shared" si="177"/>
        <v>};</v>
      </c>
    </row>
    <row r="245" spans="1:62" x14ac:dyDescent="0.25">
      <c r="A245">
        <v>1879183071</v>
      </c>
      <c r="B245">
        <v>188</v>
      </c>
      <c r="C245" t="s">
        <v>868</v>
      </c>
      <c r="D245" t="s">
        <v>30</v>
      </c>
      <c r="E245" t="s">
        <v>1064</v>
      </c>
      <c r="M245" t="s">
        <v>1068</v>
      </c>
      <c r="Q245" t="s">
        <v>1069</v>
      </c>
      <c r="R245" t="s">
        <v>2144</v>
      </c>
      <c r="S245">
        <v>3</v>
      </c>
      <c r="X245" t="str">
        <f t="shared" si="145"/>
        <v>[244] = {["ID"] = 1879183071; ["TIER"] = 3; }; -- Ale Association Acquaintance (Ale Association)</v>
      </c>
      <c r="Y245" s="1" t="str">
        <f t="shared" si="147"/>
        <v>[244]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5">
        <f t="shared" si="176"/>
        <v>244</v>
      </c>
      <c r="AA245" t="str">
        <f t="shared" si="148"/>
        <v>[244] = {</v>
      </c>
      <c r="AB245" t="str">
        <f t="shared" si="149"/>
        <v xml:space="preserve">["ID"] = 1879183071; </v>
      </c>
      <c r="AC245" t="str">
        <f t="shared" si="150"/>
        <v xml:space="preserve">["ID"] = 1879183071; </v>
      </c>
      <c r="AD245" t="str">
        <f t="shared" si="151"/>
        <v/>
      </c>
      <c r="AE245" t="str">
        <f t="shared" si="152"/>
        <v xml:space="preserve"> (Ale Association)</v>
      </c>
      <c r="AF245" s="1" t="str">
        <f t="shared" si="153"/>
        <v xml:space="preserve">["SAVE_INDEX"] = 188; </v>
      </c>
      <c r="AG245">
        <f>VLOOKUP(D245,Type!A$2:B$16,2,FALSE)</f>
        <v>7</v>
      </c>
      <c r="AH245" t="str">
        <f t="shared" si="154"/>
        <v xml:space="preserve">["TYPE"] =  7; </v>
      </c>
      <c r="AI245" t="str">
        <f t="shared" si="155"/>
        <v xml:space="preserve">                      </v>
      </c>
      <c r="AJ245" t="str">
        <f>IF(AND(F245="Class",NOT(ISBLANK(E245))),VLOOKUP(E245,Class!A$1:B$12,2,FALSE),"")</f>
        <v/>
      </c>
      <c r="AK245" t="str">
        <f>IF(AND(F245="Vocation",NOT(ISBLANK(E245))),VLOOKUP(E245,Vocation!A$1:B$8,2,FALSE),"")</f>
        <v/>
      </c>
      <c r="AL245" t="str">
        <f>IF(AND(F245="Race",NOT(ISBLANK(E245))),VLOOKUP(E245,Race!A$1:B$9,2,),"")</f>
        <v/>
      </c>
      <c r="AM245" t="str">
        <f t="shared" si="156"/>
        <v xml:space="preserve">  0</v>
      </c>
      <c r="AN245" t="str">
        <f t="shared" si="157"/>
        <v xml:space="preserve">["SUBTYPE"] =   0; </v>
      </c>
      <c r="AO245" t="str">
        <f>IF(NOT(ISBLANK(G245)),VLOOKUP(G245,Type!D$2:E$6,2,FALSE),"")</f>
        <v/>
      </c>
      <c r="AP245" t="str">
        <f t="shared" si="158"/>
        <v xml:space="preserve">            </v>
      </c>
      <c r="AQ245" t="str">
        <f t="shared" si="159"/>
        <v xml:space="preserve">                      </v>
      </c>
      <c r="AR245" t="str">
        <f t="shared" si="160"/>
        <v/>
      </c>
      <c r="AS245" t="str">
        <f t="shared" si="161"/>
        <v>0</v>
      </c>
      <c r="AT245" t="str">
        <f t="shared" si="162"/>
        <v xml:space="preserve">["VXP"] =    0; </v>
      </c>
      <c r="AU245" t="str">
        <f t="shared" si="163"/>
        <v>0</v>
      </c>
      <c r="AV245" t="str">
        <f t="shared" si="164"/>
        <v xml:space="preserve">["LP"] =  0; </v>
      </c>
      <c r="AW245" t="str">
        <f t="shared" si="165"/>
        <v>0</v>
      </c>
      <c r="AX245" t="str">
        <f t="shared" si="166"/>
        <v xml:space="preserve">["REP"] =     0; </v>
      </c>
      <c r="AY245">
        <f>IF(LEN(P245)&gt;0,VLOOKUP(P245,Faction!A$2:B$77,2,FALSE),1)</f>
        <v>1</v>
      </c>
      <c r="AZ245" t="str">
        <f t="shared" si="167"/>
        <v xml:space="preserve">["FACTION"] =  1; </v>
      </c>
      <c r="BA245" t="str">
        <f t="shared" si="146"/>
        <v xml:space="preserve">["TIER"] = 3; </v>
      </c>
      <c r="BB245" t="str">
        <f t="shared" si="168"/>
        <v xml:space="preserve">                     </v>
      </c>
      <c r="BC245" t="str">
        <f t="shared" si="169"/>
        <v xml:space="preserve">                  </v>
      </c>
      <c r="BD245" t="str">
        <f t="shared" si="170"/>
        <v xml:space="preserve">["NAME"] = { ["EN"] = "Ale Association Acquaintance"; }; </v>
      </c>
      <c r="BE245" t="str">
        <f t="shared" si="171"/>
        <v xml:space="preserve">["LORE"] = { ["EN"] = "You have reached Acquaintance standing with the Ale Association."; }; </v>
      </c>
      <c r="BF245" t="str">
        <f t="shared" si="172"/>
        <v xml:space="preserve">["SUMMARY"] = { ["EN"] = "Reach Acquaintance standing with the Ale Association."; }; </v>
      </c>
      <c r="BG245" t="str">
        <f t="shared" si="173"/>
        <v xml:space="preserve">["TITLE"] = { ["EN"] = "the Sinister"; }; </v>
      </c>
      <c r="BH245" t="str">
        <f t="shared" si="174"/>
        <v/>
      </c>
      <c r="BI245" t="str">
        <f t="shared" si="175"/>
        <v/>
      </c>
      <c r="BJ245" t="str">
        <f t="shared" si="177"/>
        <v>};</v>
      </c>
    </row>
    <row r="246" spans="1:62" x14ac:dyDescent="0.25">
      <c r="A246">
        <v>1879185930</v>
      </c>
      <c r="B246">
        <v>189</v>
      </c>
      <c r="C246" t="s">
        <v>803</v>
      </c>
      <c r="D246" t="s">
        <v>24</v>
      </c>
      <c r="E246" t="s">
        <v>1064</v>
      </c>
      <c r="M246" t="s">
        <v>810</v>
      </c>
      <c r="O246">
        <v>10000</v>
      </c>
      <c r="P246" t="s">
        <v>91</v>
      </c>
      <c r="Q246" t="s">
        <v>1066</v>
      </c>
      <c r="R246" t="s">
        <v>807</v>
      </c>
      <c r="S246">
        <v>4</v>
      </c>
      <c r="X246" t="str">
        <f t="shared" si="145"/>
        <v>[245] = {["ID"] = 1879185930; ["TIER"] = 4; }; -- Ale Association Initiation (Ale Association)</v>
      </c>
      <c r="Y246" s="1" t="str">
        <f t="shared" si="147"/>
        <v>[245]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6">
        <f t="shared" si="176"/>
        <v>245</v>
      </c>
      <c r="AA246" t="str">
        <f t="shared" si="148"/>
        <v>[245] = {</v>
      </c>
      <c r="AB246" t="str">
        <f t="shared" si="149"/>
        <v xml:space="preserve">["ID"] = 1879185930; </v>
      </c>
      <c r="AC246" t="str">
        <f t="shared" si="150"/>
        <v xml:space="preserve">["ID"] = 1879185930; </v>
      </c>
      <c r="AD246" t="str">
        <f t="shared" si="151"/>
        <v/>
      </c>
      <c r="AE246" t="str">
        <f t="shared" si="152"/>
        <v xml:space="preserve"> (Ale Association)</v>
      </c>
      <c r="AF246" s="1" t="str">
        <f t="shared" si="153"/>
        <v xml:space="preserve">["SAVE_INDEX"] = 189; </v>
      </c>
      <c r="AG246">
        <f>VLOOKUP(D246,Type!A$2:B$16,2,FALSE)</f>
        <v>12</v>
      </c>
      <c r="AH246" t="str">
        <f t="shared" si="154"/>
        <v xml:space="preserve">["TYPE"] = 12; </v>
      </c>
      <c r="AI246" t="str">
        <f t="shared" si="155"/>
        <v xml:space="preserve">                      </v>
      </c>
      <c r="AJ246" t="str">
        <f>IF(AND(F246="Class",NOT(ISBLANK(E246))),VLOOKUP(E246,Class!A$1:B$12,2,FALSE),"")</f>
        <v/>
      </c>
      <c r="AK246" t="str">
        <f>IF(AND(F246="Vocation",NOT(ISBLANK(E246))),VLOOKUP(E246,Vocation!A$1:B$8,2,FALSE),"")</f>
        <v/>
      </c>
      <c r="AL246" t="str">
        <f>IF(AND(F246="Race",NOT(ISBLANK(E246))),VLOOKUP(E246,Race!A$1:B$9,2,),"")</f>
        <v/>
      </c>
      <c r="AM246" t="str">
        <f t="shared" si="156"/>
        <v xml:space="preserve">  0</v>
      </c>
      <c r="AN246" t="str">
        <f t="shared" si="157"/>
        <v xml:space="preserve">["SUBTYPE"] =   0; </v>
      </c>
      <c r="AO246" t="str">
        <f>IF(NOT(ISBLANK(G246)),VLOOKUP(G246,Type!D$2:E$6,2,FALSE),"")</f>
        <v/>
      </c>
      <c r="AP246" t="str">
        <f t="shared" si="158"/>
        <v xml:space="preserve">            </v>
      </c>
      <c r="AQ246" t="str">
        <f t="shared" si="159"/>
        <v xml:space="preserve">                      </v>
      </c>
      <c r="AR246" t="str">
        <f t="shared" si="160"/>
        <v/>
      </c>
      <c r="AS246" t="str">
        <f t="shared" si="161"/>
        <v>0</v>
      </c>
      <c r="AT246" t="str">
        <f t="shared" si="162"/>
        <v xml:space="preserve">["VXP"] =    0; </v>
      </c>
      <c r="AU246" t="str">
        <f t="shared" si="163"/>
        <v>0</v>
      </c>
      <c r="AV246" t="str">
        <f t="shared" si="164"/>
        <v xml:space="preserve">["LP"] =  0; </v>
      </c>
      <c r="AW246" t="str">
        <f t="shared" si="165"/>
        <v>10000</v>
      </c>
      <c r="AX246" t="str">
        <f t="shared" si="166"/>
        <v xml:space="preserve">["REP"] = 10000; </v>
      </c>
      <c r="AY246">
        <f>IF(LEN(P246)&gt;0,VLOOKUP(P246,Faction!A$2:B$77,2,FALSE),1)</f>
        <v>6</v>
      </c>
      <c r="AZ246" t="str">
        <f t="shared" si="167"/>
        <v xml:space="preserve">["FACTION"] =  6; </v>
      </c>
      <c r="BA246" t="str">
        <f t="shared" si="146"/>
        <v xml:space="preserve">["TIER"] = 4; </v>
      </c>
      <c r="BB246" t="str">
        <f t="shared" si="168"/>
        <v xml:space="preserve">                     </v>
      </c>
      <c r="BC246" t="str">
        <f t="shared" si="169"/>
        <v xml:space="preserve">                  </v>
      </c>
      <c r="BD246" t="str">
        <f t="shared" si="170"/>
        <v xml:space="preserve">["NAME"] = { ["EN"] = "Ale Association Initiation"; }; </v>
      </c>
      <c r="BE246" t="str">
        <f t="shared" si="171"/>
        <v xml:space="preserve">["LORE"] = { ["EN"] = "Complete the challenges of the Ale Association Initiation."; }; </v>
      </c>
      <c r="BF246" t="str">
        <f t="shared" si="172"/>
        <v xml:space="preserve">["SUMMARY"] = { ["EN"] = "Complete the The Ale Association Challenge Quests"; }; </v>
      </c>
      <c r="BG246" t="str">
        <f t="shared" si="173"/>
        <v xml:space="preserve">["TITLE"] = { ["EN"] = "Ale Association Member"; }; </v>
      </c>
      <c r="BH246" t="str">
        <f t="shared" si="174"/>
        <v/>
      </c>
      <c r="BI246" t="str">
        <f t="shared" si="175"/>
        <v/>
      </c>
      <c r="BJ246" t="str">
        <f t="shared" si="177"/>
        <v>};</v>
      </c>
    </row>
    <row r="247" spans="1:62" x14ac:dyDescent="0.25">
      <c r="A247">
        <v>1879185460</v>
      </c>
      <c r="B247">
        <v>190</v>
      </c>
      <c r="C247" t="s">
        <v>804</v>
      </c>
      <c r="D247" t="s">
        <v>24</v>
      </c>
      <c r="E247" t="s">
        <v>1064</v>
      </c>
      <c r="M247" t="s">
        <v>809</v>
      </c>
      <c r="O247">
        <v>1200</v>
      </c>
      <c r="P247" t="s">
        <v>91</v>
      </c>
      <c r="Q247" t="s">
        <v>1067</v>
      </c>
      <c r="R247" t="s">
        <v>808</v>
      </c>
      <c r="S247">
        <v>0</v>
      </c>
      <c r="X247" t="str">
        <f t="shared" si="145"/>
        <v>[246] = {["ID"] = 1879185460; }; -- Ale Association Delivery (Ale Association)</v>
      </c>
      <c r="Y247" s="1" t="str">
        <f t="shared" si="147"/>
        <v>[246]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7">
        <f t="shared" si="176"/>
        <v>246</v>
      </c>
      <c r="AA247" t="str">
        <f t="shared" si="148"/>
        <v>[246] = {</v>
      </c>
      <c r="AB247" t="str">
        <f t="shared" si="149"/>
        <v xml:space="preserve">["ID"] = 1879185460; </v>
      </c>
      <c r="AC247" t="str">
        <f t="shared" si="150"/>
        <v xml:space="preserve">["ID"] = 1879185460; </v>
      </c>
      <c r="AD247" t="str">
        <f t="shared" si="151"/>
        <v/>
      </c>
      <c r="AE247" t="str">
        <f t="shared" si="152"/>
        <v xml:space="preserve"> (Ale Association)</v>
      </c>
      <c r="AF247" s="1" t="str">
        <f t="shared" si="153"/>
        <v xml:space="preserve">["SAVE_INDEX"] = 190; </v>
      </c>
      <c r="AG247">
        <f>VLOOKUP(D247,Type!A$2:B$16,2,FALSE)</f>
        <v>12</v>
      </c>
      <c r="AH247" t="str">
        <f t="shared" si="154"/>
        <v xml:space="preserve">["TYPE"] = 12; </v>
      </c>
      <c r="AI247" t="str">
        <f t="shared" si="155"/>
        <v xml:space="preserve">                      </v>
      </c>
      <c r="AJ247" t="str">
        <f>IF(AND(F247="Class",NOT(ISBLANK(E247))),VLOOKUP(E247,Class!A$1:B$12,2,FALSE),"")</f>
        <v/>
      </c>
      <c r="AK247" t="str">
        <f>IF(AND(F247="Vocation",NOT(ISBLANK(E247))),VLOOKUP(E247,Vocation!A$1:B$8,2,FALSE),"")</f>
        <v/>
      </c>
      <c r="AL247" t="str">
        <f>IF(AND(F247="Race",NOT(ISBLANK(E247))),VLOOKUP(E247,Race!A$1:B$9,2,),"")</f>
        <v/>
      </c>
      <c r="AM247" t="str">
        <f t="shared" si="156"/>
        <v xml:space="preserve">  0</v>
      </c>
      <c r="AN247" t="str">
        <f t="shared" si="157"/>
        <v xml:space="preserve">["SUBTYPE"] =   0; </v>
      </c>
      <c r="AO247" t="str">
        <f>IF(NOT(ISBLANK(G247)),VLOOKUP(G247,Type!D$2:E$6,2,FALSE),"")</f>
        <v/>
      </c>
      <c r="AP247" t="str">
        <f t="shared" si="158"/>
        <v xml:space="preserve">            </v>
      </c>
      <c r="AQ247" t="str">
        <f t="shared" si="159"/>
        <v xml:space="preserve">                      </v>
      </c>
      <c r="AR247" t="str">
        <f t="shared" si="160"/>
        <v/>
      </c>
      <c r="AS247" t="str">
        <f t="shared" si="161"/>
        <v>0</v>
      </c>
      <c r="AT247" t="str">
        <f t="shared" si="162"/>
        <v xml:space="preserve">["VXP"] =    0; </v>
      </c>
      <c r="AU247" t="str">
        <f t="shared" si="163"/>
        <v>0</v>
      </c>
      <c r="AV247" t="str">
        <f t="shared" si="164"/>
        <v xml:space="preserve">["LP"] =  0; </v>
      </c>
      <c r="AW247" t="str">
        <f t="shared" si="165"/>
        <v>1200</v>
      </c>
      <c r="AX247" t="str">
        <f t="shared" si="166"/>
        <v xml:space="preserve">["REP"] =  1200; </v>
      </c>
      <c r="AY247">
        <f>IF(LEN(P247)&gt;0,VLOOKUP(P247,Faction!A$2:B$77,2,FALSE),1)</f>
        <v>6</v>
      </c>
      <c r="AZ247" t="str">
        <f t="shared" si="167"/>
        <v xml:space="preserve">["FACTION"] =  6; </v>
      </c>
      <c r="BA247" t="str">
        <f t="shared" si="146"/>
        <v/>
      </c>
      <c r="BB247" t="str">
        <f t="shared" si="168"/>
        <v xml:space="preserve">                     </v>
      </c>
      <c r="BC247" t="str">
        <f t="shared" si="169"/>
        <v xml:space="preserve">                  </v>
      </c>
      <c r="BD247" t="str">
        <f t="shared" si="170"/>
        <v xml:space="preserve">["NAME"] = { ["EN"] = "Ale Association Delivery"; }; </v>
      </c>
      <c r="BE247" t="str">
        <f t="shared" si="171"/>
        <v xml:space="preserve">["LORE"] = { ["EN"] = "Complete all the underhanded deliveries for the Ale Association."; }; </v>
      </c>
      <c r="BF247" t="str">
        <f t="shared" si="172"/>
        <v xml:space="preserve">["SUMMARY"] = { ["EN"] = "Complete all the delivery quests"; }; </v>
      </c>
      <c r="BG247" t="str">
        <f t="shared" si="173"/>
        <v xml:space="preserve">["TITLE"] = { ["EN"] = "No-gooder"; }; </v>
      </c>
      <c r="BH247" t="str">
        <f t="shared" si="174"/>
        <v/>
      </c>
      <c r="BI247" t="str">
        <f t="shared" si="175"/>
        <v/>
      </c>
      <c r="BJ247" t="str">
        <f t="shared" si="177"/>
        <v>};</v>
      </c>
    </row>
    <row r="248" spans="1:62" x14ac:dyDescent="0.25">
      <c r="A248">
        <v>1879107892</v>
      </c>
      <c r="B248">
        <v>191</v>
      </c>
      <c r="C248" t="s">
        <v>874</v>
      </c>
      <c r="D248" t="s">
        <v>30</v>
      </c>
      <c r="M248" t="s">
        <v>874</v>
      </c>
      <c r="O248">
        <v>1200</v>
      </c>
      <c r="P248" t="s">
        <v>100</v>
      </c>
      <c r="Q248" t="s">
        <v>903</v>
      </c>
      <c r="R248" t="s">
        <v>901</v>
      </c>
      <c r="S248">
        <v>0</v>
      </c>
      <c r="X248" t="str">
        <f t="shared" si="145"/>
        <v>[247] = {["ID"] = 1879107892; }; -- Inn League Notable</v>
      </c>
      <c r="Y248" s="1" t="str">
        <f t="shared" si="147"/>
        <v>[247]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48">
        <f t="shared" si="176"/>
        <v>247</v>
      </c>
      <c r="AA248" t="str">
        <f t="shared" si="148"/>
        <v>[247] = {</v>
      </c>
      <c r="AB248" t="str">
        <f t="shared" si="149"/>
        <v xml:space="preserve">["ID"] = 1879107892; </v>
      </c>
      <c r="AC248" t="str">
        <f t="shared" si="150"/>
        <v xml:space="preserve">["ID"] = 1879107892; </v>
      </c>
      <c r="AD248" t="str">
        <f t="shared" si="151"/>
        <v/>
      </c>
      <c r="AE248" t="str">
        <f t="shared" si="152"/>
        <v/>
      </c>
      <c r="AF248" s="1" t="str">
        <f t="shared" si="153"/>
        <v xml:space="preserve">["SAVE_INDEX"] = 191; </v>
      </c>
      <c r="AG248">
        <f>VLOOKUP(D248,Type!A$2:B$16,2,FALSE)</f>
        <v>7</v>
      </c>
      <c r="AH248" t="str">
        <f t="shared" si="154"/>
        <v xml:space="preserve">["TYPE"] =  7; </v>
      </c>
      <c r="AI248" t="str">
        <f t="shared" si="155"/>
        <v xml:space="preserve">                      </v>
      </c>
      <c r="AJ248" t="str">
        <f>IF(AND(F248="Class",NOT(ISBLANK(E248))),VLOOKUP(E248,Class!A$1:B$12,2,FALSE),"")</f>
        <v/>
      </c>
      <c r="AK248" t="str">
        <f>IF(AND(F248="Vocation",NOT(ISBLANK(E248))),VLOOKUP(E248,Vocation!A$1:B$8,2,FALSE),"")</f>
        <v/>
      </c>
      <c r="AL248" t="str">
        <f>IF(AND(F248="Race",NOT(ISBLANK(E248))),VLOOKUP(E248,Race!A$1:B$9,2,),"")</f>
        <v/>
      </c>
      <c r="AM248" t="str">
        <f t="shared" si="156"/>
        <v xml:space="preserve">  0</v>
      </c>
      <c r="AN248" t="str">
        <f t="shared" si="157"/>
        <v xml:space="preserve">["SUBTYPE"] =   0; </v>
      </c>
      <c r="AO248" t="str">
        <f>IF(NOT(ISBLANK(G248)),VLOOKUP(G248,Type!D$2:E$6,2,FALSE),"")</f>
        <v/>
      </c>
      <c r="AP248" t="str">
        <f t="shared" si="158"/>
        <v xml:space="preserve">            </v>
      </c>
      <c r="AQ248" t="str">
        <f t="shared" si="159"/>
        <v xml:space="preserve">                      </v>
      </c>
      <c r="AR248" t="str">
        <f t="shared" si="160"/>
        <v/>
      </c>
      <c r="AS248" t="str">
        <f t="shared" si="161"/>
        <v>0</v>
      </c>
      <c r="AT248" t="str">
        <f t="shared" si="162"/>
        <v xml:space="preserve">["VXP"] =    0; </v>
      </c>
      <c r="AU248" t="str">
        <f t="shared" si="163"/>
        <v>0</v>
      </c>
      <c r="AV248" t="str">
        <f t="shared" si="164"/>
        <v xml:space="preserve">["LP"] =  0; </v>
      </c>
      <c r="AW248" t="str">
        <f t="shared" si="165"/>
        <v>1200</v>
      </c>
      <c r="AX248" t="str">
        <f t="shared" si="166"/>
        <v xml:space="preserve">["REP"] =  1200; </v>
      </c>
      <c r="AY248">
        <f>IF(LEN(P248)&gt;0,VLOOKUP(P248,Faction!A$2:B$77,2,FALSE),1)</f>
        <v>5</v>
      </c>
      <c r="AZ248" t="str">
        <f t="shared" si="167"/>
        <v xml:space="preserve">["FACTION"] =  5; </v>
      </c>
      <c r="BA248" t="str">
        <f t="shared" si="146"/>
        <v/>
      </c>
      <c r="BB248" t="str">
        <f t="shared" si="168"/>
        <v xml:space="preserve">                     </v>
      </c>
      <c r="BC248" t="str">
        <f t="shared" si="169"/>
        <v xml:space="preserve">                  </v>
      </c>
      <c r="BD248" t="str">
        <f t="shared" si="170"/>
        <v xml:space="preserve">["NAME"] = { ["EN"] = "Inn League Notable"; }; </v>
      </c>
      <c r="BE248" t="str">
        <f t="shared" si="171"/>
        <v xml:space="preserve">["LORE"] = { ["EN"] = "To become more respected by the Inn League, you must help other members of the League."; }; </v>
      </c>
      <c r="BF248" t="str">
        <f t="shared" si="172"/>
        <v xml:space="preserve">["SUMMARY"] = { ["EN"] = "Complete all Inn League delivery quests"; }; </v>
      </c>
      <c r="BG248" t="str">
        <f t="shared" si="173"/>
        <v xml:space="preserve">["TITLE"] = { ["EN"] = "Inn League Notable"; }; </v>
      </c>
      <c r="BH248" t="str">
        <f t="shared" si="174"/>
        <v/>
      </c>
      <c r="BI248" t="str">
        <f t="shared" si="175"/>
        <v/>
      </c>
      <c r="BJ248" t="str">
        <f t="shared" si="177"/>
        <v>};</v>
      </c>
    </row>
    <row r="249" spans="1:62" x14ac:dyDescent="0.25">
      <c r="A249">
        <v>1879107893</v>
      </c>
      <c r="B249">
        <v>192</v>
      </c>
      <c r="C249" t="s">
        <v>876</v>
      </c>
      <c r="D249" t="s">
        <v>30</v>
      </c>
      <c r="M249" t="s">
        <v>900</v>
      </c>
      <c r="O249">
        <v>1200</v>
      </c>
      <c r="P249" t="s">
        <v>100</v>
      </c>
      <c r="Q249" t="s">
        <v>904</v>
      </c>
      <c r="R249" t="s">
        <v>901</v>
      </c>
      <c r="S249">
        <v>1</v>
      </c>
      <c r="X249" t="str">
        <f t="shared" si="145"/>
        <v>[248] = {["ID"] = 1879107893; ["TIER"] = 1; }; -- Senior Inn League Member</v>
      </c>
      <c r="Y249" s="1" t="str">
        <f t="shared" si="147"/>
        <v>[248]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9">
        <f t="shared" si="176"/>
        <v>248</v>
      </c>
      <c r="AA249" t="str">
        <f t="shared" si="148"/>
        <v>[248] = {</v>
      </c>
      <c r="AB249" t="str">
        <f t="shared" si="149"/>
        <v xml:space="preserve">["ID"] = 1879107893; </v>
      </c>
      <c r="AC249" t="str">
        <f t="shared" si="150"/>
        <v xml:space="preserve">["ID"] = 1879107893; </v>
      </c>
      <c r="AD249" t="str">
        <f t="shared" si="151"/>
        <v/>
      </c>
      <c r="AE249" t="str">
        <f t="shared" si="152"/>
        <v/>
      </c>
      <c r="AF249" s="1" t="str">
        <f t="shared" si="153"/>
        <v xml:space="preserve">["SAVE_INDEX"] = 192; </v>
      </c>
      <c r="AG249">
        <f>VLOOKUP(D249,Type!A$2:B$16,2,FALSE)</f>
        <v>7</v>
      </c>
      <c r="AH249" t="str">
        <f t="shared" si="154"/>
        <v xml:space="preserve">["TYPE"] =  7; </v>
      </c>
      <c r="AI249" t="str">
        <f t="shared" si="155"/>
        <v xml:space="preserve">                      </v>
      </c>
      <c r="AJ249" t="str">
        <f>IF(AND(F249="Class",NOT(ISBLANK(E249))),VLOOKUP(E249,Class!A$1:B$12,2,FALSE),"")</f>
        <v/>
      </c>
      <c r="AK249" t="str">
        <f>IF(AND(F249="Vocation",NOT(ISBLANK(E249))),VLOOKUP(E249,Vocation!A$1:B$8,2,FALSE),"")</f>
        <v/>
      </c>
      <c r="AL249" t="str">
        <f>IF(AND(F249="Race",NOT(ISBLANK(E249))),VLOOKUP(E249,Race!A$1:B$9,2,),"")</f>
        <v/>
      </c>
      <c r="AM249" t="str">
        <f t="shared" si="156"/>
        <v xml:space="preserve">  0</v>
      </c>
      <c r="AN249" t="str">
        <f t="shared" si="157"/>
        <v xml:space="preserve">["SUBTYPE"] =   0; </v>
      </c>
      <c r="AO249" t="str">
        <f>IF(NOT(ISBLANK(G249)),VLOOKUP(G249,Type!D$2:E$6,2,FALSE),"")</f>
        <v/>
      </c>
      <c r="AP249" t="str">
        <f t="shared" si="158"/>
        <v xml:space="preserve">            </v>
      </c>
      <c r="AQ249" t="str">
        <f t="shared" si="159"/>
        <v xml:space="preserve">                      </v>
      </c>
      <c r="AR249" t="str">
        <f t="shared" si="160"/>
        <v/>
      </c>
      <c r="AS249" t="str">
        <f t="shared" si="161"/>
        <v>0</v>
      </c>
      <c r="AT249" t="str">
        <f t="shared" si="162"/>
        <v xml:space="preserve">["VXP"] =    0; </v>
      </c>
      <c r="AU249" t="str">
        <f t="shared" si="163"/>
        <v>0</v>
      </c>
      <c r="AV249" t="str">
        <f t="shared" si="164"/>
        <v xml:space="preserve">["LP"] =  0; </v>
      </c>
      <c r="AW249" t="str">
        <f t="shared" si="165"/>
        <v>1200</v>
      </c>
      <c r="AX249" t="str">
        <f t="shared" si="166"/>
        <v xml:space="preserve">["REP"] =  1200; </v>
      </c>
      <c r="AY249">
        <f>IF(LEN(P249)&gt;0,VLOOKUP(P249,Faction!A$2:B$77,2,FALSE),1)</f>
        <v>5</v>
      </c>
      <c r="AZ249" t="str">
        <f t="shared" si="167"/>
        <v xml:space="preserve">["FACTION"] =  5; </v>
      </c>
      <c r="BA249" t="str">
        <f t="shared" si="146"/>
        <v xml:space="preserve">["TIER"] = 1; </v>
      </c>
      <c r="BB249" t="str">
        <f t="shared" si="168"/>
        <v xml:space="preserve">                     </v>
      </c>
      <c r="BC249" t="str">
        <f t="shared" si="169"/>
        <v xml:space="preserve">                  </v>
      </c>
      <c r="BD249" t="str">
        <f t="shared" si="170"/>
        <v xml:space="preserve">["NAME"] = { ["EN"] = "Senior Inn League Member"; }; </v>
      </c>
      <c r="BE249" t="str">
        <f t="shared" si="171"/>
        <v xml:space="preserve">["LORE"] = { ["EN"] = "To become more respected by the Inn League, you must help other members of the League."; }; </v>
      </c>
      <c r="BF249" t="str">
        <f t="shared" si="172"/>
        <v xml:space="preserve">["SUMMARY"] = { ["EN"] = "Complete 5 of the Inn League quests"; }; </v>
      </c>
      <c r="BG249" t="str">
        <f t="shared" si="173"/>
        <v xml:space="preserve">["TITLE"] = { ["EN"] = "Inn League Senior Member"; }; </v>
      </c>
      <c r="BH249" t="str">
        <f t="shared" si="174"/>
        <v/>
      </c>
      <c r="BI249" t="str">
        <f t="shared" si="175"/>
        <v/>
      </c>
      <c r="BJ249" t="str">
        <f t="shared" si="177"/>
        <v>};</v>
      </c>
    </row>
    <row r="250" spans="1:62" x14ac:dyDescent="0.25">
      <c r="A250">
        <v>1879107439</v>
      </c>
      <c r="B250">
        <v>193</v>
      </c>
      <c r="C250" t="s">
        <v>873</v>
      </c>
      <c r="D250" t="s">
        <v>30</v>
      </c>
      <c r="E250" t="s">
        <v>1065</v>
      </c>
      <c r="M250" t="s">
        <v>873</v>
      </c>
      <c r="O250">
        <v>10000</v>
      </c>
      <c r="P250" t="s">
        <v>100</v>
      </c>
      <c r="Q250" t="s">
        <v>905</v>
      </c>
      <c r="R250" t="s">
        <v>902</v>
      </c>
      <c r="S250">
        <v>2</v>
      </c>
      <c r="X250" t="str">
        <f t="shared" si="145"/>
        <v>[249] = {["ID"] = 1879107439; ["TIER"] = 2; }; -- Inn League Member (Inn League)</v>
      </c>
      <c r="Y250" s="1" t="str">
        <f t="shared" si="147"/>
        <v>[249]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0">
        <f t="shared" si="176"/>
        <v>249</v>
      </c>
      <c r="AA250" t="str">
        <f t="shared" si="148"/>
        <v>[249] = {</v>
      </c>
      <c r="AB250" t="str">
        <f t="shared" si="149"/>
        <v xml:space="preserve">["ID"] = 1879107439; </v>
      </c>
      <c r="AC250" t="str">
        <f t="shared" si="150"/>
        <v xml:space="preserve">["ID"] = 1879107439; </v>
      </c>
      <c r="AD250" t="str">
        <f t="shared" si="151"/>
        <v/>
      </c>
      <c r="AE250" t="str">
        <f t="shared" si="152"/>
        <v xml:space="preserve"> (Inn League)</v>
      </c>
      <c r="AF250" s="1" t="str">
        <f t="shared" si="153"/>
        <v xml:space="preserve">["SAVE_INDEX"] = 193; </v>
      </c>
      <c r="AG250">
        <f>VLOOKUP(D250,Type!A$2:B$16,2,FALSE)</f>
        <v>7</v>
      </c>
      <c r="AH250" t="str">
        <f t="shared" si="154"/>
        <v xml:space="preserve">["TYPE"] =  7; </v>
      </c>
      <c r="AI250" t="str">
        <f t="shared" si="155"/>
        <v xml:space="preserve">                      </v>
      </c>
      <c r="AJ250" t="str">
        <f>IF(AND(F250="Class",NOT(ISBLANK(E250))),VLOOKUP(E250,Class!A$1:B$12,2,FALSE),"")</f>
        <v/>
      </c>
      <c r="AK250" t="str">
        <f>IF(AND(F250="Vocation",NOT(ISBLANK(E250))),VLOOKUP(E250,Vocation!A$1:B$8,2,FALSE),"")</f>
        <v/>
      </c>
      <c r="AL250" t="str">
        <f>IF(AND(F250="Race",NOT(ISBLANK(E250))),VLOOKUP(E250,Race!A$1:B$9,2,),"")</f>
        <v/>
      </c>
      <c r="AM250" t="str">
        <f t="shared" si="156"/>
        <v xml:space="preserve">  0</v>
      </c>
      <c r="AN250" t="str">
        <f t="shared" si="157"/>
        <v xml:space="preserve">["SUBTYPE"] =   0; </v>
      </c>
      <c r="AO250" t="str">
        <f>IF(NOT(ISBLANK(G250)),VLOOKUP(G250,Type!D$2:E$6,2,FALSE),"")</f>
        <v/>
      </c>
      <c r="AP250" t="str">
        <f t="shared" si="158"/>
        <v xml:space="preserve">            </v>
      </c>
      <c r="AQ250" t="str">
        <f t="shared" si="159"/>
        <v xml:space="preserve">                      </v>
      </c>
      <c r="AR250" t="str">
        <f t="shared" si="160"/>
        <v/>
      </c>
      <c r="AS250" t="str">
        <f t="shared" si="161"/>
        <v>0</v>
      </c>
      <c r="AT250" t="str">
        <f t="shared" si="162"/>
        <v xml:space="preserve">["VXP"] =    0; </v>
      </c>
      <c r="AU250" t="str">
        <f t="shared" si="163"/>
        <v>0</v>
      </c>
      <c r="AV250" t="str">
        <f t="shared" si="164"/>
        <v xml:space="preserve">["LP"] =  0; </v>
      </c>
      <c r="AW250" t="str">
        <f t="shared" si="165"/>
        <v>10000</v>
      </c>
      <c r="AX250" t="str">
        <f t="shared" si="166"/>
        <v xml:space="preserve">["REP"] = 10000; </v>
      </c>
      <c r="AY250">
        <f>IF(LEN(P250)&gt;0,VLOOKUP(P250,Faction!A$2:B$77,2,FALSE),1)</f>
        <v>5</v>
      </c>
      <c r="AZ250" t="str">
        <f t="shared" si="167"/>
        <v xml:space="preserve">["FACTION"] =  5; </v>
      </c>
      <c r="BA250" t="str">
        <f t="shared" si="146"/>
        <v xml:space="preserve">["TIER"] = 2; </v>
      </c>
      <c r="BB250" t="str">
        <f t="shared" si="168"/>
        <v xml:space="preserve">                     </v>
      </c>
      <c r="BC250" t="str">
        <f t="shared" si="169"/>
        <v xml:space="preserve">                  </v>
      </c>
      <c r="BD250" t="str">
        <f t="shared" si="170"/>
        <v xml:space="preserve">["NAME"] = { ["EN"] = "Inn League Member"; }; </v>
      </c>
      <c r="BE250" t="str">
        <f t="shared" si="171"/>
        <v xml:space="preserve">["LORE"] = { ["EN"] = "It wasn't easy, but you have passed the grueling Inn League Initiation."; }; </v>
      </c>
      <c r="BF250" t="str">
        <f t="shared" si="172"/>
        <v xml:space="preserve">["SUMMARY"] = { ["EN"] = "Complete the Inn League Initiation"; }; </v>
      </c>
      <c r="BG250" t="str">
        <f t="shared" si="173"/>
        <v xml:space="preserve">["TITLE"] = { ["EN"] = "Inn League Member"; }; </v>
      </c>
      <c r="BH250" t="str">
        <f t="shared" si="174"/>
        <v/>
      </c>
      <c r="BI250" t="str">
        <f t="shared" si="175"/>
        <v/>
      </c>
      <c r="BJ250" t="str">
        <f t="shared" si="177"/>
        <v>};</v>
      </c>
    </row>
    <row r="251" spans="1:62" x14ac:dyDescent="0.25">
      <c r="A251">
        <v>1879185461</v>
      </c>
      <c r="B251">
        <v>194</v>
      </c>
      <c r="C251" t="s">
        <v>805</v>
      </c>
      <c r="D251" t="s">
        <v>24</v>
      </c>
      <c r="E251" t="s">
        <v>1065</v>
      </c>
      <c r="M251" t="s">
        <v>811</v>
      </c>
      <c r="O251">
        <v>1200</v>
      </c>
      <c r="P251" t="s">
        <v>100</v>
      </c>
      <c r="R251" t="s">
        <v>806</v>
      </c>
      <c r="S251">
        <v>0</v>
      </c>
      <c r="X251" t="str">
        <f t="shared" si="145"/>
        <v>[250] = {["ID"] = 1879185461; }; -- Inn League Delivery (Inn League)</v>
      </c>
      <c r="Y251" s="1" t="str">
        <f t="shared" si="147"/>
        <v>[250] = {["ID"] = 1879185461; ["SAVE_INDEX"] = 194; ["TYPE"] = 12;                       ["SUBTYPE"] =   0;                                   ["VXP"] =    0; ["LP"] =  0; ["REP"] =  1200; ["FACTION"] =  5;                                        ["NAME"] = { ["EN"] = "Inn League Delivery"; }; ["LORE"] = { ["EN"] = "Complete all the deliveries ordered by Inn League Members in need."; }; ["TITLE"] = { ["EN"] = "Do-gooder"; }; };</v>
      </c>
      <c r="Z251">
        <f t="shared" si="176"/>
        <v>250</v>
      </c>
      <c r="AA251" t="str">
        <f t="shared" si="148"/>
        <v>[250] = {</v>
      </c>
      <c r="AB251" t="str">
        <f t="shared" si="149"/>
        <v xml:space="preserve">["ID"] = 1879185461; </v>
      </c>
      <c r="AC251" t="str">
        <f t="shared" si="150"/>
        <v xml:space="preserve">["ID"] = 1879185461; </v>
      </c>
      <c r="AD251" t="str">
        <f t="shared" si="151"/>
        <v/>
      </c>
      <c r="AE251" t="str">
        <f t="shared" si="152"/>
        <v xml:space="preserve"> (Inn League)</v>
      </c>
      <c r="AF251" s="1" t="str">
        <f t="shared" si="153"/>
        <v xml:space="preserve">["SAVE_INDEX"] = 194; </v>
      </c>
      <c r="AG251">
        <f>VLOOKUP(D251,Type!A$2:B$16,2,FALSE)</f>
        <v>12</v>
      </c>
      <c r="AH251" t="str">
        <f t="shared" si="154"/>
        <v xml:space="preserve">["TYPE"] = 12; </v>
      </c>
      <c r="AI251" t="str">
        <f t="shared" si="155"/>
        <v xml:space="preserve">                      </v>
      </c>
      <c r="AJ251" t="str">
        <f>IF(AND(F251="Class",NOT(ISBLANK(E251))),VLOOKUP(E251,Class!A$1:B$12,2,FALSE),"")</f>
        <v/>
      </c>
      <c r="AK251" t="str">
        <f>IF(AND(F251="Vocation",NOT(ISBLANK(E251))),VLOOKUP(E251,Vocation!A$1:B$8,2,FALSE),"")</f>
        <v/>
      </c>
      <c r="AL251" t="str">
        <f>IF(AND(F251="Race",NOT(ISBLANK(E251))),VLOOKUP(E251,Race!A$1:B$9,2,),"")</f>
        <v/>
      </c>
      <c r="AM251" t="str">
        <f t="shared" si="156"/>
        <v xml:space="preserve">  0</v>
      </c>
      <c r="AN251" t="str">
        <f t="shared" si="157"/>
        <v xml:space="preserve">["SUBTYPE"] =   0; </v>
      </c>
      <c r="AO251" t="str">
        <f>IF(NOT(ISBLANK(G251)),VLOOKUP(G251,Type!D$2:E$6,2,FALSE),"")</f>
        <v/>
      </c>
      <c r="AP251" t="str">
        <f t="shared" si="158"/>
        <v xml:space="preserve">            </v>
      </c>
      <c r="AQ251" t="str">
        <f t="shared" si="159"/>
        <v xml:space="preserve">                      </v>
      </c>
      <c r="AR251" t="str">
        <f t="shared" si="160"/>
        <v/>
      </c>
      <c r="AS251" t="str">
        <f t="shared" si="161"/>
        <v>0</v>
      </c>
      <c r="AT251" t="str">
        <f t="shared" si="162"/>
        <v xml:space="preserve">["VXP"] =    0; </v>
      </c>
      <c r="AU251" t="str">
        <f t="shared" si="163"/>
        <v>0</v>
      </c>
      <c r="AV251" t="str">
        <f t="shared" si="164"/>
        <v xml:space="preserve">["LP"] =  0; </v>
      </c>
      <c r="AW251" t="str">
        <f t="shared" si="165"/>
        <v>1200</v>
      </c>
      <c r="AX251" t="str">
        <f t="shared" si="166"/>
        <v xml:space="preserve">["REP"] =  1200; </v>
      </c>
      <c r="AY251">
        <f>IF(LEN(P251)&gt;0,VLOOKUP(P251,Faction!A$2:B$77,2,FALSE),1)</f>
        <v>5</v>
      </c>
      <c r="AZ251" t="str">
        <f t="shared" si="167"/>
        <v xml:space="preserve">["FACTION"] =  5; </v>
      </c>
      <c r="BA251" t="str">
        <f t="shared" si="146"/>
        <v/>
      </c>
      <c r="BB251" t="str">
        <f t="shared" si="168"/>
        <v xml:space="preserve">                     </v>
      </c>
      <c r="BC251" t="str">
        <f t="shared" si="169"/>
        <v xml:space="preserve">                  </v>
      </c>
      <c r="BD251" t="str">
        <f t="shared" si="170"/>
        <v xml:space="preserve">["NAME"] = { ["EN"] = "Inn League Delivery"; }; </v>
      </c>
      <c r="BE251" t="str">
        <f t="shared" si="171"/>
        <v xml:space="preserve">["LORE"] = { ["EN"] = "Complete all the deliveries ordered by Inn League Members in need."; }; </v>
      </c>
      <c r="BF251" t="str">
        <f t="shared" si="172"/>
        <v/>
      </c>
      <c r="BG251" t="str">
        <f t="shared" si="173"/>
        <v xml:space="preserve">["TITLE"] = { ["EN"] = "Do-gooder"; }; </v>
      </c>
      <c r="BH251" t="str">
        <f t="shared" si="174"/>
        <v/>
      </c>
      <c r="BI251" t="str">
        <f t="shared" si="175"/>
        <v/>
      </c>
      <c r="BJ251" t="str">
        <f t="shared" si="177"/>
        <v>};</v>
      </c>
    </row>
    <row r="252" spans="1:62" x14ac:dyDescent="0.25">
      <c r="A252">
        <v>1879107438</v>
      </c>
      <c r="B252">
        <v>195</v>
      </c>
      <c r="C252" t="s">
        <v>872</v>
      </c>
      <c r="D252" t="s">
        <v>30</v>
      </c>
      <c r="E252" t="s">
        <v>1065</v>
      </c>
      <c r="M252" t="s">
        <v>898</v>
      </c>
      <c r="O252">
        <v>1200</v>
      </c>
      <c r="P252" t="s">
        <v>100</v>
      </c>
      <c r="R252" t="s">
        <v>899</v>
      </c>
      <c r="S252">
        <v>0</v>
      </c>
      <c r="X252" t="str">
        <f t="shared" si="145"/>
        <v>[251] = {["ID"] = 1879107438; }; -- Inn League Challenge (Inn League)</v>
      </c>
      <c r="Y252" s="1" t="str">
        <f t="shared" si="147"/>
        <v>[251]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2">
        <f t="shared" si="176"/>
        <v>251</v>
      </c>
      <c r="AA252" t="str">
        <f t="shared" si="148"/>
        <v>[251] = {</v>
      </c>
      <c r="AB252" t="str">
        <f t="shared" si="149"/>
        <v xml:space="preserve">["ID"] = 1879107438; </v>
      </c>
      <c r="AC252" t="str">
        <f t="shared" si="150"/>
        <v xml:space="preserve">["ID"] = 1879107438; </v>
      </c>
      <c r="AD252" t="str">
        <f t="shared" si="151"/>
        <v/>
      </c>
      <c r="AE252" t="str">
        <f t="shared" si="152"/>
        <v xml:space="preserve"> (Inn League)</v>
      </c>
      <c r="AF252" s="1" t="str">
        <f t="shared" si="153"/>
        <v xml:space="preserve">["SAVE_INDEX"] = 195; </v>
      </c>
      <c r="AG252">
        <f>VLOOKUP(D252,Type!A$2:B$16,2,FALSE)</f>
        <v>7</v>
      </c>
      <c r="AH252" t="str">
        <f t="shared" si="154"/>
        <v xml:space="preserve">["TYPE"] =  7; </v>
      </c>
      <c r="AI252" t="str">
        <f t="shared" si="155"/>
        <v xml:space="preserve">                      </v>
      </c>
      <c r="AJ252" t="str">
        <f>IF(AND(F252="Class",NOT(ISBLANK(E252))),VLOOKUP(E252,Class!A$1:B$12,2,FALSE),"")</f>
        <v/>
      </c>
      <c r="AK252" t="str">
        <f>IF(AND(F252="Vocation",NOT(ISBLANK(E252))),VLOOKUP(E252,Vocation!A$1:B$8,2,FALSE),"")</f>
        <v/>
      </c>
      <c r="AL252" t="str">
        <f>IF(AND(F252="Race",NOT(ISBLANK(E252))),VLOOKUP(E252,Race!A$1:B$9,2,),"")</f>
        <v/>
      </c>
      <c r="AM252" t="str">
        <f t="shared" si="156"/>
        <v xml:space="preserve">  0</v>
      </c>
      <c r="AN252" t="str">
        <f t="shared" si="157"/>
        <v xml:space="preserve">["SUBTYPE"] =   0; </v>
      </c>
      <c r="AO252" t="str">
        <f>IF(NOT(ISBLANK(G252)),VLOOKUP(G252,Type!D$2:E$6,2,FALSE),"")</f>
        <v/>
      </c>
      <c r="AP252" t="str">
        <f t="shared" si="158"/>
        <v xml:space="preserve">            </v>
      </c>
      <c r="AQ252" t="str">
        <f t="shared" si="159"/>
        <v xml:space="preserve">                      </v>
      </c>
      <c r="AR252" t="str">
        <f t="shared" si="160"/>
        <v/>
      </c>
      <c r="AS252" t="str">
        <f t="shared" si="161"/>
        <v>0</v>
      </c>
      <c r="AT252" t="str">
        <f t="shared" si="162"/>
        <v xml:space="preserve">["VXP"] =    0; </v>
      </c>
      <c r="AU252" t="str">
        <f t="shared" si="163"/>
        <v>0</v>
      </c>
      <c r="AV252" t="str">
        <f t="shared" si="164"/>
        <v xml:space="preserve">["LP"] =  0; </v>
      </c>
      <c r="AW252" t="str">
        <f t="shared" si="165"/>
        <v>1200</v>
      </c>
      <c r="AX252" t="str">
        <f t="shared" si="166"/>
        <v xml:space="preserve">["REP"] =  1200; </v>
      </c>
      <c r="AY252">
        <f>IF(LEN(P252)&gt;0,VLOOKUP(P252,Faction!A$2:B$77,2,FALSE),1)</f>
        <v>5</v>
      </c>
      <c r="AZ252" t="str">
        <f t="shared" si="167"/>
        <v xml:space="preserve">["FACTION"] =  5; </v>
      </c>
      <c r="BA252" t="str">
        <f t="shared" si="146"/>
        <v/>
      </c>
      <c r="BB252" t="str">
        <f t="shared" si="168"/>
        <v xml:space="preserve">                     </v>
      </c>
      <c r="BC252" t="str">
        <f t="shared" si="169"/>
        <v xml:space="preserve">                  </v>
      </c>
      <c r="BD252" t="str">
        <f t="shared" si="170"/>
        <v xml:space="preserve">["NAME"] = { ["EN"] = "Inn League Challenge"; }; </v>
      </c>
      <c r="BE252" t="str">
        <f t="shared" si="171"/>
        <v xml:space="preserve">["LORE"] = { ["EN"] = "To truly become a respected member of the Inn League, you must sample all the local beers, ales and wines found throughout Eriador. Seek out all of these beverages to earn the respect of the League."; }; </v>
      </c>
      <c r="BF252" t="str">
        <f t="shared" si="172"/>
        <v/>
      </c>
      <c r="BG252" t="str">
        <f t="shared" si="173"/>
        <v xml:space="preserve">["TITLE"] = { ["EN"] = "Inn League Sage of Fine Spirits"; }; </v>
      </c>
      <c r="BH252" t="str">
        <f t="shared" si="174"/>
        <v/>
      </c>
      <c r="BI252" t="str">
        <f t="shared" si="175"/>
        <v/>
      </c>
      <c r="BJ252" t="str">
        <f t="shared" si="177"/>
        <v>};</v>
      </c>
    </row>
    <row r="253" spans="1:62" x14ac:dyDescent="0.25">
      <c r="C253" s="2" t="s">
        <v>816</v>
      </c>
      <c r="D253" s="2" t="s">
        <v>812</v>
      </c>
      <c r="S253">
        <v>0</v>
      </c>
      <c r="V253">
        <v>149</v>
      </c>
      <c r="X253" t="str">
        <f t="shared" si="145"/>
        <v>[252] = {["CAT_ID"] = 149; }; -- Miscellaneous</v>
      </c>
      <c r="Y253" s="1" t="str">
        <f t="shared" si="147"/>
        <v>[252] = {                                           ["TYPE"] = 14;                       ["SUBTYPE"] =   0;                                   ["VXP"] =    0; ["LP"] =  0; ["REP"] =     0; ["FACTION"] =  1;                                        ["NAME"] = { ["EN"] = "Miscellaneous"; }; };</v>
      </c>
      <c r="Z253">
        <f t="shared" si="176"/>
        <v>252</v>
      </c>
      <c r="AA253" t="str">
        <f t="shared" si="148"/>
        <v>[252] = {</v>
      </c>
      <c r="AB253" t="str">
        <f t="shared" si="149"/>
        <v xml:space="preserve">                     </v>
      </c>
      <c r="AC253" t="str">
        <f t="shared" si="150"/>
        <v/>
      </c>
      <c r="AD253" t="str">
        <f t="shared" si="151"/>
        <v xml:space="preserve">["CAT_ID"] = 149; </v>
      </c>
      <c r="AE253" t="str">
        <f t="shared" si="152"/>
        <v/>
      </c>
      <c r="AF253" s="1" t="str">
        <f t="shared" si="153"/>
        <v xml:space="preserve">                      </v>
      </c>
      <c r="AG253">
        <f>VLOOKUP(D253,Type!A$2:B$16,2,FALSE)</f>
        <v>14</v>
      </c>
      <c r="AH253" t="str">
        <f t="shared" si="154"/>
        <v xml:space="preserve">["TYPE"] = 14; </v>
      </c>
      <c r="AI253" t="str">
        <f t="shared" si="155"/>
        <v xml:space="preserve">                      </v>
      </c>
      <c r="AJ253" t="str">
        <f>IF(AND(F253="Class",NOT(ISBLANK(E253))),VLOOKUP(E253,Class!A$1:B$12,2,FALSE),"")</f>
        <v/>
      </c>
      <c r="AK253" t="str">
        <f>IF(AND(F253="Vocation",NOT(ISBLANK(E253))),VLOOKUP(E253,Vocation!A$1:B$8,2,FALSE),"")</f>
        <v/>
      </c>
      <c r="AL253" t="str">
        <f>IF(AND(F253="Race",NOT(ISBLANK(E253))),VLOOKUP(E253,Race!A$1:B$9,2,),"")</f>
        <v/>
      </c>
      <c r="AM253" t="str">
        <f t="shared" si="156"/>
        <v xml:space="preserve">  0</v>
      </c>
      <c r="AN253" t="str">
        <f t="shared" si="157"/>
        <v xml:space="preserve">["SUBTYPE"] =   0; </v>
      </c>
      <c r="AO253" t="str">
        <f>IF(NOT(ISBLANK(G253)),VLOOKUP(G253,Type!D$2:E$6,2,FALSE),"")</f>
        <v/>
      </c>
      <c r="AP253" t="str">
        <f t="shared" si="158"/>
        <v xml:space="preserve">            </v>
      </c>
      <c r="AQ253" t="str">
        <f t="shared" si="159"/>
        <v xml:space="preserve">                      </v>
      </c>
      <c r="AR253" t="str">
        <f t="shared" si="160"/>
        <v/>
      </c>
      <c r="AS253" t="str">
        <f t="shared" si="161"/>
        <v>0</v>
      </c>
      <c r="AT253" t="str">
        <f t="shared" si="162"/>
        <v xml:space="preserve">["VXP"] =    0; </v>
      </c>
      <c r="AU253" t="str">
        <f t="shared" si="163"/>
        <v>0</v>
      </c>
      <c r="AV253" t="str">
        <f t="shared" si="164"/>
        <v xml:space="preserve">["LP"] =  0; </v>
      </c>
      <c r="AW253" t="str">
        <f t="shared" si="165"/>
        <v>0</v>
      </c>
      <c r="AX253" t="str">
        <f t="shared" si="166"/>
        <v xml:space="preserve">["REP"] =     0; </v>
      </c>
      <c r="AY253">
        <f>IF(LEN(P253)&gt;0,VLOOKUP(P253,Faction!A$2:B$77,2,FALSE),1)</f>
        <v>1</v>
      </c>
      <c r="AZ253" t="str">
        <f t="shared" si="167"/>
        <v xml:space="preserve">["FACTION"] =  1; </v>
      </c>
      <c r="BA253" t="str">
        <f t="shared" si="146"/>
        <v/>
      </c>
      <c r="BB253" t="str">
        <f t="shared" si="168"/>
        <v xml:space="preserve">                     </v>
      </c>
      <c r="BC253" t="str">
        <f t="shared" si="169"/>
        <v xml:space="preserve">                  </v>
      </c>
      <c r="BD253" t="str">
        <f t="shared" si="170"/>
        <v xml:space="preserve">["NAME"] = { ["EN"] = "Miscellaneous"; }; </v>
      </c>
      <c r="BE253" t="str">
        <f t="shared" si="171"/>
        <v/>
      </c>
      <c r="BF253" t="str">
        <f t="shared" si="172"/>
        <v/>
      </c>
      <c r="BG253" t="str">
        <f t="shared" si="173"/>
        <v/>
      </c>
      <c r="BH253" t="str">
        <f t="shared" si="174"/>
        <v/>
      </c>
      <c r="BI253" t="str">
        <f t="shared" si="175"/>
        <v/>
      </c>
      <c r="BJ253" t="str">
        <f t="shared" si="177"/>
        <v>};</v>
      </c>
    </row>
    <row r="254" spans="1:62" x14ac:dyDescent="0.25">
      <c r="A254">
        <v>1879150943</v>
      </c>
      <c r="B254">
        <v>196</v>
      </c>
      <c r="C254" t="s">
        <v>640</v>
      </c>
      <c r="D254" t="s">
        <v>30</v>
      </c>
      <c r="M254" t="s">
        <v>640</v>
      </c>
      <c r="O254">
        <v>500</v>
      </c>
      <c r="P254" t="s">
        <v>54</v>
      </c>
      <c r="Q254" t="s">
        <v>642</v>
      </c>
      <c r="R254" t="s">
        <v>641</v>
      </c>
      <c r="S254">
        <v>0</v>
      </c>
      <c r="T254">
        <v>60</v>
      </c>
      <c r="X254" t="str">
        <f t="shared" si="145"/>
        <v>[253] = {["ID"] = 1879150943; }; -- Defender of Caras Galadhon</v>
      </c>
      <c r="Y254" s="1" t="str">
        <f t="shared" si="147"/>
        <v>[253]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4">
        <f t="shared" si="176"/>
        <v>253</v>
      </c>
      <c r="AA254" t="str">
        <f t="shared" si="148"/>
        <v>[253] = {</v>
      </c>
      <c r="AB254" t="str">
        <f t="shared" si="149"/>
        <v xml:space="preserve">["ID"] = 1879150943; </v>
      </c>
      <c r="AC254" t="str">
        <f t="shared" si="150"/>
        <v xml:space="preserve">["ID"] = 1879150943; </v>
      </c>
      <c r="AD254" t="str">
        <f t="shared" si="151"/>
        <v/>
      </c>
      <c r="AE254" t="str">
        <f t="shared" si="152"/>
        <v/>
      </c>
      <c r="AF254" s="1" t="str">
        <f t="shared" si="153"/>
        <v xml:space="preserve">["SAVE_INDEX"] = 196; </v>
      </c>
      <c r="AG254">
        <f>VLOOKUP(D254,Type!A$2:B$16,2,FALSE)</f>
        <v>7</v>
      </c>
      <c r="AH254" t="str">
        <f t="shared" si="154"/>
        <v xml:space="preserve">["TYPE"] =  7; </v>
      </c>
      <c r="AI254" t="str">
        <f t="shared" si="155"/>
        <v xml:space="preserve">                      </v>
      </c>
      <c r="AJ254" t="str">
        <f>IF(AND(F254="Class",NOT(ISBLANK(E254))),VLOOKUP(E254,Class!A$1:B$12,2,FALSE),"")</f>
        <v/>
      </c>
      <c r="AK254" t="str">
        <f>IF(AND(F254="Vocation",NOT(ISBLANK(E254))),VLOOKUP(E254,Vocation!A$1:B$8,2,FALSE),"")</f>
        <v/>
      </c>
      <c r="AL254" t="str">
        <f>IF(AND(F254="Race",NOT(ISBLANK(E254))),VLOOKUP(E254,Race!A$1:B$9,2,),"")</f>
        <v/>
      </c>
      <c r="AM254" t="str">
        <f t="shared" si="156"/>
        <v xml:space="preserve">  0</v>
      </c>
      <c r="AN254" t="str">
        <f t="shared" si="157"/>
        <v xml:space="preserve">["SUBTYPE"] =   0; </v>
      </c>
      <c r="AO254" t="str">
        <f>IF(NOT(ISBLANK(G254)),VLOOKUP(G254,Type!D$2:E$6,2,FALSE),"")</f>
        <v/>
      </c>
      <c r="AP254" t="str">
        <f t="shared" si="158"/>
        <v xml:space="preserve">            </v>
      </c>
      <c r="AQ254" t="str">
        <f t="shared" si="159"/>
        <v xml:space="preserve">                      </v>
      </c>
      <c r="AR254" t="str">
        <f t="shared" si="160"/>
        <v/>
      </c>
      <c r="AS254" t="str">
        <f t="shared" si="161"/>
        <v>0</v>
      </c>
      <c r="AT254" t="str">
        <f t="shared" si="162"/>
        <v xml:space="preserve">["VXP"] =    0; </v>
      </c>
      <c r="AU254" t="str">
        <f t="shared" si="163"/>
        <v>0</v>
      </c>
      <c r="AV254" t="str">
        <f t="shared" si="164"/>
        <v xml:space="preserve">["LP"] =  0; </v>
      </c>
      <c r="AW254" t="str">
        <f t="shared" si="165"/>
        <v>500</v>
      </c>
      <c r="AX254" t="str">
        <f t="shared" si="166"/>
        <v xml:space="preserve">["REP"] =   500; </v>
      </c>
      <c r="AY254">
        <f>IF(LEN(P254)&gt;0,VLOOKUP(P254,Faction!A$2:B$77,2,FALSE),1)</f>
        <v>15</v>
      </c>
      <c r="AZ254" t="str">
        <f t="shared" si="167"/>
        <v xml:space="preserve">["FACTION"] = 15; </v>
      </c>
      <c r="BA254" t="str">
        <f t="shared" si="146"/>
        <v/>
      </c>
      <c r="BB254" t="str">
        <f t="shared" si="168"/>
        <v xml:space="preserve">["MIN_LVL"] =  "60"; </v>
      </c>
      <c r="BC254" t="str">
        <f t="shared" si="169"/>
        <v xml:space="preserve">                  </v>
      </c>
      <c r="BD254" t="str">
        <f t="shared" si="170"/>
        <v xml:space="preserve">["NAME"] = { ["EN"] = "Defender of Caras Galadhon"; }; </v>
      </c>
      <c r="BE254" t="str">
        <f t="shared" si="171"/>
        <v xml:space="preserve">["LORE"] = { ["EN"] = "You have been granted a discount at all Lothlórien vendors."; }; </v>
      </c>
      <c r="BF254" t="str">
        <f t="shared" si="172"/>
        <v xml:space="preserve">["SUMMARY"] = { ["EN"] = "Use Inscription of Benefits"; }; </v>
      </c>
      <c r="BG254" t="str">
        <f t="shared" si="173"/>
        <v xml:space="preserve">["TITLE"] = { ["EN"] = "Defender of Caras Galadhon"; }; </v>
      </c>
      <c r="BH254" t="str">
        <f t="shared" si="174"/>
        <v/>
      </c>
      <c r="BI254" t="str">
        <f t="shared" si="175"/>
        <v/>
      </c>
      <c r="BJ254" t="str">
        <f t="shared" si="177"/>
        <v>};</v>
      </c>
    </row>
    <row r="255" spans="1:62" x14ac:dyDescent="0.25">
      <c r="A255">
        <v>1879115232</v>
      </c>
      <c r="B255">
        <v>197</v>
      </c>
      <c r="C255" t="s">
        <v>723</v>
      </c>
      <c r="D255" t="s">
        <v>31</v>
      </c>
      <c r="M255" t="s">
        <v>724</v>
      </c>
      <c r="N255">
        <v>10</v>
      </c>
      <c r="Q255" t="s">
        <v>726</v>
      </c>
      <c r="R255" t="s">
        <v>725</v>
      </c>
      <c r="S255">
        <v>0</v>
      </c>
      <c r="T255">
        <v>5</v>
      </c>
      <c r="X255" t="str">
        <f t="shared" si="145"/>
        <v>[254] = {["ID"] = 1879115232; }; -- Boar-slayer</v>
      </c>
      <c r="Y255" s="1" t="str">
        <f t="shared" si="147"/>
        <v>[254]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5">
        <f t="shared" si="176"/>
        <v>254</v>
      </c>
      <c r="AA255" t="str">
        <f t="shared" si="148"/>
        <v>[254] = {</v>
      </c>
      <c r="AB255" t="str">
        <f t="shared" si="149"/>
        <v xml:space="preserve">["ID"] = 1879115232; </v>
      </c>
      <c r="AC255" t="str">
        <f t="shared" si="150"/>
        <v xml:space="preserve">["ID"] = 1879115232; </v>
      </c>
      <c r="AD255" t="str">
        <f t="shared" si="151"/>
        <v/>
      </c>
      <c r="AE255" t="str">
        <f t="shared" si="152"/>
        <v/>
      </c>
      <c r="AF255" s="1" t="str">
        <f t="shared" si="153"/>
        <v xml:space="preserve">["SAVE_INDEX"] = 197; </v>
      </c>
      <c r="AG255">
        <f>VLOOKUP(D255,Type!A$2:B$16,2,FALSE)</f>
        <v>4</v>
      </c>
      <c r="AH255" t="str">
        <f t="shared" si="154"/>
        <v xml:space="preserve">["TYPE"] =  4; </v>
      </c>
      <c r="AI255" t="str">
        <f t="shared" si="155"/>
        <v xml:space="preserve">                      </v>
      </c>
      <c r="AJ255" t="str">
        <f>IF(AND(F255="Class",NOT(ISBLANK(E255))),VLOOKUP(E255,Class!A$1:B$12,2,FALSE),"")</f>
        <v/>
      </c>
      <c r="AK255" t="str">
        <f>IF(AND(F255="Vocation",NOT(ISBLANK(E255))),VLOOKUP(E255,Vocation!A$1:B$8,2,FALSE),"")</f>
        <v/>
      </c>
      <c r="AL255" t="str">
        <f>IF(AND(F255="Race",NOT(ISBLANK(E255))),VLOOKUP(E255,Race!A$1:B$9,2,),"")</f>
        <v/>
      </c>
      <c r="AM255" t="str">
        <f t="shared" si="156"/>
        <v xml:space="preserve">  0</v>
      </c>
      <c r="AN255" t="str">
        <f t="shared" si="157"/>
        <v xml:space="preserve">["SUBTYPE"] =   0; </v>
      </c>
      <c r="AO255" t="str">
        <f>IF(NOT(ISBLANK(G255)),VLOOKUP(G255,Type!D$2:E$6,2,FALSE),"")</f>
        <v/>
      </c>
      <c r="AP255" t="str">
        <f t="shared" si="158"/>
        <v xml:space="preserve">            </v>
      </c>
      <c r="AQ255" t="str">
        <f t="shared" si="159"/>
        <v xml:space="preserve">                      </v>
      </c>
      <c r="AR255" t="str">
        <f t="shared" si="160"/>
        <v/>
      </c>
      <c r="AS255" t="str">
        <f t="shared" si="161"/>
        <v>0</v>
      </c>
      <c r="AT255" t="str">
        <f t="shared" si="162"/>
        <v xml:space="preserve">["VXP"] =    0; </v>
      </c>
      <c r="AU255" t="str">
        <f t="shared" si="163"/>
        <v>10</v>
      </c>
      <c r="AV255" t="str">
        <f t="shared" si="164"/>
        <v xml:space="preserve">["LP"] = 10; </v>
      </c>
      <c r="AW255" t="str">
        <f t="shared" si="165"/>
        <v>0</v>
      </c>
      <c r="AX255" t="str">
        <f t="shared" si="166"/>
        <v xml:space="preserve">["REP"] =     0; </v>
      </c>
      <c r="AY255">
        <f>IF(LEN(P255)&gt;0,VLOOKUP(P255,Faction!A$2:B$77,2,FALSE),1)</f>
        <v>1</v>
      </c>
      <c r="AZ255" t="str">
        <f t="shared" si="167"/>
        <v xml:space="preserve">["FACTION"] =  1; </v>
      </c>
      <c r="BA255" t="str">
        <f t="shared" si="146"/>
        <v/>
      </c>
      <c r="BB255" t="str">
        <f t="shared" si="168"/>
        <v xml:space="preserve">["MIN_LVL"] =   "5"; </v>
      </c>
      <c r="BC255" t="str">
        <f t="shared" si="169"/>
        <v xml:space="preserve">                  </v>
      </c>
      <c r="BD255" t="str">
        <f t="shared" si="170"/>
        <v xml:space="preserve">["NAME"] = { ["EN"] = "Boar-slayer"; }; </v>
      </c>
      <c r="BE255" t="str">
        <f t="shared" si="171"/>
        <v xml:space="preserve">["LORE"] = { ["EN"] = "For too long, Boar-kind has plagued the land. In your efforts, you have shown a desire to drive them from Middle-earth."; }; </v>
      </c>
      <c r="BF255" t="str">
        <f t="shared" si="172"/>
        <v xml:space="preserve">["SUMMARY"] = { ["EN"] = "Defeat boars in Eriador"; }; </v>
      </c>
      <c r="BG255" t="str">
        <f t="shared" si="173"/>
        <v xml:space="preserve">["TITLE"] = { ["EN"] = "Pork-chopper"; }; </v>
      </c>
      <c r="BH255" t="str">
        <f t="shared" si="174"/>
        <v/>
      </c>
      <c r="BI255" t="str">
        <f t="shared" si="175"/>
        <v/>
      </c>
      <c r="BJ255" t="str">
        <f t="shared" si="177"/>
        <v>};</v>
      </c>
    </row>
    <row r="256" spans="1:62" x14ac:dyDescent="0.25">
      <c r="A256">
        <v>1879222054</v>
      </c>
      <c r="B256">
        <v>198</v>
      </c>
      <c r="C256" t="s">
        <v>864</v>
      </c>
      <c r="D256" t="s">
        <v>25</v>
      </c>
      <c r="M256" t="s">
        <v>1055</v>
      </c>
      <c r="Q256" t="s">
        <v>1054</v>
      </c>
      <c r="R256" t="s">
        <v>1053</v>
      </c>
      <c r="S256">
        <v>0</v>
      </c>
      <c r="X256" t="str">
        <f t="shared" si="145"/>
        <v>[255] = {["ID"] = 1879222054; }; -- The Adventures of Floid and Dewitt</v>
      </c>
      <c r="Y256" s="1" t="str">
        <f t="shared" si="147"/>
        <v>[255]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6">
        <f t="shared" si="176"/>
        <v>255</v>
      </c>
      <c r="AA256" t="str">
        <f t="shared" si="148"/>
        <v>[255] = {</v>
      </c>
      <c r="AB256" t="str">
        <f t="shared" si="149"/>
        <v xml:space="preserve">["ID"] = 1879222054; </v>
      </c>
      <c r="AC256" t="str">
        <f t="shared" si="150"/>
        <v xml:space="preserve">["ID"] = 1879222054; </v>
      </c>
      <c r="AD256" t="str">
        <f t="shared" si="151"/>
        <v/>
      </c>
      <c r="AE256" t="str">
        <f t="shared" si="152"/>
        <v/>
      </c>
      <c r="AF256" s="1" t="str">
        <f t="shared" si="153"/>
        <v xml:space="preserve">["SAVE_INDEX"] = 198; </v>
      </c>
      <c r="AG256">
        <f>VLOOKUP(D256,Type!A$2:B$16,2,FALSE)</f>
        <v>3</v>
      </c>
      <c r="AH256" t="str">
        <f t="shared" si="154"/>
        <v xml:space="preserve">["TYPE"] =  3; </v>
      </c>
      <c r="AI256" t="str">
        <f t="shared" si="155"/>
        <v xml:space="preserve">                      </v>
      </c>
      <c r="AJ256" t="str">
        <f>IF(AND(F256="Class",NOT(ISBLANK(E256))),VLOOKUP(E256,Class!A$1:B$12,2,FALSE),"")</f>
        <v/>
      </c>
      <c r="AK256" t="str">
        <f>IF(AND(F256="Vocation",NOT(ISBLANK(E256))),VLOOKUP(E256,Vocation!A$1:B$8,2,FALSE),"")</f>
        <v/>
      </c>
      <c r="AL256" t="str">
        <f>IF(AND(F256="Race",NOT(ISBLANK(E256))),VLOOKUP(E256,Race!A$1:B$9,2,),"")</f>
        <v/>
      </c>
      <c r="AM256" t="str">
        <f t="shared" si="156"/>
        <v xml:space="preserve">  0</v>
      </c>
      <c r="AN256" t="str">
        <f t="shared" si="157"/>
        <v xml:space="preserve">["SUBTYPE"] =   0; </v>
      </c>
      <c r="AO256" t="str">
        <f>IF(NOT(ISBLANK(G256)),VLOOKUP(G256,Type!D$2:E$6,2,FALSE),"")</f>
        <v/>
      </c>
      <c r="AP256" t="str">
        <f t="shared" si="158"/>
        <v xml:space="preserve">            </v>
      </c>
      <c r="AQ256" t="str">
        <f t="shared" si="159"/>
        <v xml:space="preserve">                      </v>
      </c>
      <c r="AR256" t="str">
        <f t="shared" si="160"/>
        <v/>
      </c>
      <c r="AS256" t="str">
        <f t="shared" si="161"/>
        <v>0</v>
      </c>
      <c r="AT256" t="str">
        <f t="shared" si="162"/>
        <v xml:space="preserve">["VXP"] =    0; </v>
      </c>
      <c r="AU256" t="str">
        <f t="shared" si="163"/>
        <v>0</v>
      </c>
      <c r="AV256" t="str">
        <f t="shared" si="164"/>
        <v xml:space="preserve">["LP"] =  0; </v>
      </c>
      <c r="AW256" t="str">
        <f t="shared" si="165"/>
        <v>0</v>
      </c>
      <c r="AX256" t="str">
        <f t="shared" si="166"/>
        <v xml:space="preserve">["REP"] =     0; </v>
      </c>
      <c r="AY256">
        <f>IF(LEN(P256)&gt;0,VLOOKUP(P256,Faction!A$2:B$77,2,FALSE),1)</f>
        <v>1</v>
      </c>
      <c r="AZ256" t="str">
        <f t="shared" si="167"/>
        <v xml:space="preserve">["FACTION"] =  1; </v>
      </c>
      <c r="BA256" t="str">
        <f t="shared" si="146"/>
        <v/>
      </c>
      <c r="BB256" t="str">
        <f t="shared" si="168"/>
        <v xml:space="preserve">                     </v>
      </c>
      <c r="BC256" t="str">
        <f t="shared" si="169"/>
        <v xml:space="preserve">                  </v>
      </c>
      <c r="BD256" t="str">
        <f t="shared" si="170"/>
        <v xml:space="preserve">["NAME"] = { ["EN"] = "The Adventures of Floid and Dewitt"; }; </v>
      </c>
      <c r="BE256" t="str">
        <f t="shared" si="171"/>
        <v xml:space="preserve">["LORE"] = { ["EN"] = "You are a great explorer of Middle-earth. Surely you'll have no trouble locating other great adventurers on their expeditions!"; }; </v>
      </c>
      <c r="BF256" t="str">
        <f t="shared" si="172"/>
        <v xml:space="preserve">["SUMMARY"] = { ["EN"] = "Find Floid and Dewitt in 7 locations."; }; </v>
      </c>
      <c r="BG256" t="str">
        <f t="shared" si="173"/>
        <v xml:space="preserve">["TITLE"] = { ["EN"] = "the Wanderer"; }; </v>
      </c>
      <c r="BH256" t="str">
        <f t="shared" si="174"/>
        <v/>
      </c>
      <c r="BI256" t="str">
        <f t="shared" si="175"/>
        <v/>
      </c>
      <c r="BJ256" t="str">
        <f t="shared" si="177"/>
        <v>};</v>
      </c>
    </row>
    <row r="257" spans="1:62" x14ac:dyDescent="0.25">
      <c r="A257">
        <v>1879267993</v>
      </c>
      <c r="B257">
        <v>199</v>
      </c>
      <c r="C257" t="s">
        <v>865</v>
      </c>
      <c r="D257" t="s">
        <v>25</v>
      </c>
      <c r="M257" t="s">
        <v>1056</v>
      </c>
      <c r="Q257" t="s">
        <v>1057</v>
      </c>
      <c r="R257" t="s">
        <v>1053</v>
      </c>
      <c r="S257">
        <v>0</v>
      </c>
      <c r="X257" t="str">
        <f t="shared" si="145"/>
        <v>[256] = {["ID"] = 1879267993; }; -- The Adventures of Floid and Dewitt: Part Deux</v>
      </c>
      <c r="Y257" s="1" t="str">
        <f t="shared" si="147"/>
        <v>[256]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7">
        <f t="shared" si="176"/>
        <v>256</v>
      </c>
      <c r="AA257" t="str">
        <f t="shared" si="148"/>
        <v>[256] = {</v>
      </c>
      <c r="AB257" t="str">
        <f t="shared" si="149"/>
        <v xml:space="preserve">["ID"] = 1879267993; </v>
      </c>
      <c r="AC257" t="str">
        <f t="shared" si="150"/>
        <v xml:space="preserve">["ID"] = 1879267993; </v>
      </c>
      <c r="AD257" t="str">
        <f t="shared" si="151"/>
        <v/>
      </c>
      <c r="AE257" t="str">
        <f t="shared" si="152"/>
        <v/>
      </c>
      <c r="AF257" s="1" t="str">
        <f t="shared" si="153"/>
        <v xml:space="preserve">["SAVE_INDEX"] = 199; </v>
      </c>
      <c r="AG257">
        <f>VLOOKUP(D257,Type!A$2:B$16,2,FALSE)</f>
        <v>3</v>
      </c>
      <c r="AH257" t="str">
        <f t="shared" si="154"/>
        <v xml:space="preserve">["TYPE"] =  3; </v>
      </c>
      <c r="AI257" t="str">
        <f t="shared" si="155"/>
        <v xml:space="preserve">                      </v>
      </c>
      <c r="AJ257" t="str">
        <f>IF(AND(F257="Class",NOT(ISBLANK(E257))),VLOOKUP(E257,Class!A$1:B$12,2,FALSE),"")</f>
        <v/>
      </c>
      <c r="AK257" t="str">
        <f>IF(AND(F257="Vocation",NOT(ISBLANK(E257))),VLOOKUP(E257,Vocation!A$1:B$8,2,FALSE),"")</f>
        <v/>
      </c>
      <c r="AL257" t="str">
        <f>IF(AND(F257="Race",NOT(ISBLANK(E257))),VLOOKUP(E257,Race!A$1:B$9,2,),"")</f>
        <v/>
      </c>
      <c r="AM257" t="str">
        <f t="shared" si="156"/>
        <v xml:space="preserve">  0</v>
      </c>
      <c r="AN257" t="str">
        <f t="shared" si="157"/>
        <v xml:space="preserve">["SUBTYPE"] =   0; </v>
      </c>
      <c r="AO257" t="str">
        <f>IF(NOT(ISBLANK(G257)),VLOOKUP(G257,Type!D$2:E$6,2,FALSE),"")</f>
        <v/>
      </c>
      <c r="AP257" t="str">
        <f t="shared" si="158"/>
        <v xml:space="preserve">            </v>
      </c>
      <c r="AQ257" t="str">
        <f t="shared" si="159"/>
        <v xml:space="preserve">                      </v>
      </c>
      <c r="AR257" t="str">
        <f t="shared" si="160"/>
        <v/>
      </c>
      <c r="AS257" t="str">
        <f t="shared" si="161"/>
        <v>0</v>
      </c>
      <c r="AT257" t="str">
        <f t="shared" si="162"/>
        <v xml:space="preserve">["VXP"] =    0; </v>
      </c>
      <c r="AU257" t="str">
        <f t="shared" si="163"/>
        <v>0</v>
      </c>
      <c r="AV257" t="str">
        <f t="shared" si="164"/>
        <v xml:space="preserve">["LP"] =  0; </v>
      </c>
      <c r="AW257" t="str">
        <f t="shared" si="165"/>
        <v>0</v>
      </c>
      <c r="AX257" t="str">
        <f t="shared" si="166"/>
        <v xml:space="preserve">["REP"] =     0; </v>
      </c>
      <c r="AY257">
        <f>IF(LEN(P257)&gt;0,VLOOKUP(P257,Faction!A$2:B$77,2,FALSE),1)</f>
        <v>1</v>
      </c>
      <c r="AZ257" t="str">
        <f t="shared" si="167"/>
        <v xml:space="preserve">["FACTION"] =  1; </v>
      </c>
      <c r="BA257" t="str">
        <f t="shared" si="146"/>
        <v/>
      </c>
      <c r="BB257" t="str">
        <f t="shared" si="168"/>
        <v xml:space="preserve">                     </v>
      </c>
      <c r="BC257" t="str">
        <f t="shared" si="169"/>
        <v xml:space="preserve">                  </v>
      </c>
      <c r="BD257" t="str">
        <f t="shared" si="170"/>
        <v xml:space="preserve">["NAME"] = { ["EN"] = "The Adventures of Floid and Dewitt: Part Deux"; }; </v>
      </c>
      <c r="BE257" t="str">
        <f t="shared" si="171"/>
        <v xml:space="preserve">["LORE"] = { ["EN"] = "You are a great explorer of Middle-earth. Surely you'll have no trouble locating other great adventurers on their expeditions!"; }; </v>
      </c>
      <c r="BF257" t="str">
        <f t="shared" si="172"/>
        <v xml:space="preserve">["SUMMARY"] = { ["EN"] = "Find Floid and Dewitt in 7 other locations."; }; </v>
      </c>
      <c r="BG257" t="str">
        <f t="shared" si="173"/>
        <v xml:space="preserve">["TITLE"] = { ["EN"] = "the Vagabond"; }; </v>
      </c>
      <c r="BH257" t="str">
        <f t="shared" si="174"/>
        <v/>
      </c>
      <c r="BI257" t="str">
        <f t="shared" si="175"/>
        <v/>
      </c>
      <c r="BJ257" t="str">
        <f t="shared" si="177"/>
        <v>};</v>
      </c>
    </row>
    <row r="258" spans="1:62" x14ac:dyDescent="0.25">
      <c r="A258">
        <v>1879206037</v>
      </c>
      <c r="B258">
        <v>200</v>
      </c>
      <c r="C258" t="s">
        <v>866</v>
      </c>
      <c r="D258" t="s">
        <v>26</v>
      </c>
      <c r="M258" t="s">
        <v>1060</v>
      </c>
      <c r="N258">
        <v>10</v>
      </c>
      <c r="Q258" t="s">
        <v>1059</v>
      </c>
      <c r="R258" t="s">
        <v>1058</v>
      </c>
      <c r="S258">
        <v>0</v>
      </c>
      <c r="T258">
        <v>15</v>
      </c>
      <c r="X258" t="str">
        <f t="shared" si="145"/>
        <v>[257] = {["ID"] = 1879206037; }; -- Cartographile -- Eriador</v>
      </c>
      <c r="Y258" s="1" t="str">
        <f t="shared" si="147"/>
        <v>[257]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8">
        <f t="shared" si="176"/>
        <v>257</v>
      </c>
      <c r="AA258" t="str">
        <f t="shared" si="148"/>
        <v>[257] = {</v>
      </c>
      <c r="AB258" t="str">
        <f t="shared" si="149"/>
        <v xml:space="preserve">["ID"] = 1879206037; </v>
      </c>
      <c r="AC258" t="str">
        <f t="shared" si="150"/>
        <v xml:space="preserve">["ID"] = 1879206037; </v>
      </c>
      <c r="AD258" t="str">
        <f t="shared" si="151"/>
        <v/>
      </c>
      <c r="AE258" t="str">
        <f t="shared" si="152"/>
        <v/>
      </c>
      <c r="AF258" s="1" t="str">
        <f t="shared" si="153"/>
        <v xml:space="preserve">["SAVE_INDEX"] = 200; </v>
      </c>
      <c r="AG258">
        <f>VLOOKUP(D258,Type!A$2:B$16,2,FALSE)</f>
        <v>6</v>
      </c>
      <c r="AH258" t="str">
        <f t="shared" si="154"/>
        <v xml:space="preserve">["TYPE"] =  6; </v>
      </c>
      <c r="AI258" t="str">
        <f t="shared" si="155"/>
        <v xml:space="preserve">                      </v>
      </c>
      <c r="AJ258" t="str">
        <f>IF(AND(F258="Class",NOT(ISBLANK(E258))),VLOOKUP(E258,Class!A$1:B$12,2,FALSE),"")</f>
        <v/>
      </c>
      <c r="AK258" t="str">
        <f>IF(AND(F258="Vocation",NOT(ISBLANK(E258))),VLOOKUP(E258,Vocation!A$1:B$8,2,FALSE),"")</f>
        <v/>
      </c>
      <c r="AL258" t="str">
        <f>IF(AND(F258="Race",NOT(ISBLANK(E258))),VLOOKUP(E258,Race!A$1:B$9,2,),"")</f>
        <v/>
      </c>
      <c r="AM258" t="str">
        <f t="shared" si="156"/>
        <v xml:space="preserve">  0</v>
      </c>
      <c r="AN258" t="str">
        <f t="shared" si="157"/>
        <v xml:space="preserve">["SUBTYPE"] =   0; </v>
      </c>
      <c r="AO258" t="str">
        <f>IF(NOT(ISBLANK(G258)),VLOOKUP(G258,Type!D$2:E$6,2,FALSE),"")</f>
        <v/>
      </c>
      <c r="AP258" t="str">
        <f t="shared" si="158"/>
        <v xml:space="preserve">            </v>
      </c>
      <c r="AQ258" t="str">
        <f t="shared" si="159"/>
        <v xml:space="preserve">                      </v>
      </c>
      <c r="AR258" t="str">
        <f t="shared" si="160"/>
        <v/>
      </c>
      <c r="AS258" t="str">
        <f t="shared" si="161"/>
        <v>0</v>
      </c>
      <c r="AT258" t="str">
        <f t="shared" si="162"/>
        <v xml:space="preserve">["VXP"] =    0; </v>
      </c>
      <c r="AU258" t="str">
        <f t="shared" si="163"/>
        <v>10</v>
      </c>
      <c r="AV258" t="str">
        <f t="shared" si="164"/>
        <v xml:space="preserve">["LP"] = 10; </v>
      </c>
      <c r="AW258" t="str">
        <f t="shared" si="165"/>
        <v>0</v>
      </c>
      <c r="AX258" t="str">
        <f t="shared" si="166"/>
        <v xml:space="preserve">["REP"] =     0; </v>
      </c>
      <c r="AY258">
        <f>IF(LEN(P258)&gt;0,VLOOKUP(P258,Faction!A$2:B$77,2,FALSE),1)</f>
        <v>1</v>
      </c>
      <c r="AZ258" t="str">
        <f t="shared" si="167"/>
        <v xml:space="preserve">["FACTION"] =  1; </v>
      </c>
      <c r="BA258" t="str">
        <f t="shared" si="146"/>
        <v/>
      </c>
      <c r="BB258" t="str">
        <f t="shared" si="168"/>
        <v xml:space="preserve">["MIN_LVL"] =  "15"; </v>
      </c>
      <c r="BC258" t="str">
        <f t="shared" si="169"/>
        <v xml:space="preserve">                  </v>
      </c>
      <c r="BD258" t="str">
        <f t="shared" si="170"/>
        <v xml:space="preserve">["NAME"] = { ["EN"] = "Cartographile -- Eriador"; }; </v>
      </c>
      <c r="BE258" t="str">
        <f t="shared" si="171"/>
        <v xml:space="preserve">["LORE"] = { ["EN"] = "A well-travelled adventurer has nearly all the maps of the lands where they travel. You must obtain all the maps that outline the areas of Eriador."; }; </v>
      </c>
      <c r="BF258" t="str">
        <f t="shared" si="172"/>
        <v xml:space="preserve">["SUMMARY"] = { ["EN"] = "Obtain 21 maps of Eriador"; }; </v>
      </c>
      <c r="BG258" t="str">
        <f t="shared" si="173"/>
        <v xml:space="preserve">["TITLE"] = { ["EN"] = "Eriador Cartographile"; }; </v>
      </c>
      <c r="BH258" t="str">
        <f t="shared" si="174"/>
        <v/>
      </c>
      <c r="BI258" t="str">
        <f t="shared" si="175"/>
        <v/>
      </c>
      <c r="BJ258" t="str">
        <f t="shared" si="177"/>
        <v>};</v>
      </c>
    </row>
    <row r="259" spans="1:62" x14ac:dyDescent="0.25">
      <c r="A259">
        <v>1879206033</v>
      </c>
      <c r="B259">
        <v>201</v>
      </c>
      <c r="C259" t="s">
        <v>867</v>
      </c>
      <c r="D259" t="s">
        <v>26</v>
      </c>
      <c r="M259" t="s">
        <v>1063</v>
      </c>
      <c r="N259">
        <v>10</v>
      </c>
      <c r="O259">
        <v>1200</v>
      </c>
      <c r="P259" t="s">
        <v>61</v>
      </c>
      <c r="Q259" t="s">
        <v>1062</v>
      </c>
      <c r="R259" t="s">
        <v>1061</v>
      </c>
      <c r="S259">
        <v>0</v>
      </c>
      <c r="T259">
        <v>15</v>
      </c>
      <c r="X259" t="str">
        <f t="shared" ref="X259:X322" si="178">CONCATENATE(AA259,AC259,AD259,BA259,BJ259," -- ",C259,AE259)</f>
        <v>[258] = {["ID"] = 1879206033; }; -- Cartographile -- Moria</v>
      </c>
      <c r="Y259" s="1" t="str">
        <f t="shared" si="147"/>
        <v>[258]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9">
        <f t="shared" si="176"/>
        <v>258</v>
      </c>
      <c r="AA259" t="str">
        <f t="shared" si="148"/>
        <v>[258] = {</v>
      </c>
      <c r="AB259" t="str">
        <f t="shared" si="149"/>
        <v xml:space="preserve">["ID"] = 1879206033; </v>
      </c>
      <c r="AC259" t="str">
        <f t="shared" si="150"/>
        <v xml:space="preserve">["ID"] = 1879206033; </v>
      </c>
      <c r="AD259" t="str">
        <f t="shared" si="151"/>
        <v/>
      </c>
      <c r="AE259" t="str">
        <f t="shared" si="152"/>
        <v/>
      </c>
      <c r="AF259" s="1" t="str">
        <f t="shared" si="153"/>
        <v xml:space="preserve">["SAVE_INDEX"] = 201; </v>
      </c>
      <c r="AG259">
        <f>VLOOKUP(D259,Type!A$2:B$16,2,FALSE)</f>
        <v>6</v>
      </c>
      <c r="AH259" t="str">
        <f t="shared" si="154"/>
        <v xml:space="preserve">["TYPE"] =  6; </v>
      </c>
      <c r="AI259" t="str">
        <f t="shared" si="155"/>
        <v xml:space="preserve">                      </v>
      </c>
      <c r="AJ259" t="str">
        <f>IF(AND(F259="Class",NOT(ISBLANK(E259))),VLOOKUP(E259,Class!A$1:B$12,2,FALSE),"")</f>
        <v/>
      </c>
      <c r="AK259" t="str">
        <f>IF(AND(F259="Vocation",NOT(ISBLANK(E259))),VLOOKUP(E259,Vocation!A$1:B$8,2,FALSE),"")</f>
        <v/>
      </c>
      <c r="AL259" t="str">
        <f>IF(AND(F259="Race",NOT(ISBLANK(E259))),VLOOKUP(E259,Race!A$1:B$9,2,),"")</f>
        <v/>
      </c>
      <c r="AM259" t="str">
        <f t="shared" si="156"/>
        <v xml:space="preserve">  0</v>
      </c>
      <c r="AN259" t="str">
        <f t="shared" si="157"/>
        <v xml:space="preserve">["SUBTYPE"] =   0; </v>
      </c>
      <c r="AO259" t="str">
        <f>IF(NOT(ISBLANK(G259)),VLOOKUP(G259,Type!D$2:E$6,2,FALSE),"")</f>
        <v/>
      </c>
      <c r="AP259" t="str">
        <f t="shared" si="158"/>
        <v xml:space="preserve">            </v>
      </c>
      <c r="AQ259" t="str">
        <f t="shared" si="159"/>
        <v xml:space="preserve">                      </v>
      </c>
      <c r="AR259" t="str">
        <f t="shared" si="160"/>
        <v/>
      </c>
      <c r="AS259" t="str">
        <f t="shared" si="161"/>
        <v>0</v>
      </c>
      <c r="AT259" t="str">
        <f t="shared" si="162"/>
        <v xml:space="preserve">["VXP"] =    0; </v>
      </c>
      <c r="AU259" t="str">
        <f t="shared" si="163"/>
        <v>10</v>
      </c>
      <c r="AV259" t="str">
        <f t="shared" si="164"/>
        <v xml:space="preserve">["LP"] = 10; </v>
      </c>
      <c r="AW259" t="str">
        <f t="shared" si="165"/>
        <v>1200</v>
      </c>
      <c r="AX259" t="str">
        <f t="shared" si="166"/>
        <v xml:space="preserve">["REP"] =  1200; </v>
      </c>
      <c r="AY259">
        <f>IF(LEN(P259)&gt;0,VLOOKUP(P259,Faction!A$2:B$77,2,FALSE),1)</f>
        <v>17</v>
      </c>
      <c r="AZ259" t="str">
        <f t="shared" si="167"/>
        <v xml:space="preserve">["FACTION"] = 17; </v>
      </c>
      <c r="BA259" t="str">
        <f t="shared" ref="BA259:BA322" si="179">IF(S259&gt;0,CONCATENATE("[""TIER""] = ",TEXT(S259,"0"),"; "),"")</f>
        <v/>
      </c>
      <c r="BB259" t="str">
        <f t="shared" si="168"/>
        <v xml:space="preserve">["MIN_LVL"] =  "15"; </v>
      </c>
      <c r="BC259" t="str">
        <f t="shared" si="169"/>
        <v xml:space="preserve">                  </v>
      </c>
      <c r="BD259" t="str">
        <f t="shared" si="170"/>
        <v xml:space="preserve">["NAME"] = { ["EN"] = "Cartographile -- Moria"; }; </v>
      </c>
      <c r="BE259" t="str">
        <f t="shared" si="171"/>
        <v xml:space="preserve">["LORE"] = { ["EN"] = "A fine collection of maps is a feather in the cap of any true adventurer. The maps of Moria, once collected, will allow you to be known to all as such an adventurer."; }; </v>
      </c>
      <c r="BF259" t="str">
        <f t="shared" si="172"/>
        <v xml:space="preserve">["SUMMARY"] = { ["EN"] = "Obtain 11 maps of Moria"; }; </v>
      </c>
      <c r="BG259" t="str">
        <f t="shared" si="173"/>
        <v xml:space="preserve">["TITLE"] = { ["EN"] = "Moria Cartographile"; }; </v>
      </c>
      <c r="BH259" t="str">
        <f t="shared" si="174"/>
        <v/>
      </c>
      <c r="BI259" t="str">
        <f t="shared" si="175"/>
        <v/>
      </c>
      <c r="BJ259" t="str">
        <f t="shared" si="177"/>
        <v>};</v>
      </c>
    </row>
    <row r="260" spans="1:62" x14ac:dyDescent="0.25">
      <c r="A260">
        <v>1879094069</v>
      </c>
      <c r="B260">
        <v>202</v>
      </c>
      <c r="C260" t="s">
        <v>877</v>
      </c>
      <c r="D260" t="s">
        <v>30</v>
      </c>
      <c r="M260" t="s">
        <v>877</v>
      </c>
      <c r="O260">
        <v>500</v>
      </c>
      <c r="P260" t="s">
        <v>69</v>
      </c>
      <c r="Q260" t="s">
        <v>1081</v>
      </c>
      <c r="R260" t="s">
        <v>1080</v>
      </c>
      <c r="S260">
        <v>0</v>
      </c>
      <c r="X260" t="str">
        <f t="shared" si="178"/>
        <v>[259] = {["ID"] = 1879094069; }; -- The Unwise</v>
      </c>
      <c r="Y260" s="1" t="str">
        <f t="shared" si="147"/>
        <v>[259] = {["ID"] = 1879094069; ["SAVE_INDEX"] = 202; ["TYPE"] =  7;                       ["SUBTYPE"] =   0;                                   ["VXP"] =    0; ["LP"] =  0; ["REP"] =   500; ["FACTION"] =  4;                                        ["NAME"] = { ["EN"] = "The Unwise"; }; ["LORE"] = { ["EN"] = "You ate the cheese!"; }; ["SUMMARY"] = { ["EN"] = "Eat Barrow-brie"; }; ["TITLE"] = { ["EN"] = "The Unwise"; }; };</v>
      </c>
      <c r="Z260">
        <f t="shared" si="176"/>
        <v>259</v>
      </c>
      <c r="AA260" t="str">
        <f t="shared" si="148"/>
        <v>[259] = {</v>
      </c>
      <c r="AB260" t="str">
        <f t="shared" si="149"/>
        <v xml:space="preserve">["ID"] = 1879094069; </v>
      </c>
      <c r="AC260" t="str">
        <f t="shared" si="150"/>
        <v xml:space="preserve">["ID"] = 1879094069; </v>
      </c>
      <c r="AD260" t="str">
        <f t="shared" si="151"/>
        <v/>
      </c>
      <c r="AE260" t="str">
        <f t="shared" si="152"/>
        <v/>
      </c>
      <c r="AF260" s="1" t="str">
        <f t="shared" si="153"/>
        <v xml:space="preserve">["SAVE_INDEX"] = 202; </v>
      </c>
      <c r="AG260">
        <f>VLOOKUP(D260,Type!A$2:B$16,2,FALSE)</f>
        <v>7</v>
      </c>
      <c r="AH260" t="str">
        <f t="shared" si="154"/>
        <v xml:space="preserve">["TYPE"] =  7; </v>
      </c>
      <c r="AI260" t="str">
        <f t="shared" si="155"/>
        <v xml:space="preserve">                      </v>
      </c>
      <c r="AJ260" t="str">
        <f>IF(AND(F260="Class",NOT(ISBLANK(E260))),VLOOKUP(E260,Class!A$1:B$12,2,FALSE),"")</f>
        <v/>
      </c>
      <c r="AK260" t="str">
        <f>IF(AND(F260="Vocation",NOT(ISBLANK(E260))),VLOOKUP(E260,Vocation!A$1:B$8,2,FALSE),"")</f>
        <v/>
      </c>
      <c r="AL260" t="str">
        <f>IF(AND(F260="Race",NOT(ISBLANK(E260))),VLOOKUP(E260,Race!A$1:B$9,2,),"")</f>
        <v/>
      </c>
      <c r="AM260" t="str">
        <f t="shared" si="156"/>
        <v xml:space="preserve">  0</v>
      </c>
      <c r="AN260" t="str">
        <f t="shared" si="157"/>
        <v xml:space="preserve">["SUBTYPE"] =   0; </v>
      </c>
      <c r="AO260" t="str">
        <f>IF(NOT(ISBLANK(G260)),VLOOKUP(G260,Type!D$2:E$6,2,FALSE),"")</f>
        <v/>
      </c>
      <c r="AP260" t="str">
        <f t="shared" si="158"/>
        <v xml:space="preserve">            </v>
      </c>
      <c r="AQ260" t="str">
        <f t="shared" si="159"/>
        <v xml:space="preserve">                      </v>
      </c>
      <c r="AR260" t="str">
        <f t="shared" si="160"/>
        <v/>
      </c>
      <c r="AS260" t="str">
        <f t="shared" si="161"/>
        <v>0</v>
      </c>
      <c r="AT260" t="str">
        <f t="shared" si="162"/>
        <v xml:space="preserve">["VXP"] =    0; </v>
      </c>
      <c r="AU260" t="str">
        <f t="shared" si="163"/>
        <v>0</v>
      </c>
      <c r="AV260" t="str">
        <f t="shared" si="164"/>
        <v xml:space="preserve">["LP"] =  0; </v>
      </c>
      <c r="AW260" t="str">
        <f t="shared" si="165"/>
        <v>500</v>
      </c>
      <c r="AX260" t="str">
        <f t="shared" si="166"/>
        <v xml:space="preserve">["REP"] =   500; </v>
      </c>
      <c r="AY260">
        <f>IF(LEN(P260)&gt;0,VLOOKUP(P260,Faction!A$2:B$77,2,FALSE),1)</f>
        <v>4</v>
      </c>
      <c r="AZ260" t="str">
        <f t="shared" si="167"/>
        <v xml:space="preserve">["FACTION"] =  4; </v>
      </c>
      <c r="BA260" t="str">
        <f t="shared" si="179"/>
        <v/>
      </c>
      <c r="BB260" t="str">
        <f t="shared" si="168"/>
        <v xml:space="preserve">                     </v>
      </c>
      <c r="BC260" t="str">
        <f t="shared" si="169"/>
        <v xml:space="preserve">                  </v>
      </c>
      <c r="BD260" t="str">
        <f t="shared" si="170"/>
        <v xml:space="preserve">["NAME"] = { ["EN"] = "The Unwise"; }; </v>
      </c>
      <c r="BE260" t="str">
        <f t="shared" si="171"/>
        <v xml:space="preserve">["LORE"] = { ["EN"] = "You ate the cheese!"; }; </v>
      </c>
      <c r="BF260" t="str">
        <f t="shared" si="172"/>
        <v xml:space="preserve">["SUMMARY"] = { ["EN"] = "Eat Barrow-brie"; }; </v>
      </c>
      <c r="BG260" t="str">
        <f t="shared" si="173"/>
        <v xml:space="preserve">["TITLE"] = { ["EN"] = "The Unwise"; }; </v>
      </c>
      <c r="BH260" t="str">
        <f t="shared" si="174"/>
        <v/>
      </c>
      <c r="BI260" t="str">
        <f t="shared" si="175"/>
        <v/>
      </c>
      <c r="BJ260" t="str">
        <f t="shared" si="177"/>
        <v>};</v>
      </c>
    </row>
    <row r="261" spans="1:62" x14ac:dyDescent="0.25">
      <c r="A261">
        <v>1879303569</v>
      </c>
      <c r="B261">
        <v>204</v>
      </c>
      <c r="C261" t="s">
        <v>1114</v>
      </c>
      <c r="D261" t="s">
        <v>30</v>
      </c>
      <c r="Q261" t="s">
        <v>1115</v>
      </c>
      <c r="R261" t="s">
        <v>2164</v>
      </c>
      <c r="S261">
        <v>0</v>
      </c>
      <c r="T261">
        <v>5</v>
      </c>
      <c r="X261" t="str">
        <f t="shared" si="178"/>
        <v>[260] = {["ID"] = 1879303569; }; -- Deeds of Eriador</v>
      </c>
      <c r="Y261" s="1" t="str">
        <f t="shared" ref="Y261:Y324" si="180">CONCATENATE(AA261,AB261,AF261,AH261,AI261,AN261,AP261,AQ261,AR261,AT261,AV261,AX261,AZ261,BA261,BB261,BC261,BD261,BE261,BF261,BG261,BH261,BI261,BJ261)</f>
        <v>[260] = {["ID"] = 1879303569; ["SAVE_INDEX"] = 204; ["TYPE"] =  7;                       ["SUBTYPE"] =   0;                                   ["VXP"] =    0; ["LP"] =  0; ["REP"] =     0; ["FACTION"] =  1; ["MIN_LVL"] =   "5";                   ["NAME"] = { ["EN"] = "Deeds of Eriador"; }; ["LORE"] = { ["EN"] = "There is much to do while travelling through the lands of Eriador."; }; ["SUMMARY"] = { ["EN"] = "Complete the Deeds of Eriador."; }; };</v>
      </c>
      <c r="Z261">
        <f t="shared" si="176"/>
        <v>260</v>
      </c>
      <c r="AA261" t="str">
        <f t="shared" ref="AA261:AA324" si="181">CONCATENATE(REPT(" ",3-LEN(Z261)),"[",Z261,"] = {")</f>
        <v>[260] = {</v>
      </c>
      <c r="AB261" t="str">
        <f t="shared" ref="AB261:AB324" si="182">IF(LEN(A261)&gt;0,CONCATENATE("[""ID""] = ",A261,"; "),"                     ")</f>
        <v xml:space="preserve">["ID"] = 1879303569; </v>
      </c>
      <c r="AC261" t="str">
        <f t="shared" ref="AC261:AC324" si="183">IF(LEN(A261)&gt;0,CONCATENATE("[""ID""] = ",A261,"; "),"")</f>
        <v xml:space="preserve">["ID"] = 1879303569; </v>
      </c>
      <c r="AD261" t="str">
        <f t="shared" ref="AD261:AD324" si="184">IF(LEN(V261)&gt;0,CONCATENATE("[""CAT_ID""] = ",V261,"; "),"")</f>
        <v/>
      </c>
      <c r="AE261" t="str">
        <f t="shared" ref="AE261:AE324" si="185">IF(LEN(E261)&gt;0,CONCATENATE(" (",E261,")"),IF(LEN(J261)&gt;0,CONCATENATE(" (",J261,")"),""))</f>
        <v/>
      </c>
      <c r="AF261" s="1" t="str">
        <f t="shared" ref="AF261:AF324" si="186">IF(LEN(B261)&gt;0,CONCATENATE("[""SAVE_INDEX""] = ",REPT(" ",3-LEN(B261)),B261,"; "),"                      ")</f>
        <v xml:space="preserve">["SAVE_INDEX"] = 204; </v>
      </c>
      <c r="AG261">
        <f>VLOOKUP(D261,Type!A$2:B$16,2,FALSE)</f>
        <v>7</v>
      </c>
      <c r="AH261" t="str">
        <f t="shared" ref="AH261:AH324" si="187">CONCATENATE("[""TYPE""] = ",REPT(" ",2-LEN(AG261)),AG261,"; ")</f>
        <v xml:space="preserve">["TYPE"] =  7; </v>
      </c>
      <c r="AI261" t="str">
        <f t="shared" ref="AI261:AI324" si="188">IF(LEN(F261)&gt;0,CONCATENATE("[""CRV""] = ","""",F261,"""; ",REPT(" ",8-LEN(F261))),REPT(" ",22))</f>
        <v xml:space="preserve">                      </v>
      </c>
      <c r="AJ261" t="str">
        <f>IF(AND(F261="Class",NOT(ISBLANK(E261))),VLOOKUP(E261,Class!A$1:B$12,2,FALSE),"")</f>
        <v/>
      </c>
      <c r="AK261" t="str">
        <f>IF(AND(F261="Vocation",NOT(ISBLANK(E261))),VLOOKUP(E261,Vocation!A$1:B$8,2,FALSE),"")</f>
        <v/>
      </c>
      <c r="AL261" t="str">
        <f>IF(AND(F261="Race",NOT(ISBLANK(E261))),VLOOKUP(E261,Race!A$1:B$9,2,),"")</f>
        <v/>
      </c>
      <c r="AM261" t="str">
        <f t="shared" ref="AM261:AM324" si="189">IF(
  LEN(AJ261)=0,
  IF(
    LEN(AK261)=0,
    IF(
      LEN(AL261)=0,
      "  0",
      CONCATENATE(REPT(" ",3-LEN(AL261)),AL261)
    ),
    CONCATENATE(REPT(" ",3-LEN(AK261)),AK261)
  ),
  CONCATENATE(REPT(" ",3-LEN(AJ261)),AJ261)
)</f>
        <v xml:space="preserve">  0</v>
      </c>
      <c r="AN261" t="str">
        <f t="shared" ref="AN261:AN324" si="190">CONCATENATE("[""SUBTYPE""] = ",AM261,"; ")</f>
        <v xml:space="preserve">["SUBTYPE"] =   0; </v>
      </c>
      <c r="AO261" t="str">
        <f>IF(NOT(ISBLANK(G261)),VLOOKUP(G261,Type!D$2:E$6,2,FALSE),"")</f>
        <v/>
      </c>
      <c r="AP261" t="str">
        <f t="shared" ref="AP261:AP324" si="191">IF(NOT(ISBLANK(G261)),CONCATENATE("[""NA""] = ",AO261,"; "),"            ")</f>
        <v xml:space="preserve">            </v>
      </c>
      <c r="AQ261" t="str">
        <f t="shared" ref="AQ261:AQ324" si="192">IF(NOT(ISBLANK(I261)),"[""LEGENDARY""] = true; ","                      ")</f>
        <v xml:space="preserve">                      </v>
      </c>
      <c r="AR261" t="str">
        <f t="shared" ref="AR261:AR324" si="193">IF(LEN(J261)&gt;0,CONCATENATE("[""MOUNT""] = """,J261,"""; "),"")</f>
        <v/>
      </c>
      <c r="AS261" t="str">
        <f t="shared" ref="AS261:AS324" si="194">TEXT(L261,0)</f>
        <v>0</v>
      </c>
      <c r="AT261" t="str">
        <f t="shared" ref="AT261:AT324" si="195">CONCATENATE("[""VXP""] = ",REPT(" ",4-LEN(AS261)),TEXT(AS261,"0"),"; ")</f>
        <v xml:space="preserve">["VXP"] =    0; </v>
      </c>
      <c r="AU261" t="str">
        <f t="shared" ref="AU261:AU324" si="196">TEXT(N261,0)</f>
        <v>0</v>
      </c>
      <c r="AV261" t="str">
        <f t="shared" ref="AV261:AV324" si="197">CONCATENATE("[""LP""] = ",REPT(" ",2-LEN(AU261)),TEXT(AU261,"0"),"; ")</f>
        <v xml:space="preserve">["LP"] =  0; </v>
      </c>
      <c r="AW261" t="str">
        <f t="shared" ref="AW261:AW324" si="198">TEXT(O261,0)</f>
        <v>0</v>
      </c>
      <c r="AX261" t="str">
        <f t="shared" ref="AX261:AX324" si="199">CONCATENATE("[""REP""] = ",REPT(" ",5-LEN(AW261)),TEXT(AW261,"0"),"; ")</f>
        <v xml:space="preserve">["REP"] =     0; </v>
      </c>
      <c r="AY261">
        <f>IF(LEN(P261)&gt;0,VLOOKUP(P261,Faction!A$2:B$77,2,FALSE),1)</f>
        <v>1</v>
      </c>
      <c r="AZ261" t="str">
        <f t="shared" ref="AZ261:AZ324" si="200">CONCATENATE("[""FACTION""] = ",REPT(" ",2-LEN(AY261)),TEXT(AY261,"0"),"; ")</f>
        <v xml:space="preserve">["FACTION"] =  1; </v>
      </c>
      <c r="BA261" t="str">
        <f t="shared" si="179"/>
        <v/>
      </c>
      <c r="BB261" t="str">
        <f t="shared" ref="BB261:BB324" si="201">IF(LEN(T261)&gt;0,CONCATENATE("[""MIN_LVL""] = ",REPT(" ",3-LEN(T261)),"""",T261,"""; "),"                     ")</f>
        <v xml:space="preserve">["MIN_LVL"] =   "5"; </v>
      </c>
      <c r="BC261" t="str">
        <f t="shared" ref="BC261:BC324" si="202">IF(LEN(U261)&gt;0,CONCATENATE("[""MAX_LVL""] = ",REPT(" ",2-LEN(U261)),U261,"; "),"                  ")</f>
        <v xml:space="preserve">                  </v>
      </c>
      <c r="BD261" t="str">
        <f t="shared" ref="BD261:BD324" si="203">CONCATENATE("[""NAME""] = { [""EN""] = """,C261,"""; }; ")</f>
        <v xml:space="preserve">["NAME"] = { ["EN"] = "Deeds of Eriador"; }; </v>
      </c>
      <c r="BE261" t="str">
        <f t="shared" ref="BE261:BE324" si="204">IF(LEN(R261)&gt;0,CONCATENATE("[""LORE""] = { [""EN""] = """,R261,"""; }; "),"")</f>
        <v xml:space="preserve">["LORE"] = { ["EN"] = "There is much to do while travelling through the lands of Eriador."; }; </v>
      </c>
      <c r="BF261" t="str">
        <f t="shared" ref="BF261:BF324" si="205">IF(LEN(Q261)&gt;0,CONCATENATE("[""SUMMARY""] = { [""EN""] = """,Q261,"""; }; "),"")</f>
        <v xml:space="preserve">["SUMMARY"] = { ["EN"] = "Complete the Deeds of Eriador."; }; </v>
      </c>
      <c r="BG261" t="str">
        <f t="shared" ref="BG261:BG324" si="206">IF(LEN(M261)&gt;0,CONCATENATE("[""TITLE""] = { [""EN""] = """,M261,"""; }; "),"")</f>
        <v/>
      </c>
      <c r="BH261" t="str">
        <f t="shared" ref="BH261:BH324" si="207">IF(LEN(H261)&gt;0,CONCATENATE("[""NOTE""] = { [""EN""] = """,H261,"""; }; "),"")</f>
        <v/>
      </c>
      <c r="BI261" t="str">
        <f t="shared" ref="BI261:BI324" si="208">IF(LEN(K261)&gt;0,CONCATENATE("[""PAIRED""] = { ",K261, " }; "),"")</f>
        <v/>
      </c>
      <c r="BJ261" t="str">
        <f t="shared" si="177"/>
        <v>};</v>
      </c>
    </row>
    <row r="262" spans="1:62" x14ac:dyDescent="0.25">
      <c r="A262">
        <v>1879338183</v>
      </c>
      <c r="B262">
        <v>206</v>
      </c>
      <c r="C262" t="s">
        <v>1886</v>
      </c>
      <c r="D262" t="s">
        <v>26</v>
      </c>
      <c r="M262" t="s">
        <v>1652</v>
      </c>
      <c r="N262">
        <v>5</v>
      </c>
      <c r="O262">
        <v>700</v>
      </c>
      <c r="P262" t="s">
        <v>46</v>
      </c>
      <c r="Q262" t="s">
        <v>1653</v>
      </c>
      <c r="R262" t="s">
        <v>2165</v>
      </c>
      <c r="S262">
        <v>0</v>
      </c>
      <c r="T262">
        <v>15</v>
      </c>
      <c r="X262" t="str">
        <f t="shared" si="178"/>
        <v>[261] = {["ID"] = 1879338183; }; -- Quests in The Cape of Belfalas</v>
      </c>
      <c r="Y262" s="1" t="str">
        <f t="shared" si="180"/>
        <v>[261]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2">
        <f t="shared" si="176"/>
        <v>261</v>
      </c>
      <c r="AA262" t="str">
        <f t="shared" si="181"/>
        <v>[261] = {</v>
      </c>
      <c r="AB262" t="str">
        <f t="shared" si="182"/>
        <v xml:space="preserve">["ID"] = 1879338183; </v>
      </c>
      <c r="AC262" t="str">
        <f t="shared" si="183"/>
        <v xml:space="preserve">["ID"] = 1879338183; </v>
      </c>
      <c r="AD262" t="str">
        <f t="shared" si="184"/>
        <v/>
      </c>
      <c r="AE262" t="str">
        <f t="shared" si="185"/>
        <v/>
      </c>
      <c r="AF262" s="1" t="str">
        <f t="shared" si="186"/>
        <v xml:space="preserve">["SAVE_INDEX"] = 206; </v>
      </c>
      <c r="AG262">
        <f>VLOOKUP(D262,Type!A$2:B$16,2,FALSE)</f>
        <v>6</v>
      </c>
      <c r="AH262" t="str">
        <f t="shared" si="187"/>
        <v xml:space="preserve">["TYPE"] =  6; </v>
      </c>
      <c r="AI262" t="str">
        <f t="shared" si="188"/>
        <v xml:space="preserve">                      </v>
      </c>
      <c r="AJ262" t="str">
        <f>IF(AND(F262="Class",NOT(ISBLANK(E262))),VLOOKUP(E262,Class!A$1:B$12,2,FALSE),"")</f>
        <v/>
      </c>
      <c r="AK262" t="str">
        <f>IF(AND(F262="Vocation",NOT(ISBLANK(E262))),VLOOKUP(E262,Vocation!A$1:B$8,2,FALSE),"")</f>
        <v/>
      </c>
      <c r="AL262" t="str">
        <f>IF(AND(F262="Race",NOT(ISBLANK(E262))),VLOOKUP(E262,Race!A$1:B$9,2,),"")</f>
        <v/>
      </c>
      <c r="AM262" t="str">
        <f t="shared" si="189"/>
        <v xml:space="preserve">  0</v>
      </c>
      <c r="AN262" t="str">
        <f t="shared" si="190"/>
        <v xml:space="preserve">["SUBTYPE"] =   0; </v>
      </c>
      <c r="AO262" t="str">
        <f>IF(NOT(ISBLANK(G262)),VLOOKUP(G262,Type!D$2:E$6,2,FALSE),"")</f>
        <v/>
      </c>
      <c r="AP262" t="str">
        <f t="shared" si="191"/>
        <v xml:space="preserve">            </v>
      </c>
      <c r="AQ262" t="str">
        <f t="shared" si="192"/>
        <v xml:space="preserve">                      </v>
      </c>
      <c r="AR262" t="str">
        <f t="shared" si="193"/>
        <v/>
      </c>
      <c r="AS262" t="str">
        <f t="shared" si="194"/>
        <v>0</v>
      </c>
      <c r="AT262" t="str">
        <f t="shared" si="195"/>
        <v xml:space="preserve">["VXP"] =    0; </v>
      </c>
      <c r="AU262" t="str">
        <f t="shared" si="196"/>
        <v>5</v>
      </c>
      <c r="AV262" t="str">
        <f t="shared" si="197"/>
        <v xml:space="preserve">["LP"] =  5; </v>
      </c>
      <c r="AW262" t="str">
        <f t="shared" si="198"/>
        <v>700</v>
      </c>
      <c r="AX262" t="str">
        <f t="shared" si="199"/>
        <v xml:space="preserve">["REP"] =   700; </v>
      </c>
      <c r="AY262">
        <f>IF(LEN(P262)&gt;0,VLOOKUP(P262,Faction!A$2:B$77,2,FALSE),1)</f>
        <v>36</v>
      </c>
      <c r="AZ262" t="str">
        <f t="shared" si="200"/>
        <v xml:space="preserve">["FACTION"] = 36; </v>
      </c>
      <c r="BA262" t="str">
        <f t="shared" si="179"/>
        <v/>
      </c>
      <c r="BB262" t="str">
        <f t="shared" si="201"/>
        <v xml:space="preserve">["MIN_LVL"] =  "15"; </v>
      </c>
      <c r="BC262" t="str">
        <f t="shared" si="202"/>
        <v xml:space="preserve">                  </v>
      </c>
      <c r="BD262" t="str">
        <f t="shared" si="203"/>
        <v xml:space="preserve">["NAME"] = { ["EN"] = "Quests in The Cape of Belfalas"; }; </v>
      </c>
      <c r="BE262" t="str">
        <f t="shared" si="204"/>
        <v xml:space="preserve">["LORE"] = { ["EN"] = "Complete quests in the Cape of Belfalas."; }; </v>
      </c>
      <c r="BF262" t="str">
        <f t="shared" si="205"/>
        <v xml:space="preserve">["SUMMARY"] = { ["EN"] = "Complete 7 quests in the Cape of Belfalas"; }; </v>
      </c>
      <c r="BG262" t="str">
        <f t="shared" si="206"/>
        <v xml:space="preserve">["TITLE"] = { ["EN"] = "Beachcomber"; }; </v>
      </c>
      <c r="BH262" t="str">
        <f t="shared" si="207"/>
        <v/>
      </c>
      <c r="BI262" t="str">
        <f t="shared" si="208"/>
        <v/>
      </c>
      <c r="BJ262" t="str">
        <f t="shared" si="177"/>
        <v>};</v>
      </c>
    </row>
    <row r="263" spans="1:62" x14ac:dyDescent="0.25">
      <c r="A263">
        <v>1879321690</v>
      </c>
      <c r="B263">
        <v>208</v>
      </c>
      <c r="C263" t="s">
        <v>1676</v>
      </c>
      <c r="D263" t="s">
        <v>31</v>
      </c>
      <c r="L263">
        <v>2000</v>
      </c>
      <c r="M263" t="s">
        <v>3513</v>
      </c>
      <c r="N263">
        <v>10</v>
      </c>
      <c r="Q263" t="s">
        <v>1679</v>
      </c>
      <c r="R263" t="s">
        <v>1678</v>
      </c>
      <c r="S263">
        <v>0</v>
      </c>
      <c r="T263">
        <v>90</v>
      </c>
      <c r="X263" t="str">
        <f t="shared" si="178"/>
        <v>[262] = {["ID"] = 1879321690; }; -- Roving Threat-slayer (Final)</v>
      </c>
      <c r="Y263" s="1" t="str">
        <f t="shared" si="180"/>
        <v>[262]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3">
        <f t="shared" si="176"/>
        <v>262</v>
      </c>
      <c r="AA263" t="str">
        <f t="shared" si="181"/>
        <v>[262] = {</v>
      </c>
      <c r="AB263" t="str">
        <f t="shared" si="182"/>
        <v xml:space="preserve">["ID"] = 1879321690; </v>
      </c>
      <c r="AC263" t="str">
        <f t="shared" si="183"/>
        <v xml:space="preserve">["ID"] = 1879321690; </v>
      </c>
      <c r="AD263" t="str">
        <f t="shared" si="184"/>
        <v/>
      </c>
      <c r="AE263" t="str">
        <f t="shared" si="185"/>
        <v/>
      </c>
      <c r="AF263" s="1" t="str">
        <f t="shared" si="186"/>
        <v xml:space="preserve">["SAVE_INDEX"] = 208; </v>
      </c>
      <c r="AG263">
        <f>VLOOKUP(D263,Type!A$2:B$16,2,FALSE)</f>
        <v>4</v>
      </c>
      <c r="AH263" t="str">
        <f t="shared" si="187"/>
        <v xml:space="preserve">["TYPE"] =  4; </v>
      </c>
      <c r="AI263" t="str">
        <f t="shared" si="188"/>
        <v xml:space="preserve">                      </v>
      </c>
      <c r="AJ263" t="str">
        <f>IF(AND(F263="Class",NOT(ISBLANK(E263))),VLOOKUP(E263,Class!A$1:B$12,2,FALSE),"")</f>
        <v/>
      </c>
      <c r="AK263" t="str">
        <f>IF(AND(F263="Vocation",NOT(ISBLANK(E263))),VLOOKUP(E263,Vocation!A$1:B$8,2,FALSE),"")</f>
        <v/>
      </c>
      <c r="AL263" t="str">
        <f>IF(AND(F263="Race",NOT(ISBLANK(E263))),VLOOKUP(E263,Race!A$1:B$9,2,),"")</f>
        <v/>
      </c>
      <c r="AM263" t="str">
        <f t="shared" si="189"/>
        <v xml:space="preserve">  0</v>
      </c>
      <c r="AN263" t="str">
        <f t="shared" si="190"/>
        <v xml:space="preserve">["SUBTYPE"] =   0; </v>
      </c>
      <c r="AO263" t="str">
        <f>IF(NOT(ISBLANK(G263)),VLOOKUP(G263,Type!D$2:E$6,2,FALSE),"")</f>
        <v/>
      </c>
      <c r="AP263" t="str">
        <f t="shared" si="191"/>
        <v xml:space="preserve">            </v>
      </c>
      <c r="AQ263" t="str">
        <f t="shared" si="192"/>
        <v xml:space="preserve">                      </v>
      </c>
      <c r="AR263" t="str">
        <f t="shared" si="193"/>
        <v/>
      </c>
      <c r="AS263" t="str">
        <f t="shared" si="194"/>
        <v>2000</v>
      </c>
      <c r="AT263" t="str">
        <f t="shared" si="195"/>
        <v xml:space="preserve">["VXP"] = 2000; </v>
      </c>
      <c r="AU263" t="str">
        <f t="shared" si="196"/>
        <v>10</v>
      </c>
      <c r="AV263" t="str">
        <f t="shared" si="197"/>
        <v xml:space="preserve">["LP"] = 10; </v>
      </c>
      <c r="AW263" t="str">
        <f t="shared" si="198"/>
        <v>0</v>
      </c>
      <c r="AX263" t="str">
        <f t="shared" si="199"/>
        <v xml:space="preserve">["REP"] =     0; </v>
      </c>
      <c r="AY263">
        <f>IF(LEN(P263)&gt;0,VLOOKUP(P263,Faction!A$2:B$77,2,FALSE),1)</f>
        <v>1</v>
      </c>
      <c r="AZ263" t="str">
        <f t="shared" si="200"/>
        <v xml:space="preserve">["FACTION"] =  1; </v>
      </c>
      <c r="BA263" t="str">
        <f t="shared" si="179"/>
        <v/>
      </c>
      <c r="BB263" t="str">
        <f t="shared" si="201"/>
        <v xml:space="preserve">["MIN_LVL"] =  "90"; </v>
      </c>
      <c r="BC263" t="str">
        <f t="shared" si="202"/>
        <v xml:space="preserve">                  </v>
      </c>
      <c r="BD263" t="str">
        <f t="shared" si="203"/>
        <v xml:space="preserve">["NAME"] = { ["EN"] = "Roving Threat-slayer (Final)"; }; </v>
      </c>
      <c r="BE263" t="str">
        <f t="shared" si="204"/>
        <v xml:space="preserve">["LORE"] = { ["EN"] = "Defeat many Roving Threats throughout Middle-earth."; }; </v>
      </c>
      <c r="BF263" t="str">
        <f t="shared" si="205"/>
        <v xml:space="preserve">["SUMMARY"] = { ["EN"] = "Defeat 300 Roving Threats throughout Middle-earth."; }; </v>
      </c>
      <c r="BG263" t="str">
        <f t="shared" si="206"/>
        <v xml:space="preserve">["TITLE"] = { ["EN"] = "Roving Defender of Middle-earth"; }; </v>
      </c>
      <c r="BH263" t="str">
        <f t="shared" si="207"/>
        <v/>
      </c>
      <c r="BI263" t="str">
        <f t="shared" si="208"/>
        <v/>
      </c>
      <c r="BJ263" t="str">
        <f t="shared" si="177"/>
        <v>};</v>
      </c>
    </row>
    <row r="264" spans="1:62" x14ac:dyDescent="0.25">
      <c r="A264">
        <v>1879321691</v>
      </c>
      <c r="B264">
        <v>209</v>
      </c>
      <c r="C264" t="s">
        <v>1677</v>
      </c>
      <c r="D264" t="s">
        <v>31</v>
      </c>
      <c r="L264">
        <v>2000</v>
      </c>
      <c r="N264">
        <v>10</v>
      </c>
      <c r="Q264" t="s">
        <v>1680</v>
      </c>
      <c r="R264" t="s">
        <v>1678</v>
      </c>
      <c r="S264">
        <v>1</v>
      </c>
      <c r="T264">
        <v>90</v>
      </c>
      <c r="X264" t="str">
        <f t="shared" si="178"/>
        <v>[263] = {["ID"] = 1879321691; ["TIER"] = 1; }; -- Roving Threat-slayer (Advanced)</v>
      </c>
      <c r="Y264" s="1" t="str">
        <f t="shared" si="180"/>
        <v>[263]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4">
        <f t="shared" si="176"/>
        <v>263</v>
      </c>
      <c r="AA264" t="str">
        <f t="shared" si="181"/>
        <v>[263] = {</v>
      </c>
      <c r="AB264" t="str">
        <f t="shared" si="182"/>
        <v xml:space="preserve">["ID"] = 1879321691; </v>
      </c>
      <c r="AC264" t="str">
        <f t="shared" si="183"/>
        <v xml:space="preserve">["ID"] = 1879321691; </v>
      </c>
      <c r="AD264" t="str">
        <f t="shared" si="184"/>
        <v/>
      </c>
      <c r="AE264" t="str">
        <f t="shared" si="185"/>
        <v/>
      </c>
      <c r="AF264" s="1" t="str">
        <f t="shared" si="186"/>
        <v xml:space="preserve">["SAVE_INDEX"] = 209; </v>
      </c>
      <c r="AG264">
        <f>VLOOKUP(D264,Type!A$2:B$16,2,FALSE)</f>
        <v>4</v>
      </c>
      <c r="AH264" t="str">
        <f t="shared" si="187"/>
        <v xml:space="preserve">["TYPE"] =  4; </v>
      </c>
      <c r="AI264" t="str">
        <f t="shared" si="188"/>
        <v xml:space="preserve">                      </v>
      </c>
      <c r="AJ264" t="str">
        <f>IF(AND(F264="Class",NOT(ISBLANK(E264))),VLOOKUP(E264,Class!A$1:B$12,2,FALSE),"")</f>
        <v/>
      </c>
      <c r="AK264" t="str">
        <f>IF(AND(F264="Vocation",NOT(ISBLANK(E264))),VLOOKUP(E264,Vocation!A$1:B$8,2,FALSE),"")</f>
        <v/>
      </c>
      <c r="AL264" t="str">
        <f>IF(AND(F264="Race",NOT(ISBLANK(E264))),VLOOKUP(E264,Race!A$1:B$9,2,),"")</f>
        <v/>
      </c>
      <c r="AM264" t="str">
        <f t="shared" si="189"/>
        <v xml:space="preserve">  0</v>
      </c>
      <c r="AN264" t="str">
        <f t="shared" si="190"/>
        <v xml:space="preserve">["SUBTYPE"] =   0; </v>
      </c>
      <c r="AO264" t="str">
        <f>IF(NOT(ISBLANK(G264)),VLOOKUP(G264,Type!D$2:E$6,2,FALSE),"")</f>
        <v/>
      </c>
      <c r="AP264" t="str">
        <f t="shared" si="191"/>
        <v xml:space="preserve">            </v>
      </c>
      <c r="AQ264" t="str">
        <f t="shared" si="192"/>
        <v xml:space="preserve">                      </v>
      </c>
      <c r="AR264" t="str">
        <f t="shared" si="193"/>
        <v/>
      </c>
      <c r="AS264" t="str">
        <f t="shared" si="194"/>
        <v>2000</v>
      </c>
      <c r="AT264" t="str">
        <f t="shared" si="195"/>
        <v xml:space="preserve">["VXP"] = 2000; </v>
      </c>
      <c r="AU264" t="str">
        <f t="shared" si="196"/>
        <v>10</v>
      </c>
      <c r="AV264" t="str">
        <f t="shared" si="197"/>
        <v xml:space="preserve">["LP"] = 10; </v>
      </c>
      <c r="AW264" t="str">
        <f t="shared" si="198"/>
        <v>0</v>
      </c>
      <c r="AX264" t="str">
        <f t="shared" si="199"/>
        <v xml:space="preserve">["REP"] =     0; </v>
      </c>
      <c r="AY264">
        <f>IF(LEN(P264)&gt;0,VLOOKUP(P264,Faction!A$2:B$77,2,FALSE),1)</f>
        <v>1</v>
      </c>
      <c r="AZ264" t="str">
        <f t="shared" si="200"/>
        <v xml:space="preserve">["FACTION"] =  1; </v>
      </c>
      <c r="BA264" t="str">
        <f t="shared" si="179"/>
        <v xml:space="preserve">["TIER"] = 1; </v>
      </c>
      <c r="BB264" t="str">
        <f t="shared" si="201"/>
        <v xml:space="preserve">["MIN_LVL"] =  "90"; </v>
      </c>
      <c r="BC264" t="str">
        <f t="shared" si="202"/>
        <v xml:space="preserve">                  </v>
      </c>
      <c r="BD264" t="str">
        <f t="shared" si="203"/>
        <v xml:space="preserve">["NAME"] = { ["EN"] = "Roving Threat-slayer (Advanced)"; }; </v>
      </c>
      <c r="BE264" t="str">
        <f t="shared" si="204"/>
        <v xml:space="preserve">["LORE"] = { ["EN"] = "Defeat many Roving Threats throughout Middle-earth."; }; </v>
      </c>
      <c r="BF264" t="str">
        <f t="shared" si="205"/>
        <v xml:space="preserve">["SUMMARY"] = { ["EN"] = "Defeat 150 Roving Threats throughout Middle-earth."; }; </v>
      </c>
      <c r="BG264" t="str">
        <f t="shared" si="206"/>
        <v/>
      </c>
      <c r="BH264" t="str">
        <f t="shared" si="207"/>
        <v/>
      </c>
      <c r="BI264" t="str">
        <f t="shared" si="208"/>
        <v/>
      </c>
      <c r="BJ264" t="str">
        <f t="shared" si="177"/>
        <v>};</v>
      </c>
    </row>
    <row r="265" spans="1:62" x14ac:dyDescent="0.25">
      <c r="A265">
        <v>1879321692</v>
      </c>
      <c r="B265">
        <v>210</v>
      </c>
      <c r="C265" t="s">
        <v>1675</v>
      </c>
      <c r="D265" t="s">
        <v>31</v>
      </c>
      <c r="L265">
        <v>2000</v>
      </c>
      <c r="N265">
        <v>5</v>
      </c>
      <c r="Q265" t="s">
        <v>1681</v>
      </c>
      <c r="R265" t="s">
        <v>1678</v>
      </c>
      <c r="S265">
        <v>2</v>
      </c>
      <c r="T265">
        <v>90</v>
      </c>
      <c r="X265" t="str">
        <f t="shared" si="178"/>
        <v>[264] = {["ID"] = 1879321692; ["TIER"] = 2; }; -- Roving Threat-slayer</v>
      </c>
      <c r="Y265" s="1" t="str">
        <f t="shared" si="180"/>
        <v>[264] = {["ID"] = 1879321692; ["SAVE_INDEX"] = 210; ["TYPE"] =  4;                       ["SUBTYPE"] =   0;                                   ["VXP"] = 2000; ["LP"] =  5; ["REP"] =     0; ["FACTION"] =  1; ["TIER"] = 2; ["MIN_LVL"] =  "90";                   ["NAME"] = { ["EN"] = "Roving Threat-slayer"; }; ["LORE"] = { ["EN"] = "Defeat many Roving Threats throughout Middle-earth."; }; ["SUMMARY"] = { ["EN"] = "Defeat 50 Roving Threats throughout Middle-earth."; }; };</v>
      </c>
      <c r="Z265">
        <f t="shared" si="176"/>
        <v>264</v>
      </c>
      <c r="AA265" t="str">
        <f t="shared" si="181"/>
        <v>[264] = {</v>
      </c>
      <c r="AB265" t="str">
        <f t="shared" si="182"/>
        <v xml:space="preserve">["ID"] = 1879321692; </v>
      </c>
      <c r="AC265" t="str">
        <f t="shared" si="183"/>
        <v xml:space="preserve">["ID"] = 1879321692; </v>
      </c>
      <c r="AD265" t="str">
        <f t="shared" si="184"/>
        <v/>
      </c>
      <c r="AE265" t="str">
        <f t="shared" si="185"/>
        <v/>
      </c>
      <c r="AF265" s="1" t="str">
        <f t="shared" si="186"/>
        <v xml:space="preserve">["SAVE_INDEX"] = 210; </v>
      </c>
      <c r="AG265">
        <f>VLOOKUP(D265,Type!A$2:B$16,2,FALSE)</f>
        <v>4</v>
      </c>
      <c r="AH265" t="str">
        <f t="shared" si="187"/>
        <v xml:space="preserve">["TYPE"] =  4; </v>
      </c>
      <c r="AI265" t="str">
        <f t="shared" si="188"/>
        <v xml:space="preserve">                      </v>
      </c>
      <c r="AJ265" t="str">
        <f>IF(AND(F265="Class",NOT(ISBLANK(E265))),VLOOKUP(E265,Class!A$1:B$12,2,FALSE),"")</f>
        <v/>
      </c>
      <c r="AK265" t="str">
        <f>IF(AND(F265="Vocation",NOT(ISBLANK(E265))),VLOOKUP(E265,Vocation!A$1:B$8,2,FALSE),"")</f>
        <v/>
      </c>
      <c r="AL265" t="str">
        <f>IF(AND(F265="Race",NOT(ISBLANK(E265))),VLOOKUP(E265,Race!A$1:B$9,2,),"")</f>
        <v/>
      </c>
      <c r="AM265" t="str">
        <f t="shared" si="189"/>
        <v xml:space="preserve">  0</v>
      </c>
      <c r="AN265" t="str">
        <f t="shared" si="190"/>
        <v xml:space="preserve">["SUBTYPE"] =   0; </v>
      </c>
      <c r="AO265" t="str">
        <f>IF(NOT(ISBLANK(G265)),VLOOKUP(G265,Type!D$2:E$6,2,FALSE),"")</f>
        <v/>
      </c>
      <c r="AP265" t="str">
        <f t="shared" si="191"/>
        <v xml:space="preserve">            </v>
      </c>
      <c r="AQ265" t="str">
        <f t="shared" si="192"/>
        <v xml:space="preserve">                      </v>
      </c>
      <c r="AR265" t="str">
        <f t="shared" si="193"/>
        <v/>
      </c>
      <c r="AS265" t="str">
        <f t="shared" si="194"/>
        <v>2000</v>
      </c>
      <c r="AT265" t="str">
        <f t="shared" si="195"/>
        <v xml:space="preserve">["VXP"] = 2000; </v>
      </c>
      <c r="AU265" t="str">
        <f t="shared" si="196"/>
        <v>5</v>
      </c>
      <c r="AV265" t="str">
        <f t="shared" si="197"/>
        <v xml:space="preserve">["LP"] =  5; </v>
      </c>
      <c r="AW265" t="str">
        <f t="shared" si="198"/>
        <v>0</v>
      </c>
      <c r="AX265" t="str">
        <f t="shared" si="199"/>
        <v xml:space="preserve">["REP"] =     0; </v>
      </c>
      <c r="AY265">
        <f>IF(LEN(P265)&gt;0,VLOOKUP(P265,Faction!A$2:B$77,2,FALSE),1)</f>
        <v>1</v>
      </c>
      <c r="AZ265" t="str">
        <f t="shared" si="200"/>
        <v xml:space="preserve">["FACTION"] =  1; </v>
      </c>
      <c r="BA265" t="str">
        <f t="shared" si="179"/>
        <v xml:space="preserve">["TIER"] = 2; </v>
      </c>
      <c r="BB265" t="str">
        <f t="shared" si="201"/>
        <v xml:space="preserve">["MIN_LVL"] =  "90"; </v>
      </c>
      <c r="BC265" t="str">
        <f t="shared" si="202"/>
        <v xml:space="preserve">                  </v>
      </c>
      <c r="BD265" t="str">
        <f t="shared" si="203"/>
        <v xml:space="preserve">["NAME"] = { ["EN"] = "Roving Threat-slayer"; }; </v>
      </c>
      <c r="BE265" t="str">
        <f t="shared" si="204"/>
        <v xml:space="preserve">["LORE"] = { ["EN"] = "Defeat many Roving Threats throughout Middle-earth."; }; </v>
      </c>
      <c r="BF265" t="str">
        <f t="shared" si="205"/>
        <v xml:space="preserve">["SUMMARY"] = { ["EN"] = "Defeat 50 Roving Threats throughout Middle-earth."; }; </v>
      </c>
      <c r="BG265" t="str">
        <f t="shared" si="206"/>
        <v/>
      </c>
      <c r="BH265" t="str">
        <f t="shared" si="207"/>
        <v/>
      </c>
      <c r="BI265" t="str">
        <f t="shared" si="208"/>
        <v/>
      </c>
      <c r="BJ265" t="str">
        <f t="shared" si="177"/>
        <v>};</v>
      </c>
    </row>
    <row r="266" spans="1:62" x14ac:dyDescent="0.25">
      <c r="C266" s="2" t="s">
        <v>1117</v>
      </c>
      <c r="D266" s="2" t="s">
        <v>812</v>
      </c>
      <c r="V266">
        <v>150</v>
      </c>
      <c r="X266" t="str">
        <f t="shared" si="178"/>
        <v>[265] = {["CAT_ID"] = 150; }; -- Collection</v>
      </c>
      <c r="Y266" s="1" t="str">
        <f t="shared" si="180"/>
        <v>[265] = {                                           ["TYPE"] = 14;                       ["SUBTYPE"] =   0;                                   ["VXP"] =    0; ["LP"] =  0; ["REP"] =     0; ["FACTION"] =  1;                                        ["NAME"] = { ["EN"] = "Collection"; }; };</v>
      </c>
      <c r="Z266">
        <f t="shared" si="176"/>
        <v>265</v>
      </c>
      <c r="AA266" t="str">
        <f t="shared" si="181"/>
        <v>[265] = {</v>
      </c>
      <c r="AB266" t="str">
        <f t="shared" si="182"/>
        <v xml:space="preserve">                     </v>
      </c>
      <c r="AC266" t="str">
        <f t="shared" si="183"/>
        <v/>
      </c>
      <c r="AD266" t="str">
        <f t="shared" si="184"/>
        <v xml:space="preserve">["CAT_ID"] = 150; </v>
      </c>
      <c r="AE266" t="str">
        <f t="shared" si="185"/>
        <v/>
      </c>
      <c r="AF266" s="1" t="str">
        <f t="shared" si="186"/>
        <v xml:space="preserve">                      </v>
      </c>
      <c r="AG266">
        <f>VLOOKUP(D266,Type!A$2:B$16,2,FALSE)</f>
        <v>14</v>
      </c>
      <c r="AH266" t="str">
        <f t="shared" si="187"/>
        <v xml:space="preserve">["TYPE"] = 14; </v>
      </c>
      <c r="AI266" t="str">
        <f t="shared" si="188"/>
        <v xml:space="preserve">                      </v>
      </c>
      <c r="AJ266" t="str">
        <f>IF(AND(F266="Class",NOT(ISBLANK(E266))),VLOOKUP(E266,Class!A$1:B$12,2,FALSE),"")</f>
        <v/>
      </c>
      <c r="AK266" t="str">
        <f>IF(AND(F266="Vocation",NOT(ISBLANK(E266))),VLOOKUP(E266,Vocation!A$1:B$8,2,FALSE),"")</f>
        <v/>
      </c>
      <c r="AL266" t="str">
        <f>IF(AND(F266="Race",NOT(ISBLANK(E266))),VLOOKUP(E266,Race!A$1:B$9,2,),"")</f>
        <v/>
      </c>
      <c r="AM266" t="str">
        <f t="shared" si="189"/>
        <v xml:space="preserve">  0</v>
      </c>
      <c r="AN266" t="str">
        <f t="shared" si="190"/>
        <v xml:space="preserve">["SUBTYPE"] =   0; </v>
      </c>
      <c r="AO266" t="str">
        <f>IF(NOT(ISBLANK(G266)),VLOOKUP(G266,Type!D$2:E$6,2,FALSE),"")</f>
        <v/>
      </c>
      <c r="AP266" t="str">
        <f t="shared" si="191"/>
        <v xml:space="preserve">            </v>
      </c>
      <c r="AQ266" t="str">
        <f t="shared" si="192"/>
        <v xml:space="preserve">                      </v>
      </c>
      <c r="AR266" t="str">
        <f t="shared" si="193"/>
        <v/>
      </c>
      <c r="AS266" t="str">
        <f t="shared" si="194"/>
        <v>0</v>
      </c>
      <c r="AT266" t="str">
        <f t="shared" si="195"/>
        <v xml:space="preserve">["VXP"] =    0; </v>
      </c>
      <c r="AU266" t="str">
        <f t="shared" si="196"/>
        <v>0</v>
      </c>
      <c r="AV266" t="str">
        <f t="shared" si="197"/>
        <v xml:space="preserve">["LP"] =  0; </v>
      </c>
      <c r="AW266" t="str">
        <f t="shared" si="198"/>
        <v>0</v>
      </c>
      <c r="AX266" t="str">
        <f t="shared" si="199"/>
        <v xml:space="preserve">["REP"] =     0; </v>
      </c>
      <c r="AY266">
        <f>IF(LEN(P266)&gt;0,VLOOKUP(P266,Faction!A$2:B$77,2,FALSE),1)</f>
        <v>1</v>
      </c>
      <c r="AZ266" t="str">
        <f t="shared" si="200"/>
        <v xml:space="preserve">["FACTION"] =  1; </v>
      </c>
      <c r="BA266" t="str">
        <f t="shared" si="179"/>
        <v/>
      </c>
      <c r="BB266" t="str">
        <f t="shared" si="201"/>
        <v xml:space="preserve">                     </v>
      </c>
      <c r="BC266" t="str">
        <f t="shared" si="202"/>
        <v xml:space="preserve">                  </v>
      </c>
      <c r="BD266" t="str">
        <f t="shared" si="203"/>
        <v xml:space="preserve">["NAME"] = { ["EN"] = "Collection"; }; </v>
      </c>
      <c r="BE266" t="str">
        <f t="shared" si="204"/>
        <v/>
      </c>
      <c r="BF266" t="str">
        <f t="shared" si="205"/>
        <v/>
      </c>
      <c r="BG266" t="str">
        <f t="shared" si="206"/>
        <v/>
      </c>
      <c r="BH266" t="str">
        <f t="shared" si="207"/>
        <v/>
      </c>
      <c r="BI266" t="str">
        <f t="shared" si="208"/>
        <v/>
      </c>
      <c r="BJ266" t="str">
        <f t="shared" si="177"/>
        <v>};</v>
      </c>
    </row>
    <row r="267" spans="1:62" x14ac:dyDescent="0.25">
      <c r="A267">
        <v>1879344719</v>
      </c>
      <c r="B267">
        <v>217</v>
      </c>
      <c r="C267" t="s">
        <v>1789</v>
      </c>
      <c r="D267" t="s">
        <v>30</v>
      </c>
      <c r="M267" t="s">
        <v>1790</v>
      </c>
      <c r="Q267" t="s">
        <v>1791</v>
      </c>
      <c r="R267" t="s">
        <v>1792</v>
      </c>
      <c r="S267">
        <v>0</v>
      </c>
      <c r="X267" t="str">
        <f t="shared" si="178"/>
        <v>[266] = {["ID"] = 1879344719; }; -- Best Bugs</v>
      </c>
      <c r="Y267" s="1" t="str">
        <f t="shared" si="180"/>
        <v>[266] = {["ID"] = 1879344719; ["SAVE_INDEX"] = 217; ["TYPE"] =  7;                       ["SUBTYPE"] =   0;                                   ["VXP"] =    0; ["LP"] =  0; ["REP"] =     0; ["FACTION"] =  1;                                        ["NAME"] = { ["EN"] = "Best Bugs"; }; ["LORE"] = { ["EN"] = "You have acquired a lovely collection of beetles."; }; ["SUMMARY"] = { ["EN"] = "Call 3 different beetles to your side"; }; ["TITLE"] = { ["EN"] = "Beetle Bumpkin"; }; };</v>
      </c>
      <c r="Z267">
        <f t="shared" si="176"/>
        <v>266</v>
      </c>
      <c r="AA267" t="str">
        <f t="shared" si="181"/>
        <v>[266] = {</v>
      </c>
      <c r="AB267" t="str">
        <f t="shared" si="182"/>
        <v xml:space="preserve">["ID"] = 1879344719; </v>
      </c>
      <c r="AC267" t="str">
        <f t="shared" si="183"/>
        <v xml:space="preserve">["ID"] = 1879344719; </v>
      </c>
      <c r="AD267" t="str">
        <f t="shared" si="184"/>
        <v/>
      </c>
      <c r="AE267" t="str">
        <f t="shared" si="185"/>
        <v/>
      </c>
      <c r="AF267" s="1" t="str">
        <f t="shared" si="186"/>
        <v xml:space="preserve">["SAVE_INDEX"] = 217; </v>
      </c>
      <c r="AG267">
        <f>VLOOKUP(D267,Type!A$2:B$16,2,FALSE)</f>
        <v>7</v>
      </c>
      <c r="AH267" t="str">
        <f t="shared" si="187"/>
        <v xml:space="preserve">["TYPE"] =  7; </v>
      </c>
      <c r="AI267" t="str">
        <f t="shared" si="188"/>
        <v xml:space="preserve">                      </v>
      </c>
      <c r="AJ267" t="str">
        <f>IF(AND(F267="Class",NOT(ISBLANK(E267))),VLOOKUP(E267,Class!A$1:B$12,2,FALSE),"")</f>
        <v/>
      </c>
      <c r="AK267" t="str">
        <f>IF(AND(F267="Vocation",NOT(ISBLANK(E267))),VLOOKUP(E267,Vocation!A$1:B$8,2,FALSE),"")</f>
        <v/>
      </c>
      <c r="AL267" t="str">
        <f>IF(AND(F267="Race",NOT(ISBLANK(E267))),VLOOKUP(E267,Race!A$1:B$9,2,),"")</f>
        <v/>
      </c>
      <c r="AM267" t="str">
        <f t="shared" si="189"/>
        <v xml:space="preserve">  0</v>
      </c>
      <c r="AN267" t="str">
        <f t="shared" si="190"/>
        <v xml:space="preserve">["SUBTYPE"] =   0; </v>
      </c>
      <c r="AO267" t="str">
        <f>IF(NOT(ISBLANK(G267)),VLOOKUP(G267,Type!D$2:E$6,2,FALSE),"")</f>
        <v/>
      </c>
      <c r="AP267" t="str">
        <f t="shared" si="191"/>
        <v xml:space="preserve">            </v>
      </c>
      <c r="AQ267" t="str">
        <f t="shared" si="192"/>
        <v xml:space="preserve">                      </v>
      </c>
      <c r="AR267" t="str">
        <f t="shared" si="193"/>
        <v/>
      </c>
      <c r="AS267" t="str">
        <f t="shared" si="194"/>
        <v>0</v>
      </c>
      <c r="AT267" t="str">
        <f t="shared" si="195"/>
        <v xml:space="preserve">["VXP"] =    0; </v>
      </c>
      <c r="AU267" t="str">
        <f t="shared" si="196"/>
        <v>0</v>
      </c>
      <c r="AV267" t="str">
        <f t="shared" si="197"/>
        <v xml:space="preserve">["LP"] =  0; </v>
      </c>
      <c r="AW267" t="str">
        <f t="shared" si="198"/>
        <v>0</v>
      </c>
      <c r="AX267" t="str">
        <f t="shared" si="199"/>
        <v xml:space="preserve">["REP"] =     0; </v>
      </c>
      <c r="AY267">
        <f>IF(LEN(P267)&gt;0,VLOOKUP(P267,Faction!A$2:B$77,2,FALSE),1)</f>
        <v>1</v>
      </c>
      <c r="AZ267" t="str">
        <f t="shared" si="200"/>
        <v xml:space="preserve">["FACTION"] =  1; </v>
      </c>
      <c r="BA267" t="str">
        <f t="shared" si="179"/>
        <v/>
      </c>
      <c r="BB267" t="str">
        <f t="shared" si="201"/>
        <v xml:space="preserve">                     </v>
      </c>
      <c r="BC267" t="str">
        <f t="shared" si="202"/>
        <v xml:space="preserve">                  </v>
      </c>
      <c r="BD267" t="str">
        <f t="shared" si="203"/>
        <v xml:space="preserve">["NAME"] = { ["EN"] = "Best Bugs"; }; </v>
      </c>
      <c r="BE267" t="str">
        <f t="shared" si="204"/>
        <v xml:space="preserve">["LORE"] = { ["EN"] = "You have acquired a lovely collection of beetles."; }; </v>
      </c>
      <c r="BF267" t="str">
        <f t="shared" si="205"/>
        <v xml:space="preserve">["SUMMARY"] = { ["EN"] = "Call 3 different beetles to your side"; }; </v>
      </c>
      <c r="BG267" t="str">
        <f t="shared" si="206"/>
        <v xml:space="preserve">["TITLE"] = { ["EN"] = "Beetle Bumpkin"; }; </v>
      </c>
      <c r="BH267" t="str">
        <f t="shared" si="207"/>
        <v/>
      </c>
      <c r="BI267" t="str">
        <f t="shared" si="208"/>
        <v/>
      </c>
      <c r="BJ267" t="str">
        <f t="shared" si="177"/>
        <v>};</v>
      </c>
    </row>
    <row r="268" spans="1:62" x14ac:dyDescent="0.25">
      <c r="A268">
        <v>1879344716</v>
      </c>
      <c r="B268">
        <v>218</v>
      </c>
      <c r="C268" t="s">
        <v>1793</v>
      </c>
      <c r="D268" t="s">
        <v>30</v>
      </c>
      <c r="M268" t="s">
        <v>1794</v>
      </c>
      <c r="Q268" t="s">
        <v>1795</v>
      </c>
      <c r="R268" t="s">
        <v>2166</v>
      </c>
      <c r="S268">
        <v>0</v>
      </c>
      <c r="X268" t="str">
        <f t="shared" si="178"/>
        <v>[267] = {["ID"] = 1879344716; }; -- Fetching Foxes</v>
      </c>
      <c r="Y268" s="1" t="str">
        <f t="shared" si="180"/>
        <v>[267] = {["ID"] = 1879344716; ["SAVE_INDEX"] = 218; ["TYPE"] =  7;                       ["SUBTYPE"] =   0;                                   ["VXP"] =    0; ["LP"] =  0; ["REP"] =     0; ["FACTION"] =  1;                                        ["NAME"] = { ["EN"] = "Fetching Foxes"; }; ["LORE"] = { ["EN"] = "Collect a skulk of foxes."; }; ["SUMMARY"] = { ["EN"] = "Call 4 different foxes to your side"; }; ["TITLE"] = { ["EN"] = "the Sly and Cunning"; }; };</v>
      </c>
      <c r="Z268">
        <f t="shared" si="176"/>
        <v>267</v>
      </c>
      <c r="AA268" t="str">
        <f t="shared" si="181"/>
        <v>[267] = {</v>
      </c>
      <c r="AB268" t="str">
        <f t="shared" si="182"/>
        <v xml:space="preserve">["ID"] = 1879344716; </v>
      </c>
      <c r="AC268" t="str">
        <f t="shared" si="183"/>
        <v xml:space="preserve">["ID"] = 1879344716; </v>
      </c>
      <c r="AD268" t="str">
        <f t="shared" si="184"/>
        <v/>
      </c>
      <c r="AE268" t="str">
        <f t="shared" si="185"/>
        <v/>
      </c>
      <c r="AF268" s="1" t="str">
        <f t="shared" si="186"/>
        <v xml:space="preserve">["SAVE_INDEX"] = 218; </v>
      </c>
      <c r="AG268">
        <f>VLOOKUP(D268,Type!A$2:B$16,2,FALSE)</f>
        <v>7</v>
      </c>
      <c r="AH268" t="str">
        <f t="shared" si="187"/>
        <v xml:space="preserve">["TYPE"] =  7; </v>
      </c>
      <c r="AI268" t="str">
        <f t="shared" si="188"/>
        <v xml:space="preserve">                      </v>
      </c>
      <c r="AJ268" t="str">
        <f>IF(AND(F268="Class",NOT(ISBLANK(E268))),VLOOKUP(E268,Class!A$1:B$12,2,FALSE),"")</f>
        <v/>
      </c>
      <c r="AK268" t="str">
        <f>IF(AND(F268="Vocation",NOT(ISBLANK(E268))),VLOOKUP(E268,Vocation!A$1:B$8,2,FALSE),"")</f>
        <v/>
      </c>
      <c r="AL268" t="str">
        <f>IF(AND(F268="Race",NOT(ISBLANK(E268))),VLOOKUP(E268,Race!A$1:B$9,2,),"")</f>
        <v/>
      </c>
      <c r="AM268" t="str">
        <f t="shared" si="189"/>
        <v xml:space="preserve">  0</v>
      </c>
      <c r="AN268" t="str">
        <f t="shared" si="190"/>
        <v xml:space="preserve">["SUBTYPE"] =   0; </v>
      </c>
      <c r="AO268" t="str">
        <f>IF(NOT(ISBLANK(G268)),VLOOKUP(G268,Type!D$2:E$6,2,FALSE),"")</f>
        <v/>
      </c>
      <c r="AP268" t="str">
        <f t="shared" si="191"/>
        <v xml:space="preserve">            </v>
      </c>
      <c r="AQ268" t="str">
        <f t="shared" si="192"/>
        <v xml:space="preserve">                      </v>
      </c>
      <c r="AR268" t="str">
        <f t="shared" si="193"/>
        <v/>
      </c>
      <c r="AS268" t="str">
        <f t="shared" si="194"/>
        <v>0</v>
      </c>
      <c r="AT268" t="str">
        <f t="shared" si="195"/>
        <v xml:space="preserve">["VXP"] =    0; </v>
      </c>
      <c r="AU268" t="str">
        <f t="shared" si="196"/>
        <v>0</v>
      </c>
      <c r="AV268" t="str">
        <f t="shared" si="197"/>
        <v xml:space="preserve">["LP"] =  0; </v>
      </c>
      <c r="AW268" t="str">
        <f t="shared" si="198"/>
        <v>0</v>
      </c>
      <c r="AX268" t="str">
        <f t="shared" si="199"/>
        <v xml:space="preserve">["REP"] =     0; </v>
      </c>
      <c r="AY268">
        <f>IF(LEN(P268)&gt;0,VLOOKUP(P268,Faction!A$2:B$77,2,FALSE),1)</f>
        <v>1</v>
      </c>
      <c r="AZ268" t="str">
        <f t="shared" si="200"/>
        <v xml:space="preserve">["FACTION"] =  1; </v>
      </c>
      <c r="BA268" t="str">
        <f t="shared" si="179"/>
        <v/>
      </c>
      <c r="BB268" t="str">
        <f t="shared" si="201"/>
        <v xml:space="preserve">                     </v>
      </c>
      <c r="BC268" t="str">
        <f t="shared" si="202"/>
        <v xml:space="preserve">                  </v>
      </c>
      <c r="BD268" t="str">
        <f t="shared" si="203"/>
        <v xml:space="preserve">["NAME"] = { ["EN"] = "Fetching Foxes"; }; </v>
      </c>
      <c r="BE268" t="str">
        <f t="shared" si="204"/>
        <v xml:space="preserve">["LORE"] = { ["EN"] = "Collect a skulk of foxes."; }; </v>
      </c>
      <c r="BF268" t="str">
        <f t="shared" si="205"/>
        <v xml:space="preserve">["SUMMARY"] = { ["EN"] = "Call 4 different foxes to your side"; }; </v>
      </c>
      <c r="BG268" t="str">
        <f t="shared" si="206"/>
        <v xml:space="preserve">["TITLE"] = { ["EN"] = "the Sly and Cunning"; }; </v>
      </c>
      <c r="BH268" t="str">
        <f t="shared" si="207"/>
        <v/>
      </c>
      <c r="BI268" t="str">
        <f t="shared" si="208"/>
        <v/>
      </c>
      <c r="BJ268" t="str">
        <f t="shared" si="177"/>
        <v>};</v>
      </c>
    </row>
    <row r="269" spans="1:62" x14ac:dyDescent="0.25">
      <c r="A269">
        <v>1879344628</v>
      </c>
      <c r="B269">
        <v>219</v>
      </c>
      <c r="C269" t="s">
        <v>1796</v>
      </c>
      <c r="D269" t="s">
        <v>30</v>
      </c>
      <c r="M269" t="s">
        <v>1797</v>
      </c>
      <c r="Q269" t="s">
        <v>1802</v>
      </c>
      <c r="R269" t="s">
        <v>1798</v>
      </c>
      <c r="S269">
        <v>0</v>
      </c>
      <c r="X269" t="str">
        <f t="shared" si="178"/>
        <v>[268] = {["ID"] = 1879344628; }; -- Fowl Collection</v>
      </c>
      <c r="Y269" s="1" t="str">
        <f t="shared" si="180"/>
        <v>[268] = {["ID"] = 1879344628; ["SAVE_INDEX"] = 219; ["TYPE"] =  7;                       ["SUBTYPE"] =   0;                                   ["VXP"] =    0; ["LP"] =  0; ["REP"] =     0; ["FACTION"] =  1;                                        ["NAME"] = { ["EN"] = "Fowl Collection"; }; ["LORE"] = { ["EN"] = "You have acquired a lovely collection of fowl."; }; ["SUMMARY"] = { ["EN"] = "Call 6 different chickens to your side"; }; ["TITLE"] = { ["EN"] = "Houser of Hens"; }; };</v>
      </c>
      <c r="Z269">
        <f t="shared" si="176"/>
        <v>268</v>
      </c>
      <c r="AA269" t="str">
        <f t="shared" si="181"/>
        <v>[268] = {</v>
      </c>
      <c r="AB269" t="str">
        <f t="shared" si="182"/>
        <v xml:space="preserve">["ID"] = 1879344628; </v>
      </c>
      <c r="AC269" t="str">
        <f t="shared" si="183"/>
        <v xml:space="preserve">["ID"] = 1879344628; </v>
      </c>
      <c r="AD269" t="str">
        <f t="shared" si="184"/>
        <v/>
      </c>
      <c r="AE269" t="str">
        <f t="shared" si="185"/>
        <v/>
      </c>
      <c r="AF269" s="1" t="str">
        <f t="shared" si="186"/>
        <v xml:space="preserve">["SAVE_INDEX"] = 219; </v>
      </c>
      <c r="AG269">
        <f>VLOOKUP(D269,Type!A$2:B$16,2,FALSE)</f>
        <v>7</v>
      </c>
      <c r="AH269" t="str">
        <f t="shared" si="187"/>
        <v xml:space="preserve">["TYPE"] =  7; </v>
      </c>
      <c r="AI269" t="str">
        <f t="shared" si="188"/>
        <v xml:space="preserve">                      </v>
      </c>
      <c r="AJ269" t="str">
        <f>IF(AND(F269="Class",NOT(ISBLANK(E269))),VLOOKUP(E269,Class!A$1:B$12,2,FALSE),"")</f>
        <v/>
      </c>
      <c r="AK269" t="str">
        <f>IF(AND(F269="Vocation",NOT(ISBLANK(E269))),VLOOKUP(E269,Vocation!A$1:B$8,2,FALSE),"")</f>
        <v/>
      </c>
      <c r="AL269" t="str">
        <f>IF(AND(F269="Race",NOT(ISBLANK(E269))),VLOOKUP(E269,Race!A$1:B$9,2,),"")</f>
        <v/>
      </c>
      <c r="AM269" t="str">
        <f t="shared" si="189"/>
        <v xml:space="preserve">  0</v>
      </c>
      <c r="AN269" t="str">
        <f t="shared" si="190"/>
        <v xml:space="preserve">["SUBTYPE"] =   0; </v>
      </c>
      <c r="AO269" t="str">
        <f>IF(NOT(ISBLANK(G269)),VLOOKUP(G269,Type!D$2:E$6,2,FALSE),"")</f>
        <v/>
      </c>
      <c r="AP269" t="str">
        <f t="shared" si="191"/>
        <v xml:space="preserve">            </v>
      </c>
      <c r="AQ269" t="str">
        <f t="shared" si="192"/>
        <v xml:space="preserve">                      </v>
      </c>
      <c r="AR269" t="str">
        <f t="shared" si="193"/>
        <v/>
      </c>
      <c r="AS269" t="str">
        <f t="shared" si="194"/>
        <v>0</v>
      </c>
      <c r="AT269" t="str">
        <f t="shared" si="195"/>
        <v xml:space="preserve">["VXP"] =    0; </v>
      </c>
      <c r="AU269" t="str">
        <f t="shared" si="196"/>
        <v>0</v>
      </c>
      <c r="AV269" t="str">
        <f t="shared" si="197"/>
        <v xml:space="preserve">["LP"] =  0; </v>
      </c>
      <c r="AW269" t="str">
        <f t="shared" si="198"/>
        <v>0</v>
      </c>
      <c r="AX269" t="str">
        <f t="shared" si="199"/>
        <v xml:space="preserve">["REP"] =     0; </v>
      </c>
      <c r="AY269">
        <f>IF(LEN(P269)&gt;0,VLOOKUP(P269,Faction!A$2:B$77,2,FALSE),1)</f>
        <v>1</v>
      </c>
      <c r="AZ269" t="str">
        <f t="shared" si="200"/>
        <v xml:space="preserve">["FACTION"] =  1; </v>
      </c>
      <c r="BA269" t="str">
        <f t="shared" si="179"/>
        <v/>
      </c>
      <c r="BB269" t="str">
        <f t="shared" si="201"/>
        <v xml:space="preserve">                     </v>
      </c>
      <c r="BC269" t="str">
        <f t="shared" si="202"/>
        <v xml:space="preserve">                  </v>
      </c>
      <c r="BD269" t="str">
        <f t="shared" si="203"/>
        <v xml:space="preserve">["NAME"] = { ["EN"] = "Fowl Collection"; }; </v>
      </c>
      <c r="BE269" t="str">
        <f t="shared" si="204"/>
        <v xml:space="preserve">["LORE"] = { ["EN"] = "You have acquired a lovely collection of fowl."; }; </v>
      </c>
      <c r="BF269" t="str">
        <f t="shared" si="205"/>
        <v xml:space="preserve">["SUMMARY"] = { ["EN"] = "Call 6 different chickens to your side"; }; </v>
      </c>
      <c r="BG269" t="str">
        <f t="shared" si="206"/>
        <v xml:space="preserve">["TITLE"] = { ["EN"] = "Houser of Hens"; }; </v>
      </c>
      <c r="BH269" t="str">
        <f t="shared" si="207"/>
        <v/>
      </c>
      <c r="BI269" t="str">
        <f t="shared" si="208"/>
        <v/>
      </c>
      <c r="BJ269" t="str">
        <f t="shared" si="177"/>
        <v>};</v>
      </c>
    </row>
    <row r="270" spans="1:62" x14ac:dyDescent="0.25">
      <c r="A270">
        <v>1879344637</v>
      </c>
      <c r="B270">
        <v>220</v>
      </c>
      <c r="C270" t="s">
        <v>1799</v>
      </c>
      <c r="D270" t="s">
        <v>30</v>
      </c>
      <c r="M270" t="s">
        <v>3520</v>
      </c>
      <c r="Q270" t="s">
        <v>1800</v>
      </c>
      <c r="R270" t="s">
        <v>1801</v>
      </c>
      <c r="S270">
        <v>0</v>
      </c>
      <c r="X270" t="str">
        <f t="shared" si="178"/>
        <v>[269] = {["ID"] = 1879344637; }; -- Friendly Frogs</v>
      </c>
      <c r="Y270" s="1" t="str">
        <f t="shared" si="180"/>
        <v>[269] = {["ID"] = 1879344637; ["SAVE_INDEX"] = 220; ["TYPE"] =  7;                       ["SUBTYPE"] =   0;                                   ["VXP"] =    0; ["LP"] =  0; ["REP"] =     0; ["FACTION"] =  1;                                        ["NAME"] = { ["EN"] = "Friendly Frogs"; }; ["LORE"] = { ["EN"] = "You have acquired a lovely collection of frogs."; }; ["SUMMARY"] = { ["EN"] = "Call 5 different frogs to your side"; }; ["TITLE"] = { ["EN"] = "Lord / Lady of the Croaking Host"; }; };</v>
      </c>
      <c r="Z270">
        <f t="shared" si="176"/>
        <v>269</v>
      </c>
      <c r="AA270" t="str">
        <f t="shared" si="181"/>
        <v>[269] = {</v>
      </c>
      <c r="AB270" t="str">
        <f t="shared" si="182"/>
        <v xml:space="preserve">["ID"] = 1879344637; </v>
      </c>
      <c r="AC270" t="str">
        <f t="shared" si="183"/>
        <v xml:space="preserve">["ID"] = 1879344637; </v>
      </c>
      <c r="AD270" t="str">
        <f t="shared" si="184"/>
        <v/>
      </c>
      <c r="AE270" t="str">
        <f t="shared" si="185"/>
        <v/>
      </c>
      <c r="AF270" s="1" t="str">
        <f t="shared" si="186"/>
        <v xml:space="preserve">["SAVE_INDEX"] = 220; </v>
      </c>
      <c r="AG270">
        <f>VLOOKUP(D270,Type!A$2:B$16,2,FALSE)</f>
        <v>7</v>
      </c>
      <c r="AH270" t="str">
        <f t="shared" si="187"/>
        <v xml:space="preserve">["TYPE"] =  7; </v>
      </c>
      <c r="AI270" t="str">
        <f t="shared" si="188"/>
        <v xml:space="preserve">                      </v>
      </c>
      <c r="AJ270" t="str">
        <f>IF(AND(F270="Class",NOT(ISBLANK(E270))),VLOOKUP(E270,Class!A$1:B$12,2,FALSE),"")</f>
        <v/>
      </c>
      <c r="AK270" t="str">
        <f>IF(AND(F270="Vocation",NOT(ISBLANK(E270))),VLOOKUP(E270,Vocation!A$1:B$8,2,FALSE),"")</f>
        <v/>
      </c>
      <c r="AL270" t="str">
        <f>IF(AND(F270="Race",NOT(ISBLANK(E270))),VLOOKUP(E270,Race!A$1:B$9,2,),"")</f>
        <v/>
      </c>
      <c r="AM270" t="str">
        <f t="shared" si="189"/>
        <v xml:space="preserve">  0</v>
      </c>
      <c r="AN270" t="str">
        <f t="shared" si="190"/>
        <v xml:space="preserve">["SUBTYPE"] =   0; </v>
      </c>
      <c r="AO270" t="str">
        <f>IF(NOT(ISBLANK(G270)),VLOOKUP(G270,Type!D$2:E$6,2,FALSE),"")</f>
        <v/>
      </c>
      <c r="AP270" t="str">
        <f t="shared" si="191"/>
        <v xml:space="preserve">            </v>
      </c>
      <c r="AQ270" t="str">
        <f t="shared" si="192"/>
        <v xml:space="preserve">                      </v>
      </c>
      <c r="AR270" t="str">
        <f t="shared" si="193"/>
        <v/>
      </c>
      <c r="AS270" t="str">
        <f t="shared" si="194"/>
        <v>0</v>
      </c>
      <c r="AT270" t="str">
        <f t="shared" si="195"/>
        <v xml:space="preserve">["VXP"] =    0; </v>
      </c>
      <c r="AU270" t="str">
        <f t="shared" si="196"/>
        <v>0</v>
      </c>
      <c r="AV270" t="str">
        <f t="shared" si="197"/>
        <v xml:space="preserve">["LP"] =  0; </v>
      </c>
      <c r="AW270" t="str">
        <f t="shared" si="198"/>
        <v>0</v>
      </c>
      <c r="AX270" t="str">
        <f t="shared" si="199"/>
        <v xml:space="preserve">["REP"] =     0; </v>
      </c>
      <c r="AY270">
        <f>IF(LEN(P270)&gt;0,VLOOKUP(P270,Faction!A$2:B$77,2,FALSE),1)</f>
        <v>1</v>
      </c>
      <c r="AZ270" t="str">
        <f t="shared" si="200"/>
        <v xml:space="preserve">["FACTION"] =  1; </v>
      </c>
      <c r="BA270" t="str">
        <f t="shared" si="179"/>
        <v/>
      </c>
      <c r="BB270" t="str">
        <f t="shared" si="201"/>
        <v xml:space="preserve">                     </v>
      </c>
      <c r="BC270" t="str">
        <f t="shared" si="202"/>
        <v xml:space="preserve">                  </v>
      </c>
      <c r="BD270" t="str">
        <f t="shared" si="203"/>
        <v xml:space="preserve">["NAME"] = { ["EN"] = "Friendly Frogs"; }; </v>
      </c>
      <c r="BE270" t="str">
        <f t="shared" si="204"/>
        <v xml:space="preserve">["LORE"] = { ["EN"] = "You have acquired a lovely collection of frogs."; }; </v>
      </c>
      <c r="BF270" t="str">
        <f t="shared" si="205"/>
        <v xml:space="preserve">["SUMMARY"] = { ["EN"] = "Call 5 different frogs to your side"; }; </v>
      </c>
      <c r="BG270" t="str">
        <f t="shared" si="206"/>
        <v xml:space="preserve">["TITLE"] = { ["EN"] = "Lord / Lady of the Croaking Host"; }; </v>
      </c>
      <c r="BH270" t="str">
        <f t="shared" si="207"/>
        <v/>
      </c>
      <c r="BI270" t="str">
        <f t="shared" si="208"/>
        <v/>
      </c>
      <c r="BJ270" t="str">
        <f t="shared" si="177"/>
        <v>};</v>
      </c>
    </row>
    <row r="271" spans="1:62" x14ac:dyDescent="0.25">
      <c r="A271">
        <v>1879344639</v>
      </c>
      <c r="B271">
        <v>222</v>
      </c>
      <c r="C271" t="s">
        <v>1807</v>
      </c>
      <c r="D271" t="s">
        <v>30</v>
      </c>
      <c r="M271" t="s">
        <v>1808</v>
      </c>
      <c r="Q271" t="s">
        <v>1810</v>
      </c>
      <c r="R271" t="s">
        <v>1809</v>
      </c>
      <c r="S271">
        <v>0</v>
      </c>
      <c r="X271" t="str">
        <f t="shared" si="178"/>
        <v>[270] = {["ID"] = 1879344639; }; -- Grim Friends</v>
      </c>
      <c r="Y271" s="1" t="str">
        <f t="shared" si="180"/>
        <v>[270] = {["ID"] = 1879344639; ["SAVE_INDEX"] = 222; ["TYPE"] =  7;                       ["SUBTYPE"] =   0;                                   ["VXP"] =    0; ["LP"] =  0; ["REP"] =     0; ["FACTION"] =  1;                                        ["NAME"] = { ["EN"] = "Grim Friends"; }; ["LORE"] = { ["EN"] = "You have acquired a whirling collection of grims."; }; ["SUMMARY"] = { ["EN"] = "Call 3 different grims to your side"; }; ["TITLE"] = { ["EN"] = "Keeper of Grim Company"; }; };</v>
      </c>
      <c r="Z271">
        <f t="shared" si="176"/>
        <v>270</v>
      </c>
      <c r="AA271" t="str">
        <f t="shared" si="181"/>
        <v>[270] = {</v>
      </c>
      <c r="AB271" t="str">
        <f t="shared" si="182"/>
        <v xml:space="preserve">["ID"] = 1879344639; </v>
      </c>
      <c r="AC271" t="str">
        <f t="shared" si="183"/>
        <v xml:space="preserve">["ID"] = 1879344639; </v>
      </c>
      <c r="AD271" t="str">
        <f t="shared" si="184"/>
        <v/>
      </c>
      <c r="AE271" t="str">
        <f t="shared" si="185"/>
        <v/>
      </c>
      <c r="AF271" s="1" t="str">
        <f t="shared" si="186"/>
        <v xml:space="preserve">["SAVE_INDEX"] = 222; </v>
      </c>
      <c r="AG271">
        <f>VLOOKUP(D271,Type!A$2:B$16,2,FALSE)</f>
        <v>7</v>
      </c>
      <c r="AH271" t="str">
        <f t="shared" si="187"/>
        <v xml:space="preserve">["TYPE"] =  7; </v>
      </c>
      <c r="AI271" t="str">
        <f t="shared" si="188"/>
        <v xml:space="preserve">                      </v>
      </c>
      <c r="AJ271" t="str">
        <f>IF(AND(F271="Class",NOT(ISBLANK(E271))),VLOOKUP(E271,Class!A$1:B$12,2,FALSE),"")</f>
        <v/>
      </c>
      <c r="AK271" t="str">
        <f>IF(AND(F271="Vocation",NOT(ISBLANK(E271))),VLOOKUP(E271,Vocation!A$1:B$8,2,FALSE),"")</f>
        <v/>
      </c>
      <c r="AL271" t="str">
        <f>IF(AND(F271="Race",NOT(ISBLANK(E271))),VLOOKUP(E271,Race!A$1:B$9,2,),"")</f>
        <v/>
      </c>
      <c r="AM271" t="str">
        <f t="shared" si="189"/>
        <v xml:space="preserve">  0</v>
      </c>
      <c r="AN271" t="str">
        <f t="shared" si="190"/>
        <v xml:space="preserve">["SUBTYPE"] =   0; </v>
      </c>
      <c r="AO271" t="str">
        <f>IF(NOT(ISBLANK(G271)),VLOOKUP(G271,Type!D$2:E$6,2,FALSE),"")</f>
        <v/>
      </c>
      <c r="AP271" t="str">
        <f t="shared" si="191"/>
        <v xml:space="preserve">            </v>
      </c>
      <c r="AQ271" t="str">
        <f t="shared" si="192"/>
        <v xml:space="preserve">                      </v>
      </c>
      <c r="AR271" t="str">
        <f t="shared" si="193"/>
        <v/>
      </c>
      <c r="AS271" t="str">
        <f t="shared" si="194"/>
        <v>0</v>
      </c>
      <c r="AT271" t="str">
        <f t="shared" si="195"/>
        <v xml:space="preserve">["VXP"] =    0; </v>
      </c>
      <c r="AU271" t="str">
        <f t="shared" si="196"/>
        <v>0</v>
      </c>
      <c r="AV271" t="str">
        <f t="shared" si="197"/>
        <v xml:space="preserve">["LP"] =  0; </v>
      </c>
      <c r="AW271" t="str">
        <f t="shared" si="198"/>
        <v>0</v>
      </c>
      <c r="AX271" t="str">
        <f t="shared" si="199"/>
        <v xml:space="preserve">["REP"] =     0; </v>
      </c>
      <c r="AY271">
        <f>IF(LEN(P271)&gt;0,VLOOKUP(P271,Faction!A$2:B$77,2,FALSE),1)</f>
        <v>1</v>
      </c>
      <c r="AZ271" t="str">
        <f t="shared" si="200"/>
        <v xml:space="preserve">["FACTION"] =  1; </v>
      </c>
      <c r="BA271" t="str">
        <f t="shared" si="179"/>
        <v/>
      </c>
      <c r="BB271" t="str">
        <f t="shared" si="201"/>
        <v xml:space="preserve">                     </v>
      </c>
      <c r="BC271" t="str">
        <f t="shared" si="202"/>
        <v xml:space="preserve">                  </v>
      </c>
      <c r="BD271" t="str">
        <f t="shared" si="203"/>
        <v xml:space="preserve">["NAME"] = { ["EN"] = "Grim Friends"; }; </v>
      </c>
      <c r="BE271" t="str">
        <f t="shared" si="204"/>
        <v xml:space="preserve">["LORE"] = { ["EN"] = "You have acquired a whirling collection of grims."; }; </v>
      </c>
      <c r="BF271" t="str">
        <f t="shared" si="205"/>
        <v xml:space="preserve">["SUMMARY"] = { ["EN"] = "Call 3 different grims to your side"; }; </v>
      </c>
      <c r="BG271" t="str">
        <f t="shared" si="206"/>
        <v xml:space="preserve">["TITLE"] = { ["EN"] = "Keeper of Grim Company"; }; </v>
      </c>
      <c r="BH271" t="str">
        <f t="shared" si="207"/>
        <v/>
      </c>
      <c r="BI271" t="str">
        <f t="shared" si="208"/>
        <v/>
      </c>
      <c r="BJ271" t="str">
        <f t="shared" si="177"/>
        <v>};</v>
      </c>
    </row>
    <row r="272" spans="1:62" x14ac:dyDescent="0.25">
      <c r="A272">
        <v>1879344638</v>
      </c>
      <c r="B272">
        <v>223</v>
      </c>
      <c r="C272" t="s">
        <v>1811</v>
      </c>
      <c r="D272" t="s">
        <v>30</v>
      </c>
      <c r="M272" t="s">
        <v>1812</v>
      </c>
      <c r="Q272" t="s">
        <v>1814</v>
      </c>
      <c r="R272" t="s">
        <v>1813</v>
      </c>
      <c r="S272">
        <v>0</v>
      </c>
      <c r="X272" t="str">
        <f t="shared" si="178"/>
        <v>[271] = {["ID"] = 1879344638; }; -- Huorns of Fangorn</v>
      </c>
      <c r="Y272" s="1" t="str">
        <f t="shared" si="180"/>
        <v>[271]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2">
        <f t="shared" si="176"/>
        <v>271</v>
      </c>
      <c r="AA272" t="str">
        <f t="shared" si="181"/>
        <v>[271] = {</v>
      </c>
      <c r="AB272" t="str">
        <f t="shared" si="182"/>
        <v xml:space="preserve">["ID"] = 1879344638; </v>
      </c>
      <c r="AC272" t="str">
        <f t="shared" si="183"/>
        <v xml:space="preserve">["ID"] = 1879344638; </v>
      </c>
      <c r="AD272" t="str">
        <f t="shared" si="184"/>
        <v/>
      </c>
      <c r="AE272" t="str">
        <f t="shared" si="185"/>
        <v/>
      </c>
      <c r="AF272" s="1" t="str">
        <f t="shared" si="186"/>
        <v xml:space="preserve">["SAVE_INDEX"] = 223; </v>
      </c>
      <c r="AG272">
        <f>VLOOKUP(D272,Type!A$2:B$16,2,FALSE)</f>
        <v>7</v>
      </c>
      <c r="AH272" t="str">
        <f t="shared" si="187"/>
        <v xml:space="preserve">["TYPE"] =  7; </v>
      </c>
      <c r="AI272" t="str">
        <f t="shared" si="188"/>
        <v xml:space="preserve">                      </v>
      </c>
      <c r="AJ272" t="str">
        <f>IF(AND(F272="Class",NOT(ISBLANK(E272))),VLOOKUP(E272,Class!A$1:B$12,2,FALSE),"")</f>
        <v/>
      </c>
      <c r="AK272" t="str">
        <f>IF(AND(F272="Vocation",NOT(ISBLANK(E272))),VLOOKUP(E272,Vocation!A$1:B$8,2,FALSE),"")</f>
        <v/>
      </c>
      <c r="AL272" t="str">
        <f>IF(AND(F272="Race",NOT(ISBLANK(E272))),VLOOKUP(E272,Race!A$1:B$9,2,),"")</f>
        <v/>
      </c>
      <c r="AM272" t="str">
        <f t="shared" si="189"/>
        <v xml:space="preserve">  0</v>
      </c>
      <c r="AN272" t="str">
        <f t="shared" si="190"/>
        <v xml:space="preserve">["SUBTYPE"] =   0; </v>
      </c>
      <c r="AO272" t="str">
        <f>IF(NOT(ISBLANK(G272)),VLOOKUP(G272,Type!D$2:E$6,2,FALSE),"")</f>
        <v/>
      </c>
      <c r="AP272" t="str">
        <f t="shared" si="191"/>
        <v xml:space="preserve">            </v>
      </c>
      <c r="AQ272" t="str">
        <f t="shared" si="192"/>
        <v xml:space="preserve">                      </v>
      </c>
      <c r="AR272" t="str">
        <f t="shared" si="193"/>
        <v/>
      </c>
      <c r="AS272" t="str">
        <f t="shared" si="194"/>
        <v>0</v>
      </c>
      <c r="AT272" t="str">
        <f t="shared" si="195"/>
        <v xml:space="preserve">["VXP"] =    0; </v>
      </c>
      <c r="AU272" t="str">
        <f t="shared" si="196"/>
        <v>0</v>
      </c>
      <c r="AV272" t="str">
        <f t="shared" si="197"/>
        <v xml:space="preserve">["LP"] =  0; </v>
      </c>
      <c r="AW272" t="str">
        <f t="shared" si="198"/>
        <v>0</v>
      </c>
      <c r="AX272" t="str">
        <f t="shared" si="199"/>
        <v xml:space="preserve">["REP"] =     0; </v>
      </c>
      <c r="AY272">
        <f>IF(LEN(P272)&gt;0,VLOOKUP(P272,Faction!A$2:B$77,2,FALSE),1)</f>
        <v>1</v>
      </c>
      <c r="AZ272" t="str">
        <f t="shared" si="200"/>
        <v xml:space="preserve">["FACTION"] =  1; </v>
      </c>
      <c r="BA272" t="str">
        <f t="shared" si="179"/>
        <v/>
      </c>
      <c r="BB272" t="str">
        <f t="shared" si="201"/>
        <v xml:space="preserve">                     </v>
      </c>
      <c r="BC272" t="str">
        <f t="shared" si="202"/>
        <v xml:space="preserve">                  </v>
      </c>
      <c r="BD272" t="str">
        <f t="shared" si="203"/>
        <v xml:space="preserve">["NAME"] = { ["EN"] = "Huorns of Fangorn"; }; </v>
      </c>
      <c r="BE272" t="str">
        <f t="shared" si="204"/>
        <v xml:space="preserve">["LORE"] = { ["EN"] = "You have acquired a wonderful collection of Huorns."; }; </v>
      </c>
      <c r="BF272" t="str">
        <f t="shared" si="205"/>
        <v xml:space="preserve">["SUMMARY"] = { ["EN"] = "Call 3 different huorns to your side"; }; </v>
      </c>
      <c r="BG272" t="str">
        <f t="shared" si="206"/>
        <v xml:space="preserve">["TITLE"] = { ["EN"] = "Tender of the Shifting Woods"; }; </v>
      </c>
      <c r="BH272" t="str">
        <f t="shared" si="207"/>
        <v/>
      </c>
      <c r="BI272" t="str">
        <f t="shared" si="208"/>
        <v/>
      </c>
      <c r="BJ272" t="str">
        <f t="shared" si="177"/>
        <v>};</v>
      </c>
    </row>
    <row r="273" spans="1:62" x14ac:dyDescent="0.25">
      <c r="A273">
        <v>1879361988</v>
      </c>
      <c r="B273">
        <v>224</v>
      </c>
      <c r="C273" t="s">
        <v>1815</v>
      </c>
      <c r="D273" t="s">
        <v>30</v>
      </c>
      <c r="J273" t="s">
        <v>3525</v>
      </c>
      <c r="M273" t="s">
        <v>1815</v>
      </c>
      <c r="Q273" t="s">
        <v>1816</v>
      </c>
      <c r="R273" t="s">
        <v>1817</v>
      </c>
      <c r="S273">
        <v>0</v>
      </c>
      <c r="X273" t="str">
        <f t="shared" si="178"/>
        <v>[272] = {["ID"] = 1879361988; }; -- Rider of Rohan (large)</v>
      </c>
      <c r="Y273" s="1" t="str">
        <f t="shared" si="180"/>
        <v>[272] = {["ID"] = 1879361988; ["SAVE_INDEX"] = 224; ["TYPE"] =  7;                       ["SUBTYPE"] =   0;                                   ["MOUNT"] = "large"; ["VXP"] =    0; ["LP"] =  0; ["REP"] =     0; ["FACTION"] =  1;                                        ["NAME"] = { ["EN"] = "Rider of Rohan"; }; ["LORE"] = { ["EN"] = "You have completed your collection of Rohan steeds."; }; ["SUMMARY"] = { ["EN"] = "Mount 2 different rohan steeds"; }; ["TITLE"] = { ["EN"] = "Rider of Rohan"; }; };</v>
      </c>
      <c r="Z273">
        <f t="shared" si="176"/>
        <v>272</v>
      </c>
      <c r="AA273" t="str">
        <f t="shared" si="181"/>
        <v>[272] = {</v>
      </c>
      <c r="AB273" t="str">
        <f t="shared" si="182"/>
        <v xml:space="preserve">["ID"] = 1879361988; </v>
      </c>
      <c r="AC273" t="str">
        <f t="shared" si="183"/>
        <v xml:space="preserve">["ID"] = 1879361988; </v>
      </c>
      <c r="AD273" t="str">
        <f t="shared" si="184"/>
        <v/>
      </c>
      <c r="AE273" t="str">
        <f t="shared" si="185"/>
        <v xml:space="preserve"> (large)</v>
      </c>
      <c r="AF273" s="1" t="str">
        <f t="shared" si="186"/>
        <v xml:space="preserve">["SAVE_INDEX"] = 224; </v>
      </c>
      <c r="AG273">
        <f>VLOOKUP(D273,Type!A$2:B$16,2,FALSE)</f>
        <v>7</v>
      </c>
      <c r="AH273" t="str">
        <f t="shared" si="187"/>
        <v xml:space="preserve">["TYPE"] =  7; </v>
      </c>
      <c r="AI273" t="str">
        <f t="shared" si="188"/>
        <v xml:space="preserve">                      </v>
      </c>
      <c r="AJ273" t="str">
        <f>IF(AND(F273="Class",NOT(ISBLANK(E273))),VLOOKUP(E273,Class!A$1:B$12,2,FALSE),"")</f>
        <v/>
      </c>
      <c r="AK273" t="str">
        <f>IF(AND(F273="Vocation",NOT(ISBLANK(E273))),VLOOKUP(E273,Vocation!A$1:B$8,2,FALSE),"")</f>
        <v/>
      </c>
      <c r="AL273" t="str">
        <f>IF(AND(F273="Race",NOT(ISBLANK(E273))),VLOOKUP(E273,Race!A$1:B$9,2,),"")</f>
        <v/>
      </c>
      <c r="AM273" t="str">
        <f t="shared" si="189"/>
        <v xml:space="preserve">  0</v>
      </c>
      <c r="AN273" t="str">
        <f t="shared" si="190"/>
        <v xml:space="preserve">["SUBTYPE"] =   0; </v>
      </c>
      <c r="AO273" t="str">
        <f>IF(NOT(ISBLANK(G273)),VLOOKUP(G273,Type!D$2:E$6,2,FALSE),"")</f>
        <v/>
      </c>
      <c r="AP273" t="str">
        <f t="shared" si="191"/>
        <v xml:space="preserve">            </v>
      </c>
      <c r="AQ273" t="str">
        <f t="shared" si="192"/>
        <v xml:space="preserve">                      </v>
      </c>
      <c r="AR273" t="str">
        <f t="shared" si="193"/>
        <v xml:space="preserve">["MOUNT"] = "large"; </v>
      </c>
      <c r="AS273" t="str">
        <f t="shared" si="194"/>
        <v>0</v>
      </c>
      <c r="AT273" t="str">
        <f t="shared" si="195"/>
        <v xml:space="preserve">["VXP"] =    0; </v>
      </c>
      <c r="AU273" t="str">
        <f t="shared" si="196"/>
        <v>0</v>
      </c>
      <c r="AV273" t="str">
        <f t="shared" si="197"/>
        <v xml:space="preserve">["LP"] =  0; </v>
      </c>
      <c r="AW273" t="str">
        <f t="shared" si="198"/>
        <v>0</v>
      </c>
      <c r="AX273" t="str">
        <f t="shared" si="199"/>
        <v xml:space="preserve">["REP"] =     0; </v>
      </c>
      <c r="AY273">
        <f>IF(LEN(P273)&gt;0,VLOOKUP(P273,Faction!A$2:B$77,2,FALSE),1)</f>
        <v>1</v>
      </c>
      <c r="AZ273" t="str">
        <f t="shared" si="200"/>
        <v xml:space="preserve">["FACTION"] =  1; </v>
      </c>
      <c r="BA273" t="str">
        <f t="shared" si="179"/>
        <v/>
      </c>
      <c r="BB273" t="str">
        <f t="shared" si="201"/>
        <v xml:space="preserve">                     </v>
      </c>
      <c r="BC273" t="str">
        <f t="shared" si="202"/>
        <v xml:space="preserve">                  </v>
      </c>
      <c r="BD273" t="str">
        <f t="shared" si="203"/>
        <v xml:space="preserve">["NAME"] = { ["EN"] = "Rider of Rohan"; }; </v>
      </c>
      <c r="BE273" t="str">
        <f t="shared" si="204"/>
        <v xml:space="preserve">["LORE"] = { ["EN"] = "You have completed your collection of Rohan steeds."; }; </v>
      </c>
      <c r="BF273" t="str">
        <f t="shared" si="205"/>
        <v xml:space="preserve">["SUMMARY"] = { ["EN"] = "Mount 2 different rohan steeds"; }; </v>
      </c>
      <c r="BG273" t="str">
        <f t="shared" si="206"/>
        <v xml:space="preserve">["TITLE"] = { ["EN"] = "Rider of Rohan"; }; </v>
      </c>
      <c r="BH273" t="str">
        <f t="shared" si="207"/>
        <v/>
      </c>
      <c r="BI273" t="str">
        <f t="shared" si="208"/>
        <v/>
      </c>
      <c r="BJ273" t="str">
        <f t="shared" si="177"/>
        <v>};</v>
      </c>
    </row>
    <row r="274" spans="1:62" x14ac:dyDescent="0.25">
      <c r="A274">
        <v>1879363512</v>
      </c>
      <c r="B274">
        <v>365</v>
      </c>
      <c r="C274" t="s">
        <v>1815</v>
      </c>
      <c r="D274" t="s">
        <v>30</v>
      </c>
      <c r="J274" t="s">
        <v>3526</v>
      </c>
      <c r="M274" t="s">
        <v>1815</v>
      </c>
      <c r="Q274" t="s">
        <v>1816</v>
      </c>
      <c r="R274" t="s">
        <v>1817</v>
      </c>
      <c r="S274">
        <v>0</v>
      </c>
      <c r="X274" t="str">
        <f t="shared" si="178"/>
        <v>[273] = {["ID"] = 1879363512; }; -- Rider of Rohan (small)</v>
      </c>
      <c r="Y274" s="1" t="str">
        <f t="shared" si="180"/>
        <v>[273] = {["ID"] = 1879363512; ["SAVE_INDEX"] = 365; ["TYPE"] =  7;                       ["SUBTYPE"] =   0;                                   ["MOUNT"] = "small"; ["VXP"] =    0; ["LP"] =  0; ["REP"] =     0; ["FACTION"] =  1;                                        ["NAME"] = { ["EN"] = "Rider of Rohan"; }; ["LORE"] = { ["EN"] = "You have completed your collection of Rohan steeds."; }; ["SUMMARY"] = { ["EN"] = "Mount 2 different rohan steeds"; }; ["TITLE"] = { ["EN"] = "Rider of Rohan"; }; };</v>
      </c>
      <c r="Z274">
        <f t="shared" si="176"/>
        <v>273</v>
      </c>
      <c r="AA274" t="str">
        <f t="shared" si="181"/>
        <v>[273] = {</v>
      </c>
      <c r="AB274" t="str">
        <f t="shared" si="182"/>
        <v xml:space="preserve">["ID"] = 1879363512; </v>
      </c>
      <c r="AC274" t="str">
        <f t="shared" si="183"/>
        <v xml:space="preserve">["ID"] = 1879363512; </v>
      </c>
      <c r="AD274" t="str">
        <f t="shared" si="184"/>
        <v/>
      </c>
      <c r="AE274" t="str">
        <f t="shared" si="185"/>
        <v xml:space="preserve"> (small)</v>
      </c>
      <c r="AF274" s="1" t="str">
        <f t="shared" si="186"/>
        <v xml:space="preserve">["SAVE_INDEX"] = 365; </v>
      </c>
      <c r="AG274">
        <f>VLOOKUP(D274,Type!A$2:B$16,2,FALSE)</f>
        <v>7</v>
      </c>
      <c r="AH274" t="str">
        <f t="shared" si="187"/>
        <v xml:space="preserve">["TYPE"] =  7; </v>
      </c>
      <c r="AI274" t="str">
        <f t="shared" si="188"/>
        <v xml:space="preserve">                      </v>
      </c>
      <c r="AJ274" t="str">
        <f>IF(AND(F274="Class",NOT(ISBLANK(E274))),VLOOKUP(E274,Class!A$1:B$12,2,FALSE),"")</f>
        <v/>
      </c>
      <c r="AK274" t="str">
        <f>IF(AND(F274="Vocation",NOT(ISBLANK(E274))),VLOOKUP(E274,Vocation!A$1:B$8,2,FALSE),"")</f>
        <v/>
      </c>
      <c r="AL274" t="str">
        <f>IF(AND(F274="Race",NOT(ISBLANK(E274))),VLOOKUP(E274,Race!A$1:B$9,2,),"")</f>
        <v/>
      </c>
      <c r="AM274" t="str">
        <f t="shared" si="189"/>
        <v xml:space="preserve">  0</v>
      </c>
      <c r="AN274" t="str">
        <f t="shared" si="190"/>
        <v xml:space="preserve">["SUBTYPE"] =   0; </v>
      </c>
      <c r="AO274" t="str">
        <f>IF(NOT(ISBLANK(G274)),VLOOKUP(G274,Type!D$2:E$6,2,FALSE),"")</f>
        <v/>
      </c>
      <c r="AP274" t="str">
        <f t="shared" si="191"/>
        <v xml:space="preserve">            </v>
      </c>
      <c r="AQ274" t="str">
        <f t="shared" si="192"/>
        <v xml:space="preserve">                      </v>
      </c>
      <c r="AR274" t="str">
        <f t="shared" si="193"/>
        <v xml:space="preserve">["MOUNT"] = "small"; </v>
      </c>
      <c r="AS274" t="str">
        <f t="shared" si="194"/>
        <v>0</v>
      </c>
      <c r="AT274" t="str">
        <f t="shared" si="195"/>
        <v xml:space="preserve">["VXP"] =    0; </v>
      </c>
      <c r="AU274" t="str">
        <f t="shared" si="196"/>
        <v>0</v>
      </c>
      <c r="AV274" t="str">
        <f t="shared" si="197"/>
        <v xml:space="preserve">["LP"] =  0; </v>
      </c>
      <c r="AW274" t="str">
        <f t="shared" si="198"/>
        <v>0</v>
      </c>
      <c r="AX274" t="str">
        <f t="shared" si="199"/>
        <v xml:space="preserve">["REP"] =     0; </v>
      </c>
      <c r="AY274">
        <f>IF(LEN(P274)&gt;0,VLOOKUP(P274,Faction!A$2:B$77,2,FALSE),1)</f>
        <v>1</v>
      </c>
      <c r="AZ274" t="str">
        <f t="shared" si="200"/>
        <v xml:space="preserve">["FACTION"] =  1; </v>
      </c>
      <c r="BA274" t="str">
        <f t="shared" si="179"/>
        <v/>
      </c>
      <c r="BB274" t="str">
        <f t="shared" si="201"/>
        <v xml:space="preserve">                     </v>
      </c>
      <c r="BC274" t="str">
        <f t="shared" si="202"/>
        <v xml:space="preserve">                  </v>
      </c>
      <c r="BD274" t="str">
        <f t="shared" si="203"/>
        <v xml:space="preserve">["NAME"] = { ["EN"] = "Rider of Rohan"; }; </v>
      </c>
      <c r="BE274" t="str">
        <f t="shared" si="204"/>
        <v xml:space="preserve">["LORE"] = { ["EN"] = "You have completed your collection of Rohan steeds."; }; </v>
      </c>
      <c r="BF274" t="str">
        <f t="shared" si="205"/>
        <v xml:space="preserve">["SUMMARY"] = { ["EN"] = "Mount 2 different rohan steeds"; }; </v>
      </c>
      <c r="BG274" t="str">
        <f t="shared" si="206"/>
        <v xml:space="preserve">["TITLE"] = { ["EN"] = "Rider of Rohan"; }; </v>
      </c>
      <c r="BH274" t="str">
        <f t="shared" si="207"/>
        <v/>
      </c>
      <c r="BI274" t="str">
        <f t="shared" si="208"/>
        <v/>
      </c>
      <c r="BJ274" t="str">
        <f t="shared" si="177"/>
        <v>};</v>
      </c>
    </row>
    <row r="275" spans="1:62" x14ac:dyDescent="0.25">
      <c r="A275">
        <v>1879361998</v>
      </c>
      <c r="B275">
        <v>205</v>
      </c>
      <c r="C275" t="s">
        <v>1116</v>
      </c>
      <c r="D275" t="s">
        <v>30</v>
      </c>
      <c r="J275" t="s">
        <v>3525</v>
      </c>
      <c r="M275" t="s">
        <v>1116</v>
      </c>
      <c r="Q275" t="s">
        <v>1119</v>
      </c>
      <c r="R275" t="s">
        <v>1118</v>
      </c>
      <c r="S275">
        <v>0</v>
      </c>
      <c r="X275" t="str">
        <f t="shared" si="178"/>
        <v>[274] = {["ID"] = 1879361998; }; -- Rider of the Free Peoples (large)</v>
      </c>
      <c r="Y275" s="1" t="str">
        <f t="shared" si="180"/>
        <v>[274]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5">
        <f t="shared" si="176"/>
        <v>274</v>
      </c>
      <c r="AA275" t="str">
        <f t="shared" si="181"/>
        <v>[274] = {</v>
      </c>
      <c r="AB275" t="str">
        <f t="shared" si="182"/>
        <v xml:space="preserve">["ID"] = 1879361998; </v>
      </c>
      <c r="AC275" t="str">
        <f t="shared" si="183"/>
        <v xml:space="preserve">["ID"] = 1879361998; </v>
      </c>
      <c r="AD275" t="str">
        <f t="shared" si="184"/>
        <v/>
      </c>
      <c r="AE275" t="str">
        <f t="shared" si="185"/>
        <v xml:space="preserve"> (large)</v>
      </c>
      <c r="AF275" s="1" t="str">
        <f t="shared" si="186"/>
        <v xml:space="preserve">["SAVE_INDEX"] = 205; </v>
      </c>
      <c r="AG275">
        <f>VLOOKUP(D275,Type!A$2:B$16,2,FALSE)</f>
        <v>7</v>
      </c>
      <c r="AH275" t="str">
        <f t="shared" si="187"/>
        <v xml:space="preserve">["TYPE"] =  7; </v>
      </c>
      <c r="AI275" t="str">
        <f t="shared" si="188"/>
        <v xml:space="preserve">                      </v>
      </c>
      <c r="AJ275" t="str">
        <f>IF(AND(F275="Class",NOT(ISBLANK(E275))),VLOOKUP(E275,Class!A$1:B$12,2,FALSE),"")</f>
        <v/>
      </c>
      <c r="AK275" t="str">
        <f>IF(AND(F275="Vocation",NOT(ISBLANK(E275))),VLOOKUP(E275,Vocation!A$1:B$8,2,FALSE),"")</f>
        <v/>
      </c>
      <c r="AL275" t="str">
        <f>IF(AND(F275="Race",NOT(ISBLANK(E275))),VLOOKUP(E275,Race!A$1:B$9,2,),"")</f>
        <v/>
      </c>
      <c r="AM275" t="str">
        <f t="shared" si="189"/>
        <v xml:space="preserve">  0</v>
      </c>
      <c r="AN275" t="str">
        <f t="shared" si="190"/>
        <v xml:space="preserve">["SUBTYPE"] =   0; </v>
      </c>
      <c r="AO275" t="str">
        <f>IF(NOT(ISBLANK(G275)),VLOOKUP(G275,Type!D$2:E$6,2,FALSE),"")</f>
        <v/>
      </c>
      <c r="AP275" t="str">
        <f t="shared" si="191"/>
        <v xml:space="preserve">            </v>
      </c>
      <c r="AQ275" t="str">
        <f t="shared" si="192"/>
        <v xml:space="preserve">                      </v>
      </c>
      <c r="AR275" t="str">
        <f t="shared" si="193"/>
        <v xml:space="preserve">["MOUNT"] = "large"; </v>
      </c>
      <c r="AS275" t="str">
        <f t="shared" si="194"/>
        <v>0</v>
      </c>
      <c r="AT275" t="str">
        <f t="shared" si="195"/>
        <v xml:space="preserve">["VXP"] =    0; </v>
      </c>
      <c r="AU275" t="str">
        <f t="shared" si="196"/>
        <v>0</v>
      </c>
      <c r="AV275" t="str">
        <f t="shared" si="197"/>
        <v xml:space="preserve">["LP"] =  0; </v>
      </c>
      <c r="AW275" t="str">
        <f t="shared" si="198"/>
        <v>0</v>
      </c>
      <c r="AX275" t="str">
        <f t="shared" si="199"/>
        <v xml:space="preserve">["REP"] =     0; </v>
      </c>
      <c r="AY275">
        <f>IF(LEN(P275)&gt;0,VLOOKUP(P275,Faction!A$2:B$77,2,FALSE),1)</f>
        <v>1</v>
      </c>
      <c r="AZ275" t="str">
        <f t="shared" si="200"/>
        <v xml:space="preserve">["FACTION"] =  1; </v>
      </c>
      <c r="BA275" t="str">
        <f t="shared" si="179"/>
        <v/>
      </c>
      <c r="BB275" t="str">
        <f t="shared" si="201"/>
        <v xml:space="preserve">                     </v>
      </c>
      <c r="BC275" t="str">
        <f t="shared" si="202"/>
        <v xml:space="preserve">                  </v>
      </c>
      <c r="BD275" t="str">
        <f t="shared" si="203"/>
        <v xml:space="preserve">["NAME"] = { ["EN"] = "Rider of the Free Peoples"; }; </v>
      </c>
      <c r="BE275" t="str">
        <f t="shared" si="204"/>
        <v xml:space="preserve">["LORE"] = { ["EN"] = "You have completed your collection of Free Peoples steeds."; }; </v>
      </c>
      <c r="BF275" t="str">
        <f t="shared" si="205"/>
        <v xml:space="preserve">["SUMMARY"] = { ["EN"] = "Mount the Eriador and Elf Ambassador's steeds."; }; </v>
      </c>
      <c r="BG275" t="str">
        <f t="shared" si="206"/>
        <v xml:space="preserve">["TITLE"] = { ["EN"] = "Rider of the Free Peoples"; }; </v>
      </c>
      <c r="BH275" t="str">
        <f t="shared" si="207"/>
        <v/>
      </c>
      <c r="BI275" t="str">
        <f t="shared" si="208"/>
        <v/>
      </c>
      <c r="BJ275" t="str">
        <f t="shared" si="177"/>
        <v>};</v>
      </c>
    </row>
    <row r="276" spans="1:62" x14ac:dyDescent="0.25">
      <c r="A276">
        <v>1879363506</v>
      </c>
      <c r="B276">
        <v>366</v>
      </c>
      <c r="C276" t="s">
        <v>1116</v>
      </c>
      <c r="D276" t="s">
        <v>30</v>
      </c>
      <c r="J276" t="s">
        <v>3526</v>
      </c>
      <c r="M276" t="s">
        <v>1116</v>
      </c>
      <c r="Q276" t="s">
        <v>1119</v>
      </c>
      <c r="R276" t="s">
        <v>1118</v>
      </c>
      <c r="S276">
        <v>0</v>
      </c>
      <c r="X276" t="str">
        <f t="shared" si="178"/>
        <v>[275] = {["ID"] = 1879363506; }; -- Rider of the Free Peoples (small)</v>
      </c>
      <c r="Y276" s="1" t="str">
        <f t="shared" si="180"/>
        <v>[275]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6">
        <f t="shared" ref="Z276:Z339" si="209">ROW()-1</f>
        <v>275</v>
      </c>
      <c r="AA276" t="str">
        <f t="shared" si="181"/>
        <v>[275] = {</v>
      </c>
      <c r="AB276" t="str">
        <f t="shared" si="182"/>
        <v xml:space="preserve">["ID"] = 1879363506; </v>
      </c>
      <c r="AC276" t="str">
        <f t="shared" si="183"/>
        <v xml:space="preserve">["ID"] = 1879363506; </v>
      </c>
      <c r="AD276" t="str">
        <f t="shared" si="184"/>
        <v/>
      </c>
      <c r="AE276" t="str">
        <f t="shared" si="185"/>
        <v xml:space="preserve"> (small)</v>
      </c>
      <c r="AF276" s="1" t="str">
        <f t="shared" si="186"/>
        <v xml:space="preserve">["SAVE_INDEX"] = 366; </v>
      </c>
      <c r="AG276">
        <f>VLOOKUP(D276,Type!A$2:B$16,2,FALSE)</f>
        <v>7</v>
      </c>
      <c r="AH276" t="str">
        <f t="shared" si="187"/>
        <v xml:space="preserve">["TYPE"] =  7; </v>
      </c>
      <c r="AI276" t="str">
        <f t="shared" si="188"/>
        <v xml:space="preserve">                      </v>
      </c>
      <c r="AJ276" t="str">
        <f>IF(AND(F276="Class",NOT(ISBLANK(E276))),VLOOKUP(E276,Class!A$1:B$12,2,FALSE),"")</f>
        <v/>
      </c>
      <c r="AK276" t="str">
        <f>IF(AND(F276="Vocation",NOT(ISBLANK(E276))),VLOOKUP(E276,Vocation!A$1:B$8,2,FALSE),"")</f>
        <v/>
      </c>
      <c r="AL276" t="str">
        <f>IF(AND(F276="Race",NOT(ISBLANK(E276))),VLOOKUP(E276,Race!A$1:B$9,2,),"")</f>
        <v/>
      </c>
      <c r="AM276" t="str">
        <f t="shared" si="189"/>
        <v xml:space="preserve">  0</v>
      </c>
      <c r="AN276" t="str">
        <f t="shared" si="190"/>
        <v xml:space="preserve">["SUBTYPE"] =   0; </v>
      </c>
      <c r="AO276" t="str">
        <f>IF(NOT(ISBLANK(G276)),VLOOKUP(G276,Type!D$2:E$6,2,FALSE),"")</f>
        <v/>
      </c>
      <c r="AP276" t="str">
        <f t="shared" si="191"/>
        <v xml:space="preserve">            </v>
      </c>
      <c r="AQ276" t="str">
        <f t="shared" si="192"/>
        <v xml:space="preserve">                      </v>
      </c>
      <c r="AR276" t="str">
        <f t="shared" si="193"/>
        <v xml:space="preserve">["MOUNT"] = "small"; </v>
      </c>
      <c r="AS276" t="str">
        <f t="shared" si="194"/>
        <v>0</v>
      </c>
      <c r="AT276" t="str">
        <f t="shared" si="195"/>
        <v xml:space="preserve">["VXP"] =    0; </v>
      </c>
      <c r="AU276" t="str">
        <f t="shared" si="196"/>
        <v>0</v>
      </c>
      <c r="AV276" t="str">
        <f t="shared" si="197"/>
        <v xml:space="preserve">["LP"] =  0; </v>
      </c>
      <c r="AW276" t="str">
        <f t="shared" si="198"/>
        <v>0</v>
      </c>
      <c r="AX276" t="str">
        <f t="shared" si="199"/>
        <v xml:space="preserve">["REP"] =     0; </v>
      </c>
      <c r="AY276">
        <f>IF(LEN(P276)&gt;0,VLOOKUP(P276,Faction!A$2:B$77,2,FALSE),1)</f>
        <v>1</v>
      </c>
      <c r="AZ276" t="str">
        <f t="shared" si="200"/>
        <v xml:space="preserve">["FACTION"] =  1; </v>
      </c>
      <c r="BA276" t="str">
        <f t="shared" si="179"/>
        <v/>
      </c>
      <c r="BB276" t="str">
        <f t="shared" si="201"/>
        <v xml:space="preserve">                     </v>
      </c>
      <c r="BC276" t="str">
        <f t="shared" si="202"/>
        <v xml:space="preserve">                  </v>
      </c>
      <c r="BD276" t="str">
        <f t="shared" si="203"/>
        <v xml:space="preserve">["NAME"] = { ["EN"] = "Rider of the Free Peoples"; }; </v>
      </c>
      <c r="BE276" t="str">
        <f t="shared" si="204"/>
        <v xml:space="preserve">["LORE"] = { ["EN"] = "You have completed your collection of Free Peoples steeds."; }; </v>
      </c>
      <c r="BF276" t="str">
        <f t="shared" si="205"/>
        <v xml:space="preserve">["SUMMARY"] = { ["EN"] = "Mount the Eriador and Elf Ambassador's steeds."; }; </v>
      </c>
      <c r="BG276" t="str">
        <f t="shared" si="206"/>
        <v xml:space="preserve">["TITLE"] = { ["EN"] = "Rider of the Free Peoples"; }; </v>
      </c>
      <c r="BH276" t="str">
        <f t="shared" si="207"/>
        <v/>
      </c>
      <c r="BI276" t="str">
        <f t="shared" si="208"/>
        <v/>
      </c>
      <c r="BJ276" t="str">
        <f t="shared" ref="BJ276:BJ339" si="210">CONCATENATE("};")</f>
        <v>};</v>
      </c>
    </row>
    <row r="277" spans="1:62" x14ac:dyDescent="0.25">
      <c r="A277">
        <v>1879344635</v>
      </c>
      <c r="B277">
        <v>225</v>
      </c>
      <c r="C277" t="s">
        <v>1818</v>
      </c>
      <c r="D277" t="s">
        <v>30</v>
      </c>
      <c r="M277" t="s">
        <v>1819</v>
      </c>
      <c r="Q277" t="s">
        <v>1825</v>
      </c>
      <c r="R277" t="s">
        <v>1824</v>
      </c>
      <c r="S277">
        <v>0</v>
      </c>
      <c r="X277" t="str">
        <f t="shared" si="178"/>
        <v>[276] = {["ID"] = 1879344635; }; -- Shrewd Companions</v>
      </c>
      <c r="Y277" s="1" t="str">
        <f t="shared" si="180"/>
        <v>[276] = {["ID"] = 1879344635; ["SAVE_INDEX"] = 225; ["TYPE"] =  7;                       ["SUBTYPE"] =   0;                                   ["VXP"] =    0; ["LP"] =  0; ["REP"] =     0; ["FACTION"] =  1;                                        ["NAME"] = { ["EN"] = "Shrewd Companions"; }; ["LORE"] = { ["EN"] = "You have acquired a quite the collection of shrews."; }; ["SUMMARY"] = { ["EN"] = "Call 4 different shews to yours side"; }; ["TITLE"] = { ["EN"] = "the Merciful Boot"; }; };</v>
      </c>
      <c r="Z277">
        <f t="shared" si="209"/>
        <v>276</v>
      </c>
      <c r="AA277" t="str">
        <f t="shared" si="181"/>
        <v>[276] = {</v>
      </c>
      <c r="AB277" t="str">
        <f t="shared" si="182"/>
        <v xml:space="preserve">["ID"] = 1879344635; </v>
      </c>
      <c r="AC277" t="str">
        <f t="shared" si="183"/>
        <v xml:space="preserve">["ID"] = 1879344635; </v>
      </c>
      <c r="AD277" t="str">
        <f t="shared" si="184"/>
        <v/>
      </c>
      <c r="AE277" t="str">
        <f t="shared" si="185"/>
        <v/>
      </c>
      <c r="AF277" s="1" t="str">
        <f t="shared" si="186"/>
        <v xml:space="preserve">["SAVE_INDEX"] = 225; </v>
      </c>
      <c r="AG277">
        <f>VLOOKUP(D277,Type!A$2:B$16,2,FALSE)</f>
        <v>7</v>
      </c>
      <c r="AH277" t="str">
        <f t="shared" si="187"/>
        <v xml:space="preserve">["TYPE"] =  7; </v>
      </c>
      <c r="AI277" t="str">
        <f t="shared" si="188"/>
        <v xml:space="preserve">                      </v>
      </c>
      <c r="AJ277" t="str">
        <f>IF(AND(F277="Class",NOT(ISBLANK(E277))),VLOOKUP(E277,Class!A$1:B$12,2,FALSE),"")</f>
        <v/>
      </c>
      <c r="AK277" t="str">
        <f>IF(AND(F277="Vocation",NOT(ISBLANK(E277))),VLOOKUP(E277,Vocation!A$1:B$8,2,FALSE),"")</f>
        <v/>
      </c>
      <c r="AL277" t="str">
        <f>IF(AND(F277="Race",NOT(ISBLANK(E277))),VLOOKUP(E277,Race!A$1:B$9,2,),"")</f>
        <v/>
      </c>
      <c r="AM277" t="str">
        <f t="shared" si="189"/>
        <v xml:space="preserve">  0</v>
      </c>
      <c r="AN277" t="str">
        <f t="shared" si="190"/>
        <v xml:space="preserve">["SUBTYPE"] =   0; </v>
      </c>
      <c r="AO277" t="str">
        <f>IF(NOT(ISBLANK(G277)),VLOOKUP(G277,Type!D$2:E$6,2,FALSE),"")</f>
        <v/>
      </c>
      <c r="AP277" t="str">
        <f t="shared" si="191"/>
        <v xml:space="preserve">            </v>
      </c>
      <c r="AQ277" t="str">
        <f t="shared" si="192"/>
        <v xml:space="preserve">                      </v>
      </c>
      <c r="AR277" t="str">
        <f t="shared" si="193"/>
        <v/>
      </c>
      <c r="AS277" t="str">
        <f t="shared" si="194"/>
        <v>0</v>
      </c>
      <c r="AT277" t="str">
        <f t="shared" si="195"/>
        <v xml:space="preserve">["VXP"] =    0; </v>
      </c>
      <c r="AU277" t="str">
        <f t="shared" si="196"/>
        <v>0</v>
      </c>
      <c r="AV277" t="str">
        <f t="shared" si="197"/>
        <v xml:space="preserve">["LP"] =  0; </v>
      </c>
      <c r="AW277" t="str">
        <f t="shared" si="198"/>
        <v>0</v>
      </c>
      <c r="AX277" t="str">
        <f t="shared" si="199"/>
        <v xml:space="preserve">["REP"] =     0; </v>
      </c>
      <c r="AY277">
        <f>IF(LEN(P277)&gt;0,VLOOKUP(P277,Faction!A$2:B$77,2,FALSE),1)</f>
        <v>1</v>
      </c>
      <c r="AZ277" t="str">
        <f t="shared" si="200"/>
        <v xml:space="preserve">["FACTION"] =  1; </v>
      </c>
      <c r="BA277" t="str">
        <f t="shared" si="179"/>
        <v/>
      </c>
      <c r="BB277" t="str">
        <f t="shared" si="201"/>
        <v xml:space="preserve">                     </v>
      </c>
      <c r="BC277" t="str">
        <f t="shared" si="202"/>
        <v xml:space="preserve">                  </v>
      </c>
      <c r="BD277" t="str">
        <f t="shared" si="203"/>
        <v xml:space="preserve">["NAME"] = { ["EN"] = "Shrewd Companions"; }; </v>
      </c>
      <c r="BE277" t="str">
        <f t="shared" si="204"/>
        <v xml:space="preserve">["LORE"] = { ["EN"] = "You have acquired a quite the collection of shrews."; }; </v>
      </c>
      <c r="BF277" t="str">
        <f t="shared" si="205"/>
        <v xml:space="preserve">["SUMMARY"] = { ["EN"] = "Call 4 different shews to yours side"; }; </v>
      </c>
      <c r="BG277" t="str">
        <f t="shared" si="206"/>
        <v xml:space="preserve">["TITLE"] = { ["EN"] = "the Merciful Boot"; }; </v>
      </c>
      <c r="BH277" t="str">
        <f t="shared" si="207"/>
        <v/>
      </c>
      <c r="BI277" t="str">
        <f t="shared" si="208"/>
        <v/>
      </c>
      <c r="BJ277" t="str">
        <f t="shared" si="210"/>
        <v>};</v>
      </c>
    </row>
    <row r="278" spans="1:62" x14ac:dyDescent="0.25">
      <c r="A278">
        <v>1879344636</v>
      </c>
      <c r="B278">
        <v>228</v>
      </c>
      <c r="C278" t="s">
        <v>1829</v>
      </c>
      <c r="D278" t="s">
        <v>30</v>
      </c>
      <c r="M278" t="s">
        <v>1830</v>
      </c>
      <c r="Q278" t="s">
        <v>1832</v>
      </c>
      <c r="R278" t="s">
        <v>1831</v>
      </c>
      <c r="S278">
        <v>0</v>
      </c>
      <c r="X278" t="str">
        <f t="shared" si="178"/>
        <v>[277] = {["ID"] = 1879344636; }; -- Swans of West Gondor</v>
      </c>
      <c r="Y278" s="1" t="str">
        <f t="shared" si="180"/>
        <v>[277] = {["ID"] = 1879344636; ["SAVE_INDEX"] = 228; ["TYPE"] =  7;                       ["SUBTYPE"] =   0;                                   ["VXP"] =    0; ["LP"] =  0; ["REP"] =     0; ["FACTION"] =  1;                                        ["NAME"] = { ["EN"] = "Swans of West Gondor"; }; ["LORE"] = { ["EN"] = "You have acquired a lovely collection of swans."; }; ["SUMMARY"] = { ["EN"] = "Call 2 different swans to your side"; }; ["TITLE"] = { ["EN"] = "Honourary Swan-knight"; }; };</v>
      </c>
      <c r="Z278">
        <f t="shared" si="209"/>
        <v>277</v>
      </c>
      <c r="AA278" t="str">
        <f t="shared" si="181"/>
        <v>[277] = {</v>
      </c>
      <c r="AB278" t="str">
        <f t="shared" si="182"/>
        <v xml:space="preserve">["ID"] = 1879344636; </v>
      </c>
      <c r="AC278" t="str">
        <f t="shared" si="183"/>
        <v xml:space="preserve">["ID"] = 1879344636; </v>
      </c>
      <c r="AD278" t="str">
        <f t="shared" si="184"/>
        <v/>
      </c>
      <c r="AE278" t="str">
        <f t="shared" si="185"/>
        <v/>
      </c>
      <c r="AF278" s="1" t="str">
        <f t="shared" si="186"/>
        <v xml:space="preserve">["SAVE_INDEX"] = 228; </v>
      </c>
      <c r="AG278">
        <f>VLOOKUP(D278,Type!A$2:B$16,2,FALSE)</f>
        <v>7</v>
      </c>
      <c r="AH278" t="str">
        <f t="shared" si="187"/>
        <v xml:space="preserve">["TYPE"] =  7; </v>
      </c>
      <c r="AI278" t="str">
        <f t="shared" si="188"/>
        <v xml:space="preserve">                      </v>
      </c>
      <c r="AJ278" t="str">
        <f>IF(AND(F278="Class",NOT(ISBLANK(E278))),VLOOKUP(E278,Class!A$1:B$12,2,FALSE),"")</f>
        <v/>
      </c>
      <c r="AK278" t="str">
        <f>IF(AND(F278="Vocation",NOT(ISBLANK(E278))),VLOOKUP(E278,Vocation!A$1:B$8,2,FALSE),"")</f>
        <v/>
      </c>
      <c r="AL278" t="str">
        <f>IF(AND(F278="Race",NOT(ISBLANK(E278))),VLOOKUP(E278,Race!A$1:B$9,2,),"")</f>
        <v/>
      </c>
      <c r="AM278" t="str">
        <f t="shared" si="189"/>
        <v xml:space="preserve">  0</v>
      </c>
      <c r="AN278" t="str">
        <f t="shared" si="190"/>
        <v xml:space="preserve">["SUBTYPE"] =   0; </v>
      </c>
      <c r="AO278" t="str">
        <f>IF(NOT(ISBLANK(G278)),VLOOKUP(G278,Type!D$2:E$6,2,FALSE),"")</f>
        <v/>
      </c>
      <c r="AP278" t="str">
        <f t="shared" si="191"/>
        <v xml:space="preserve">            </v>
      </c>
      <c r="AQ278" t="str">
        <f t="shared" si="192"/>
        <v xml:space="preserve">                      </v>
      </c>
      <c r="AR278" t="str">
        <f t="shared" si="193"/>
        <v/>
      </c>
      <c r="AS278" t="str">
        <f t="shared" si="194"/>
        <v>0</v>
      </c>
      <c r="AT278" t="str">
        <f t="shared" si="195"/>
        <v xml:space="preserve">["VXP"] =    0; </v>
      </c>
      <c r="AU278" t="str">
        <f t="shared" si="196"/>
        <v>0</v>
      </c>
      <c r="AV278" t="str">
        <f t="shared" si="197"/>
        <v xml:space="preserve">["LP"] =  0; </v>
      </c>
      <c r="AW278" t="str">
        <f t="shared" si="198"/>
        <v>0</v>
      </c>
      <c r="AX278" t="str">
        <f t="shared" si="199"/>
        <v xml:space="preserve">["REP"] =     0; </v>
      </c>
      <c r="AY278">
        <f>IF(LEN(P278)&gt;0,VLOOKUP(P278,Faction!A$2:B$77,2,FALSE),1)</f>
        <v>1</v>
      </c>
      <c r="AZ278" t="str">
        <f t="shared" si="200"/>
        <v xml:space="preserve">["FACTION"] =  1; </v>
      </c>
      <c r="BA278" t="str">
        <f t="shared" si="179"/>
        <v/>
      </c>
      <c r="BB278" t="str">
        <f t="shared" si="201"/>
        <v xml:space="preserve">                     </v>
      </c>
      <c r="BC278" t="str">
        <f t="shared" si="202"/>
        <v xml:space="preserve">                  </v>
      </c>
      <c r="BD278" t="str">
        <f t="shared" si="203"/>
        <v xml:space="preserve">["NAME"] = { ["EN"] = "Swans of West Gondor"; }; </v>
      </c>
      <c r="BE278" t="str">
        <f t="shared" si="204"/>
        <v xml:space="preserve">["LORE"] = { ["EN"] = "You have acquired a lovely collection of swans."; }; </v>
      </c>
      <c r="BF278" t="str">
        <f t="shared" si="205"/>
        <v xml:space="preserve">["SUMMARY"] = { ["EN"] = "Call 2 different swans to your side"; }; </v>
      </c>
      <c r="BG278" t="str">
        <f t="shared" si="206"/>
        <v xml:space="preserve">["TITLE"] = { ["EN"] = "Honourary Swan-knight"; }; </v>
      </c>
      <c r="BH278" t="str">
        <f t="shared" si="207"/>
        <v/>
      </c>
      <c r="BI278" t="str">
        <f t="shared" si="208"/>
        <v/>
      </c>
      <c r="BJ278" t="str">
        <f t="shared" si="210"/>
        <v>};</v>
      </c>
    </row>
    <row r="279" spans="1:62" x14ac:dyDescent="0.25">
      <c r="A279">
        <v>1879361999</v>
      </c>
      <c r="B279">
        <v>229</v>
      </c>
      <c r="C279" t="s">
        <v>1833</v>
      </c>
      <c r="D279" t="s">
        <v>30</v>
      </c>
      <c r="J279" t="s">
        <v>3525</v>
      </c>
      <c r="M279" t="s">
        <v>1834</v>
      </c>
      <c r="Q279" t="s">
        <v>1835</v>
      </c>
      <c r="R279" t="s">
        <v>2167</v>
      </c>
      <c r="S279">
        <v>0</v>
      </c>
      <c r="X279" t="str">
        <f t="shared" si="178"/>
        <v>[278] = {["ID"] = 1879361999; }; -- The Steeds of Gondor (large)</v>
      </c>
      <c r="Y279" s="1" t="str">
        <f t="shared" si="180"/>
        <v>[278] = {["ID"] = 1879361999; ["SAVE_INDEX"] = 229; ["TYPE"] =  7;                       ["SUBTYPE"] =   0;                                   ["MOUNT"] = "large"; ["VXP"] =    0; ["LP"] =  0; ["REP"] =     0; ["FACTION"] =  1;                                        ["NAME"] = { ["EN"] = "The Steeds of Gondor"; }; ["LORE"] = { ["EN"] = "Collect a string of Gondorian steeds."; }; ["SUMMARY"] = { ["EN"] = "Mount 4 different steeds of Gondor"; }; ["TITLE"] = { ["EN"] = "Rider of the White City"; }; };</v>
      </c>
      <c r="Z279">
        <f t="shared" si="209"/>
        <v>278</v>
      </c>
      <c r="AA279" t="str">
        <f t="shared" si="181"/>
        <v>[278] = {</v>
      </c>
      <c r="AB279" t="str">
        <f t="shared" si="182"/>
        <v xml:space="preserve">["ID"] = 1879361999; </v>
      </c>
      <c r="AC279" t="str">
        <f t="shared" si="183"/>
        <v xml:space="preserve">["ID"] = 1879361999; </v>
      </c>
      <c r="AD279" t="str">
        <f t="shared" si="184"/>
        <v/>
      </c>
      <c r="AE279" t="str">
        <f t="shared" si="185"/>
        <v xml:space="preserve"> (large)</v>
      </c>
      <c r="AF279" s="1" t="str">
        <f t="shared" si="186"/>
        <v xml:space="preserve">["SAVE_INDEX"] = 229; </v>
      </c>
      <c r="AG279">
        <f>VLOOKUP(D279,Type!A$2:B$16,2,FALSE)</f>
        <v>7</v>
      </c>
      <c r="AH279" t="str">
        <f t="shared" si="187"/>
        <v xml:space="preserve">["TYPE"] =  7; </v>
      </c>
      <c r="AI279" t="str">
        <f t="shared" si="188"/>
        <v xml:space="preserve">                      </v>
      </c>
      <c r="AJ279" t="str">
        <f>IF(AND(F279="Class",NOT(ISBLANK(E279))),VLOOKUP(E279,Class!A$1:B$12,2,FALSE),"")</f>
        <v/>
      </c>
      <c r="AK279" t="str">
        <f>IF(AND(F279="Vocation",NOT(ISBLANK(E279))),VLOOKUP(E279,Vocation!A$1:B$8,2,FALSE),"")</f>
        <v/>
      </c>
      <c r="AL279" t="str">
        <f>IF(AND(F279="Race",NOT(ISBLANK(E279))),VLOOKUP(E279,Race!A$1:B$9,2,),"")</f>
        <v/>
      </c>
      <c r="AM279" t="str">
        <f t="shared" si="189"/>
        <v xml:space="preserve">  0</v>
      </c>
      <c r="AN279" t="str">
        <f t="shared" si="190"/>
        <v xml:space="preserve">["SUBTYPE"] =   0; </v>
      </c>
      <c r="AO279" t="str">
        <f>IF(NOT(ISBLANK(G279)),VLOOKUP(G279,Type!D$2:E$6,2,FALSE),"")</f>
        <v/>
      </c>
      <c r="AP279" t="str">
        <f t="shared" si="191"/>
        <v xml:space="preserve">            </v>
      </c>
      <c r="AQ279" t="str">
        <f t="shared" si="192"/>
        <v xml:space="preserve">                      </v>
      </c>
      <c r="AR279" t="str">
        <f t="shared" si="193"/>
        <v xml:space="preserve">["MOUNT"] = "large"; </v>
      </c>
      <c r="AS279" t="str">
        <f t="shared" si="194"/>
        <v>0</v>
      </c>
      <c r="AT279" t="str">
        <f t="shared" si="195"/>
        <v xml:space="preserve">["VXP"] =    0; </v>
      </c>
      <c r="AU279" t="str">
        <f t="shared" si="196"/>
        <v>0</v>
      </c>
      <c r="AV279" t="str">
        <f t="shared" si="197"/>
        <v xml:space="preserve">["LP"] =  0; </v>
      </c>
      <c r="AW279" t="str">
        <f t="shared" si="198"/>
        <v>0</v>
      </c>
      <c r="AX279" t="str">
        <f t="shared" si="199"/>
        <v xml:space="preserve">["REP"] =     0; </v>
      </c>
      <c r="AY279">
        <f>IF(LEN(P279)&gt;0,VLOOKUP(P279,Faction!A$2:B$77,2,FALSE),1)</f>
        <v>1</v>
      </c>
      <c r="AZ279" t="str">
        <f t="shared" si="200"/>
        <v xml:space="preserve">["FACTION"] =  1; </v>
      </c>
      <c r="BA279" t="str">
        <f t="shared" si="179"/>
        <v/>
      </c>
      <c r="BB279" t="str">
        <f t="shared" si="201"/>
        <v xml:space="preserve">                     </v>
      </c>
      <c r="BC279" t="str">
        <f t="shared" si="202"/>
        <v xml:space="preserve">                  </v>
      </c>
      <c r="BD279" t="str">
        <f t="shared" si="203"/>
        <v xml:space="preserve">["NAME"] = { ["EN"] = "The Steeds of Gondor"; }; </v>
      </c>
      <c r="BE279" t="str">
        <f t="shared" si="204"/>
        <v xml:space="preserve">["LORE"] = { ["EN"] = "Collect a string of Gondorian steeds."; }; </v>
      </c>
      <c r="BF279" t="str">
        <f t="shared" si="205"/>
        <v xml:space="preserve">["SUMMARY"] = { ["EN"] = "Mount 4 different steeds of Gondor"; }; </v>
      </c>
      <c r="BG279" t="str">
        <f t="shared" si="206"/>
        <v xml:space="preserve">["TITLE"] = { ["EN"] = "Rider of the White City"; }; </v>
      </c>
      <c r="BH279" t="str">
        <f t="shared" si="207"/>
        <v/>
      </c>
      <c r="BI279" t="str">
        <f t="shared" si="208"/>
        <v/>
      </c>
      <c r="BJ279" t="str">
        <f t="shared" si="210"/>
        <v>};</v>
      </c>
    </row>
    <row r="280" spans="1:62" x14ac:dyDescent="0.25">
      <c r="A280">
        <v>1879363516</v>
      </c>
      <c r="B280">
        <v>367</v>
      </c>
      <c r="C280" t="s">
        <v>1833</v>
      </c>
      <c r="D280" t="s">
        <v>30</v>
      </c>
      <c r="J280" t="s">
        <v>3526</v>
      </c>
      <c r="M280" t="s">
        <v>1834</v>
      </c>
      <c r="Q280" t="s">
        <v>1835</v>
      </c>
      <c r="R280" t="s">
        <v>2167</v>
      </c>
      <c r="S280">
        <v>0</v>
      </c>
      <c r="X280" t="str">
        <f t="shared" si="178"/>
        <v>[279] = {["ID"] = 1879363516; }; -- The Steeds of Gondor (small)</v>
      </c>
      <c r="Y280" s="1" t="str">
        <f t="shared" si="180"/>
        <v>[279] = {["ID"] = 1879363516; ["SAVE_INDEX"] = 367; ["TYPE"] =  7;                       ["SUBTYPE"] =   0;                                   ["MOUNT"] = "small"; ["VXP"] =    0; ["LP"] =  0; ["REP"] =     0; ["FACTION"] =  1;                                        ["NAME"] = { ["EN"] = "The Steeds of Gondor"; }; ["LORE"] = { ["EN"] = "Collect a string of Gondorian steeds."; }; ["SUMMARY"] = { ["EN"] = "Mount 4 different steeds of Gondor"; }; ["TITLE"] = { ["EN"] = "Rider of the White City"; }; };</v>
      </c>
      <c r="Z280">
        <f t="shared" si="209"/>
        <v>279</v>
      </c>
      <c r="AA280" t="str">
        <f t="shared" si="181"/>
        <v>[279] = {</v>
      </c>
      <c r="AB280" t="str">
        <f t="shared" si="182"/>
        <v xml:space="preserve">["ID"] = 1879363516; </v>
      </c>
      <c r="AC280" t="str">
        <f t="shared" si="183"/>
        <v xml:space="preserve">["ID"] = 1879363516; </v>
      </c>
      <c r="AD280" t="str">
        <f t="shared" si="184"/>
        <v/>
      </c>
      <c r="AE280" t="str">
        <f t="shared" si="185"/>
        <v xml:space="preserve"> (small)</v>
      </c>
      <c r="AF280" s="1" t="str">
        <f t="shared" si="186"/>
        <v xml:space="preserve">["SAVE_INDEX"] = 367; </v>
      </c>
      <c r="AG280">
        <f>VLOOKUP(D280,Type!A$2:B$16,2,FALSE)</f>
        <v>7</v>
      </c>
      <c r="AH280" t="str">
        <f t="shared" si="187"/>
        <v xml:space="preserve">["TYPE"] =  7; </v>
      </c>
      <c r="AI280" t="str">
        <f t="shared" si="188"/>
        <v xml:space="preserve">                      </v>
      </c>
      <c r="AJ280" t="str">
        <f>IF(AND(F280="Class",NOT(ISBLANK(E280))),VLOOKUP(E280,Class!A$1:B$12,2,FALSE),"")</f>
        <v/>
      </c>
      <c r="AK280" t="str">
        <f>IF(AND(F280="Vocation",NOT(ISBLANK(E280))),VLOOKUP(E280,Vocation!A$1:B$8,2,FALSE),"")</f>
        <v/>
      </c>
      <c r="AL280" t="str">
        <f>IF(AND(F280="Race",NOT(ISBLANK(E280))),VLOOKUP(E280,Race!A$1:B$9,2,),"")</f>
        <v/>
      </c>
      <c r="AM280" t="str">
        <f t="shared" si="189"/>
        <v xml:space="preserve">  0</v>
      </c>
      <c r="AN280" t="str">
        <f t="shared" si="190"/>
        <v xml:space="preserve">["SUBTYPE"] =   0; </v>
      </c>
      <c r="AO280" t="str">
        <f>IF(NOT(ISBLANK(G280)),VLOOKUP(G280,Type!D$2:E$6,2,FALSE),"")</f>
        <v/>
      </c>
      <c r="AP280" t="str">
        <f t="shared" si="191"/>
        <v xml:space="preserve">            </v>
      </c>
      <c r="AQ280" t="str">
        <f t="shared" si="192"/>
        <v xml:space="preserve">                      </v>
      </c>
      <c r="AR280" t="str">
        <f t="shared" si="193"/>
        <v xml:space="preserve">["MOUNT"] = "small"; </v>
      </c>
      <c r="AS280" t="str">
        <f t="shared" si="194"/>
        <v>0</v>
      </c>
      <c r="AT280" t="str">
        <f t="shared" si="195"/>
        <v xml:space="preserve">["VXP"] =    0; </v>
      </c>
      <c r="AU280" t="str">
        <f t="shared" si="196"/>
        <v>0</v>
      </c>
      <c r="AV280" t="str">
        <f t="shared" si="197"/>
        <v xml:space="preserve">["LP"] =  0; </v>
      </c>
      <c r="AW280" t="str">
        <f t="shared" si="198"/>
        <v>0</v>
      </c>
      <c r="AX280" t="str">
        <f t="shared" si="199"/>
        <v xml:space="preserve">["REP"] =     0; </v>
      </c>
      <c r="AY280">
        <f>IF(LEN(P280)&gt;0,VLOOKUP(P280,Faction!A$2:B$77,2,FALSE),1)</f>
        <v>1</v>
      </c>
      <c r="AZ280" t="str">
        <f t="shared" si="200"/>
        <v xml:space="preserve">["FACTION"] =  1; </v>
      </c>
      <c r="BA280" t="str">
        <f t="shared" si="179"/>
        <v/>
      </c>
      <c r="BB280" t="str">
        <f t="shared" si="201"/>
        <v xml:space="preserve">                     </v>
      </c>
      <c r="BC280" t="str">
        <f t="shared" si="202"/>
        <v xml:space="preserve">                  </v>
      </c>
      <c r="BD280" t="str">
        <f t="shared" si="203"/>
        <v xml:space="preserve">["NAME"] = { ["EN"] = "The Steeds of Gondor"; }; </v>
      </c>
      <c r="BE280" t="str">
        <f t="shared" si="204"/>
        <v xml:space="preserve">["LORE"] = { ["EN"] = "Collect a string of Gondorian steeds."; }; </v>
      </c>
      <c r="BF280" t="str">
        <f t="shared" si="205"/>
        <v xml:space="preserve">["SUMMARY"] = { ["EN"] = "Mount 4 different steeds of Gondor"; }; </v>
      </c>
      <c r="BG280" t="str">
        <f t="shared" si="206"/>
        <v xml:space="preserve">["TITLE"] = { ["EN"] = "Rider of the White City"; }; </v>
      </c>
      <c r="BH280" t="str">
        <f t="shared" si="207"/>
        <v/>
      </c>
      <c r="BI280" t="str">
        <f t="shared" si="208"/>
        <v/>
      </c>
      <c r="BJ280" t="str">
        <f t="shared" si="210"/>
        <v>};</v>
      </c>
    </row>
    <row r="281" spans="1:62" x14ac:dyDescent="0.25">
      <c r="C281" s="3" t="s">
        <v>1840</v>
      </c>
      <c r="D281" s="2" t="s">
        <v>812</v>
      </c>
      <c r="S281">
        <v>0</v>
      </c>
      <c r="V281">
        <v>151</v>
      </c>
      <c r="X281" t="str">
        <f t="shared" si="178"/>
        <v>[280] = {["CAT_ID"] = 151; }; -- - Treasure Hunt -</v>
      </c>
      <c r="Y281" s="1" t="str">
        <f t="shared" si="180"/>
        <v>[280] = {                                           ["TYPE"] = 14;                       ["SUBTYPE"] =   0;                                   ["VXP"] =    0; ["LP"] =  0; ["REP"] =     0; ["FACTION"] =  1;                                        ["NAME"] = { ["EN"] = "- Treasure Hunt -"; }; };</v>
      </c>
      <c r="Z281">
        <f t="shared" si="209"/>
        <v>280</v>
      </c>
      <c r="AA281" t="str">
        <f t="shared" si="181"/>
        <v>[280] = {</v>
      </c>
      <c r="AB281" t="str">
        <f t="shared" si="182"/>
        <v xml:space="preserve">                     </v>
      </c>
      <c r="AC281" t="str">
        <f t="shared" si="183"/>
        <v/>
      </c>
      <c r="AD281" t="str">
        <f t="shared" si="184"/>
        <v xml:space="preserve">["CAT_ID"] = 151; </v>
      </c>
      <c r="AE281" t="str">
        <f t="shared" si="185"/>
        <v/>
      </c>
      <c r="AF281" s="1" t="str">
        <f t="shared" si="186"/>
        <v xml:space="preserve">                      </v>
      </c>
      <c r="AG281">
        <f>VLOOKUP(D281,Type!A$2:B$16,2,FALSE)</f>
        <v>14</v>
      </c>
      <c r="AH281" t="str">
        <f t="shared" si="187"/>
        <v xml:space="preserve">["TYPE"] = 14; </v>
      </c>
      <c r="AI281" t="str">
        <f t="shared" si="188"/>
        <v xml:space="preserve">                      </v>
      </c>
      <c r="AJ281" t="str">
        <f>IF(AND(F281="Class",NOT(ISBLANK(E281))),VLOOKUP(E281,Class!A$1:B$12,2,FALSE),"")</f>
        <v/>
      </c>
      <c r="AK281" t="str">
        <f>IF(AND(F281="Vocation",NOT(ISBLANK(E281))),VLOOKUP(E281,Vocation!A$1:B$8,2,FALSE),"")</f>
        <v/>
      </c>
      <c r="AL281" t="str">
        <f>IF(AND(F281="Race",NOT(ISBLANK(E281))),VLOOKUP(E281,Race!A$1:B$9,2,),"")</f>
        <v/>
      </c>
      <c r="AM281" t="str">
        <f t="shared" si="189"/>
        <v xml:space="preserve">  0</v>
      </c>
      <c r="AN281" t="str">
        <f t="shared" si="190"/>
        <v xml:space="preserve">["SUBTYPE"] =   0; </v>
      </c>
      <c r="AO281" t="str">
        <f>IF(NOT(ISBLANK(G281)),VLOOKUP(G281,Type!D$2:E$6,2,FALSE),"")</f>
        <v/>
      </c>
      <c r="AP281" t="str">
        <f t="shared" si="191"/>
        <v xml:space="preserve">            </v>
      </c>
      <c r="AQ281" t="str">
        <f t="shared" si="192"/>
        <v xml:space="preserve">                      </v>
      </c>
      <c r="AR281" t="str">
        <f t="shared" si="193"/>
        <v/>
      </c>
      <c r="AS281" t="str">
        <f t="shared" si="194"/>
        <v>0</v>
      </c>
      <c r="AT281" t="str">
        <f t="shared" si="195"/>
        <v xml:space="preserve">["VXP"] =    0; </v>
      </c>
      <c r="AU281" t="str">
        <f t="shared" si="196"/>
        <v>0</v>
      </c>
      <c r="AV281" t="str">
        <f t="shared" si="197"/>
        <v xml:space="preserve">["LP"] =  0; </v>
      </c>
      <c r="AW281" t="str">
        <f t="shared" si="198"/>
        <v>0</v>
      </c>
      <c r="AX281" t="str">
        <f t="shared" si="199"/>
        <v xml:space="preserve">["REP"] =     0; </v>
      </c>
      <c r="AY281">
        <f>IF(LEN(P281)&gt;0,VLOOKUP(P281,Faction!A$2:B$77,2,FALSE),1)</f>
        <v>1</v>
      </c>
      <c r="AZ281" t="str">
        <f t="shared" si="200"/>
        <v xml:space="preserve">["FACTION"] =  1; </v>
      </c>
      <c r="BA281" t="str">
        <f t="shared" si="179"/>
        <v/>
      </c>
      <c r="BB281" t="str">
        <f t="shared" si="201"/>
        <v xml:space="preserve">                     </v>
      </c>
      <c r="BC281" t="str">
        <f t="shared" si="202"/>
        <v xml:space="preserve">                  </v>
      </c>
      <c r="BD281" t="str">
        <f t="shared" si="203"/>
        <v xml:space="preserve">["NAME"] = { ["EN"] = "- Treasure Hunt -"; }; </v>
      </c>
      <c r="BE281" t="str">
        <f t="shared" si="204"/>
        <v/>
      </c>
      <c r="BF281" t="str">
        <f t="shared" si="205"/>
        <v/>
      </c>
      <c r="BG281" t="str">
        <f t="shared" si="206"/>
        <v/>
      </c>
      <c r="BH281" t="str">
        <f t="shared" si="207"/>
        <v/>
      </c>
      <c r="BI281" t="str">
        <f t="shared" si="208"/>
        <v/>
      </c>
      <c r="BJ281" t="str">
        <f t="shared" si="210"/>
        <v>};</v>
      </c>
    </row>
    <row r="282" spans="1:62" x14ac:dyDescent="0.25">
      <c r="A282">
        <v>1879210593</v>
      </c>
      <c r="B282">
        <v>96</v>
      </c>
      <c r="C282" t="s">
        <v>823</v>
      </c>
      <c r="D282" t="s">
        <v>24</v>
      </c>
      <c r="E282" t="s">
        <v>888</v>
      </c>
      <c r="M282" t="s">
        <v>823</v>
      </c>
      <c r="Q282" t="s">
        <v>948</v>
      </c>
      <c r="R282" t="s">
        <v>2159</v>
      </c>
      <c r="S282">
        <v>0</v>
      </c>
      <c r="X282" t="str">
        <f t="shared" si="178"/>
        <v>[281] = {["ID"] = 1879210593; }; -- Cave-claw Wrangler (Treasure Hunt)</v>
      </c>
      <c r="Y282" s="1" t="str">
        <f t="shared" si="180"/>
        <v>[281]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2">
        <f t="shared" si="209"/>
        <v>281</v>
      </c>
      <c r="AA282" t="str">
        <f t="shared" si="181"/>
        <v>[281] = {</v>
      </c>
      <c r="AB282" t="str">
        <f t="shared" si="182"/>
        <v xml:space="preserve">["ID"] = 1879210593; </v>
      </c>
      <c r="AC282" t="str">
        <f t="shared" si="183"/>
        <v xml:space="preserve">["ID"] = 1879210593; </v>
      </c>
      <c r="AD282" t="str">
        <f t="shared" si="184"/>
        <v/>
      </c>
      <c r="AE282" t="str">
        <f t="shared" si="185"/>
        <v xml:space="preserve"> (Treasure Hunt)</v>
      </c>
      <c r="AF282" s="1" t="str">
        <f t="shared" si="186"/>
        <v xml:space="preserve">["SAVE_INDEX"] =  96; </v>
      </c>
      <c r="AG282">
        <f>VLOOKUP(D282,Type!A$2:B$16,2,FALSE)</f>
        <v>12</v>
      </c>
      <c r="AH282" t="str">
        <f t="shared" si="187"/>
        <v xml:space="preserve">["TYPE"] = 12; </v>
      </c>
      <c r="AI282" t="str">
        <f t="shared" si="188"/>
        <v xml:space="preserve">                      </v>
      </c>
      <c r="AJ282" t="str">
        <f>IF(AND(F282="Class",NOT(ISBLANK(E282))),VLOOKUP(E282,Class!A$1:B$12,2,FALSE),"")</f>
        <v/>
      </c>
      <c r="AK282" t="str">
        <f>IF(AND(F282="Vocation",NOT(ISBLANK(E282))),VLOOKUP(E282,Vocation!A$1:B$8,2,FALSE),"")</f>
        <v/>
      </c>
      <c r="AL282" t="str">
        <f>IF(AND(F282="Race",NOT(ISBLANK(E282))),VLOOKUP(E282,Race!A$1:B$9,2,),"")</f>
        <v/>
      </c>
      <c r="AM282" t="str">
        <f t="shared" si="189"/>
        <v xml:space="preserve">  0</v>
      </c>
      <c r="AN282" t="str">
        <f t="shared" si="190"/>
        <v xml:space="preserve">["SUBTYPE"] =   0; </v>
      </c>
      <c r="AO282" t="str">
        <f>IF(NOT(ISBLANK(G282)),VLOOKUP(G282,Type!D$2:E$6,2,FALSE),"")</f>
        <v/>
      </c>
      <c r="AP282" t="str">
        <f t="shared" si="191"/>
        <v xml:space="preserve">            </v>
      </c>
      <c r="AQ282" t="str">
        <f t="shared" si="192"/>
        <v xml:space="preserve">                      </v>
      </c>
      <c r="AR282" t="str">
        <f t="shared" si="193"/>
        <v/>
      </c>
      <c r="AS282" t="str">
        <f t="shared" si="194"/>
        <v>0</v>
      </c>
      <c r="AT282" t="str">
        <f t="shared" si="195"/>
        <v xml:space="preserve">["VXP"] =    0; </v>
      </c>
      <c r="AU282" t="str">
        <f t="shared" si="196"/>
        <v>0</v>
      </c>
      <c r="AV282" t="str">
        <f t="shared" si="197"/>
        <v xml:space="preserve">["LP"] =  0; </v>
      </c>
      <c r="AW282" t="str">
        <f t="shared" si="198"/>
        <v>0</v>
      </c>
      <c r="AX282" t="str">
        <f t="shared" si="199"/>
        <v xml:space="preserve">["REP"] =     0; </v>
      </c>
      <c r="AY282">
        <f>IF(LEN(P282)&gt;0,VLOOKUP(P282,Faction!A$2:B$77,2,FALSE),1)</f>
        <v>1</v>
      </c>
      <c r="AZ282" t="str">
        <f t="shared" si="200"/>
        <v xml:space="preserve">["FACTION"] =  1; </v>
      </c>
      <c r="BA282" t="str">
        <f t="shared" si="179"/>
        <v/>
      </c>
      <c r="BB282" t="str">
        <f t="shared" si="201"/>
        <v xml:space="preserve">                     </v>
      </c>
      <c r="BC282" t="str">
        <f t="shared" si="202"/>
        <v xml:space="preserve">                  </v>
      </c>
      <c r="BD282" t="str">
        <f t="shared" si="203"/>
        <v xml:space="preserve">["NAME"] = { ["EN"] = "Cave-claw Wrangler"; }; </v>
      </c>
      <c r="BE282" t="str">
        <f t="shared" si="204"/>
        <v xml:space="preserve">["LORE"] = { ["EN"] = "Cave-claws have long assisted miners in discovering the greatest of treasures. This deed can only be advanced with Domesticated Cave-claws."; }; </v>
      </c>
      <c r="BF282" t="str">
        <f t="shared" si="205"/>
        <v xml:space="preserve">["SUMMARY"] = { ["EN"] = "Hug 6 different tamed cave-claws"; }; </v>
      </c>
      <c r="BG282" t="str">
        <f t="shared" si="206"/>
        <v xml:space="preserve">["TITLE"] = { ["EN"] = "Cave-claw Wrangler"; }; </v>
      </c>
      <c r="BH282" t="str">
        <f t="shared" si="207"/>
        <v/>
      </c>
      <c r="BI282" t="str">
        <f t="shared" si="208"/>
        <v/>
      </c>
      <c r="BJ282" t="str">
        <f t="shared" si="210"/>
        <v>};</v>
      </c>
    </row>
    <row r="283" spans="1:62" x14ac:dyDescent="0.25">
      <c r="A283">
        <v>1879344634</v>
      </c>
      <c r="B283">
        <v>97</v>
      </c>
      <c r="C283" t="s">
        <v>893</v>
      </c>
      <c r="D283" t="s">
        <v>30</v>
      </c>
      <c r="E283" t="s">
        <v>888</v>
      </c>
      <c r="M283" t="s">
        <v>3522</v>
      </c>
      <c r="Q283" t="s">
        <v>947</v>
      </c>
      <c r="R283" t="s">
        <v>895</v>
      </c>
      <c r="S283">
        <v>0</v>
      </c>
      <c r="X283" t="str">
        <f t="shared" si="178"/>
        <v>[282] = {["ID"] = 1879344634; }; -- Treasure Hunters (Treasure Hunt)</v>
      </c>
      <c r="Y283" s="1" t="str">
        <f t="shared" si="180"/>
        <v>[282] = {["ID"] = 1879344634; ["SAVE_INDEX"] =  97; ["TYPE"] =  7;                       ["SUBTYPE"] =   0;                                   ["VXP"] =    0; ["LP"] =  0; ["REP"] =     0; ["FACTION"] =  1;                                        ["NAME"] = { ["EN"] = "Treasure Hunters"; }; ["LORE"] = { ["EN"] = "You have acquired quite a collection of cave-claws."; }; ["SUMMARY"] = { ["EN"] = "Summon 6 different tamed cave-claws"; }; ["TITLE"] = { ["EN"] = "Foreman / Forewoman"; }; };</v>
      </c>
      <c r="Z283">
        <f t="shared" si="209"/>
        <v>282</v>
      </c>
      <c r="AA283" t="str">
        <f t="shared" si="181"/>
        <v>[282] = {</v>
      </c>
      <c r="AB283" t="str">
        <f t="shared" si="182"/>
        <v xml:space="preserve">["ID"] = 1879344634; </v>
      </c>
      <c r="AC283" t="str">
        <f t="shared" si="183"/>
        <v xml:space="preserve">["ID"] = 1879344634; </v>
      </c>
      <c r="AD283" t="str">
        <f t="shared" si="184"/>
        <v/>
      </c>
      <c r="AE283" t="str">
        <f t="shared" si="185"/>
        <v xml:space="preserve"> (Treasure Hunt)</v>
      </c>
      <c r="AF283" s="1" t="str">
        <f t="shared" si="186"/>
        <v xml:space="preserve">["SAVE_INDEX"] =  97; </v>
      </c>
      <c r="AG283">
        <f>VLOOKUP(D283,Type!A$2:B$16,2,FALSE)</f>
        <v>7</v>
      </c>
      <c r="AH283" t="str">
        <f t="shared" si="187"/>
        <v xml:space="preserve">["TYPE"] =  7; </v>
      </c>
      <c r="AI283" t="str">
        <f t="shared" si="188"/>
        <v xml:space="preserve">                      </v>
      </c>
      <c r="AJ283" t="str">
        <f>IF(AND(F283="Class",NOT(ISBLANK(E283))),VLOOKUP(E283,Class!A$1:B$12,2,FALSE),"")</f>
        <v/>
      </c>
      <c r="AK283" t="str">
        <f>IF(AND(F283="Vocation",NOT(ISBLANK(E283))),VLOOKUP(E283,Vocation!A$1:B$8,2,FALSE),"")</f>
        <v/>
      </c>
      <c r="AL283" t="str">
        <f>IF(AND(F283="Race",NOT(ISBLANK(E283))),VLOOKUP(E283,Race!A$1:B$9,2,),"")</f>
        <v/>
      </c>
      <c r="AM283" t="str">
        <f t="shared" si="189"/>
        <v xml:space="preserve">  0</v>
      </c>
      <c r="AN283" t="str">
        <f t="shared" si="190"/>
        <v xml:space="preserve">["SUBTYPE"] =   0; </v>
      </c>
      <c r="AO283" t="str">
        <f>IF(NOT(ISBLANK(G283)),VLOOKUP(G283,Type!D$2:E$6,2,FALSE),"")</f>
        <v/>
      </c>
      <c r="AP283" t="str">
        <f t="shared" si="191"/>
        <v xml:space="preserve">            </v>
      </c>
      <c r="AQ283" t="str">
        <f t="shared" si="192"/>
        <v xml:space="preserve">                      </v>
      </c>
      <c r="AR283" t="str">
        <f t="shared" si="193"/>
        <v/>
      </c>
      <c r="AS283" t="str">
        <f t="shared" si="194"/>
        <v>0</v>
      </c>
      <c r="AT283" t="str">
        <f t="shared" si="195"/>
        <v xml:space="preserve">["VXP"] =    0; </v>
      </c>
      <c r="AU283" t="str">
        <f t="shared" si="196"/>
        <v>0</v>
      </c>
      <c r="AV283" t="str">
        <f t="shared" si="197"/>
        <v xml:space="preserve">["LP"] =  0; </v>
      </c>
      <c r="AW283" t="str">
        <f t="shared" si="198"/>
        <v>0</v>
      </c>
      <c r="AX283" t="str">
        <f t="shared" si="199"/>
        <v xml:space="preserve">["REP"] =     0; </v>
      </c>
      <c r="AY283">
        <f>IF(LEN(P283)&gt;0,VLOOKUP(P283,Faction!A$2:B$77,2,FALSE),1)</f>
        <v>1</v>
      </c>
      <c r="AZ283" t="str">
        <f t="shared" si="200"/>
        <v xml:space="preserve">["FACTION"] =  1; </v>
      </c>
      <c r="BA283" t="str">
        <f t="shared" si="179"/>
        <v/>
      </c>
      <c r="BB283" t="str">
        <f t="shared" si="201"/>
        <v xml:space="preserve">                     </v>
      </c>
      <c r="BC283" t="str">
        <f t="shared" si="202"/>
        <v xml:space="preserve">                  </v>
      </c>
      <c r="BD283" t="str">
        <f t="shared" si="203"/>
        <v xml:space="preserve">["NAME"] = { ["EN"] = "Treasure Hunters"; }; </v>
      </c>
      <c r="BE283" t="str">
        <f t="shared" si="204"/>
        <v xml:space="preserve">["LORE"] = { ["EN"] = "You have acquired quite a collection of cave-claws."; }; </v>
      </c>
      <c r="BF283" t="str">
        <f t="shared" si="205"/>
        <v xml:space="preserve">["SUMMARY"] = { ["EN"] = "Summon 6 different tamed cave-claws"; }; </v>
      </c>
      <c r="BG283" t="str">
        <f t="shared" si="206"/>
        <v xml:space="preserve">["TITLE"] = { ["EN"] = "Foreman / Forewoman"; }; </v>
      </c>
      <c r="BH283" t="str">
        <f t="shared" si="207"/>
        <v/>
      </c>
      <c r="BI283" t="str">
        <f t="shared" si="208"/>
        <v/>
      </c>
      <c r="BJ283" t="str">
        <f t="shared" si="210"/>
        <v>};</v>
      </c>
    </row>
    <row r="284" spans="1:62" x14ac:dyDescent="0.25">
      <c r="A284">
        <v>1879361995</v>
      </c>
      <c r="B284">
        <v>98</v>
      </c>
      <c r="C284" t="s">
        <v>894</v>
      </c>
      <c r="D284" t="s">
        <v>30</v>
      </c>
      <c r="E284" t="s">
        <v>888</v>
      </c>
      <c r="J284" t="s">
        <v>3525</v>
      </c>
      <c r="M284" t="s">
        <v>949</v>
      </c>
      <c r="Q284" t="s">
        <v>950</v>
      </c>
      <c r="R284" t="s">
        <v>896</v>
      </c>
      <c r="S284">
        <v>0</v>
      </c>
      <c r="X284" t="str">
        <f t="shared" si="178"/>
        <v>[283] = {["ID"] = 1879361995; }; -- Treasure Mounts (Treasure Hunt)</v>
      </c>
      <c r="Y284" s="1" t="str">
        <f t="shared" si="180"/>
        <v>[283] = {["ID"] = 1879361995; ["SAVE_INDEX"] =  98; ["TYPE"] =  7;                       ["SUBTYPE"] =   0;                                   ["MOUNT"] = "large"; ["VXP"] =    0; ["LP"] =  0; ["REP"] =     0; ["FACTION"] =  1;                                        ["NAME"] = { ["EN"] = "Treasure Mounts"; }; ["LORE"] = { ["EN"] = "You have completed your collection of treasure mounts."; }; ["SUMMARY"] = { ["EN"] = "Mount 3 treasure mounts"; }; ["TITLE"] = { ["EN"] = "Wandering Vault-keeper"; }; };</v>
      </c>
      <c r="Z284">
        <f t="shared" si="209"/>
        <v>283</v>
      </c>
      <c r="AA284" t="str">
        <f t="shared" si="181"/>
        <v>[283] = {</v>
      </c>
      <c r="AB284" t="str">
        <f t="shared" si="182"/>
        <v xml:space="preserve">["ID"] = 1879361995; </v>
      </c>
      <c r="AC284" t="str">
        <f t="shared" si="183"/>
        <v xml:space="preserve">["ID"] = 1879361995; </v>
      </c>
      <c r="AD284" t="str">
        <f t="shared" si="184"/>
        <v/>
      </c>
      <c r="AE284" t="str">
        <f t="shared" si="185"/>
        <v xml:space="preserve"> (Treasure Hunt)</v>
      </c>
      <c r="AF284" s="1" t="str">
        <f t="shared" si="186"/>
        <v xml:space="preserve">["SAVE_INDEX"] =  98; </v>
      </c>
      <c r="AG284">
        <f>VLOOKUP(D284,Type!A$2:B$16,2,FALSE)</f>
        <v>7</v>
      </c>
      <c r="AH284" t="str">
        <f t="shared" si="187"/>
        <v xml:space="preserve">["TYPE"] =  7; </v>
      </c>
      <c r="AI284" t="str">
        <f t="shared" si="188"/>
        <v xml:space="preserve">                      </v>
      </c>
      <c r="AJ284" t="str">
        <f>IF(AND(F284="Class",NOT(ISBLANK(E284))),VLOOKUP(E284,Class!A$1:B$12,2,FALSE),"")</f>
        <v/>
      </c>
      <c r="AK284" t="str">
        <f>IF(AND(F284="Vocation",NOT(ISBLANK(E284))),VLOOKUP(E284,Vocation!A$1:B$8,2,FALSE),"")</f>
        <v/>
      </c>
      <c r="AL284" t="str">
        <f>IF(AND(F284="Race",NOT(ISBLANK(E284))),VLOOKUP(E284,Race!A$1:B$9,2,),"")</f>
        <v/>
      </c>
      <c r="AM284" t="str">
        <f t="shared" si="189"/>
        <v xml:space="preserve">  0</v>
      </c>
      <c r="AN284" t="str">
        <f t="shared" si="190"/>
        <v xml:space="preserve">["SUBTYPE"] =   0; </v>
      </c>
      <c r="AO284" t="str">
        <f>IF(NOT(ISBLANK(G284)),VLOOKUP(G284,Type!D$2:E$6,2,FALSE),"")</f>
        <v/>
      </c>
      <c r="AP284" t="str">
        <f t="shared" si="191"/>
        <v xml:space="preserve">            </v>
      </c>
      <c r="AQ284" t="str">
        <f t="shared" si="192"/>
        <v xml:space="preserve">                      </v>
      </c>
      <c r="AR284" t="str">
        <f t="shared" si="193"/>
        <v xml:space="preserve">["MOUNT"] = "large"; </v>
      </c>
      <c r="AS284" t="str">
        <f t="shared" si="194"/>
        <v>0</v>
      </c>
      <c r="AT284" t="str">
        <f t="shared" si="195"/>
        <v xml:space="preserve">["VXP"] =    0; </v>
      </c>
      <c r="AU284" t="str">
        <f t="shared" si="196"/>
        <v>0</v>
      </c>
      <c r="AV284" t="str">
        <f t="shared" si="197"/>
        <v xml:space="preserve">["LP"] =  0; </v>
      </c>
      <c r="AW284" t="str">
        <f t="shared" si="198"/>
        <v>0</v>
      </c>
      <c r="AX284" t="str">
        <f t="shared" si="199"/>
        <v xml:space="preserve">["REP"] =     0; </v>
      </c>
      <c r="AY284">
        <f>IF(LEN(P284)&gt;0,VLOOKUP(P284,Faction!A$2:B$77,2,FALSE),1)</f>
        <v>1</v>
      </c>
      <c r="AZ284" t="str">
        <f t="shared" si="200"/>
        <v xml:space="preserve">["FACTION"] =  1; </v>
      </c>
      <c r="BA284" t="str">
        <f t="shared" si="179"/>
        <v/>
      </c>
      <c r="BB284" t="str">
        <f t="shared" si="201"/>
        <v xml:space="preserve">                     </v>
      </c>
      <c r="BC284" t="str">
        <f t="shared" si="202"/>
        <v xml:space="preserve">                  </v>
      </c>
      <c r="BD284" t="str">
        <f t="shared" si="203"/>
        <v xml:space="preserve">["NAME"] = { ["EN"] = "Treasure Mounts"; }; </v>
      </c>
      <c r="BE284" t="str">
        <f t="shared" si="204"/>
        <v xml:space="preserve">["LORE"] = { ["EN"] = "You have completed your collection of treasure mounts."; }; </v>
      </c>
      <c r="BF284" t="str">
        <f t="shared" si="205"/>
        <v xml:space="preserve">["SUMMARY"] = { ["EN"] = "Mount 3 treasure mounts"; }; </v>
      </c>
      <c r="BG284" t="str">
        <f t="shared" si="206"/>
        <v xml:space="preserve">["TITLE"] = { ["EN"] = "Wandering Vault-keeper"; }; </v>
      </c>
      <c r="BH284" t="str">
        <f t="shared" si="207"/>
        <v/>
      </c>
      <c r="BI284" t="str">
        <f t="shared" si="208"/>
        <v/>
      </c>
      <c r="BJ284" t="str">
        <f t="shared" si="210"/>
        <v>};</v>
      </c>
    </row>
    <row r="285" spans="1:62" x14ac:dyDescent="0.25">
      <c r="A285">
        <v>1879363510</v>
      </c>
      <c r="B285">
        <v>368</v>
      </c>
      <c r="C285" t="s">
        <v>894</v>
      </c>
      <c r="D285" t="s">
        <v>30</v>
      </c>
      <c r="E285" t="s">
        <v>888</v>
      </c>
      <c r="J285" t="s">
        <v>3526</v>
      </c>
      <c r="M285" t="s">
        <v>949</v>
      </c>
      <c r="Q285" t="s">
        <v>950</v>
      </c>
      <c r="R285" t="s">
        <v>896</v>
      </c>
      <c r="S285">
        <v>0</v>
      </c>
      <c r="X285" t="str">
        <f t="shared" si="178"/>
        <v>[284] = {["ID"] = 1879363510; }; -- Treasure Mounts (Treasure Hunt)</v>
      </c>
      <c r="Y285" s="1" t="str">
        <f t="shared" si="180"/>
        <v>[284] = {["ID"] = 1879363510; ["SAVE_INDEX"] = 368; ["TYPE"] =  7;                       ["SUBTYPE"] =   0;                                   ["MOUNT"] = "small"; ["VXP"] =    0; ["LP"] =  0; ["REP"] =     0; ["FACTION"] =  1;                                        ["NAME"] = { ["EN"] = "Treasure Mounts"; }; ["LORE"] = { ["EN"] = "You have completed your collection of treasure mounts."; }; ["SUMMARY"] = { ["EN"] = "Mount 3 treasure mounts"; }; ["TITLE"] = { ["EN"] = "Wandering Vault-keeper"; }; };</v>
      </c>
      <c r="Z285">
        <f t="shared" si="209"/>
        <v>284</v>
      </c>
      <c r="AA285" t="str">
        <f t="shared" si="181"/>
        <v>[284] = {</v>
      </c>
      <c r="AB285" t="str">
        <f t="shared" si="182"/>
        <v xml:space="preserve">["ID"] = 1879363510; </v>
      </c>
      <c r="AC285" t="str">
        <f t="shared" si="183"/>
        <v xml:space="preserve">["ID"] = 1879363510; </v>
      </c>
      <c r="AD285" t="str">
        <f t="shared" si="184"/>
        <v/>
      </c>
      <c r="AE285" t="str">
        <f t="shared" si="185"/>
        <v xml:space="preserve"> (Treasure Hunt)</v>
      </c>
      <c r="AF285" s="1" t="str">
        <f t="shared" si="186"/>
        <v xml:space="preserve">["SAVE_INDEX"] = 368; </v>
      </c>
      <c r="AG285">
        <f>VLOOKUP(D285,Type!A$2:B$16,2,FALSE)</f>
        <v>7</v>
      </c>
      <c r="AH285" t="str">
        <f t="shared" si="187"/>
        <v xml:space="preserve">["TYPE"] =  7; </v>
      </c>
      <c r="AI285" t="str">
        <f t="shared" si="188"/>
        <v xml:space="preserve">                      </v>
      </c>
      <c r="AJ285" t="str">
        <f>IF(AND(F285="Class",NOT(ISBLANK(E285))),VLOOKUP(E285,Class!A$1:B$12,2,FALSE),"")</f>
        <v/>
      </c>
      <c r="AK285" t="str">
        <f>IF(AND(F285="Vocation",NOT(ISBLANK(E285))),VLOOKUP(E285,Vocation!A$1:B$8,2,FALSE),"")</f>
        <v/>
      </c>
      <c r="AL285" t="str">
        <f>IF(AND(F285="Race",NOT(ISBLANK(E285))),VLOOKUP(E285,Race!A$1:B$9,2,),"")</f>
        <v/>
      </c>
      <c r="AM285" t="str">
        <f t="shared" si="189"/>
        <v xml:space="preserve">  0</v>
      </c>
      <c r="AN285" t="str">
        <f t="shared" si="190"/>
        <v xml:space="preserve">["SUBTYPE"] =   0; </v>
      </c>
      <c r="AO285" t="str">
        <f>IF(NOT(ISBLANK(G285)),VLOOKUP(G285,Type!D$2:E$6,2,FALSE),"")</f>
        <v/>
      </c>
      <c r="AP285" t="str">
        <f t="shared" si="191"/>
        <v xml:space="preserve">            </v>
      </c>
      <c r="AQ285" t="str">
        <f t="shared" si="192"/>
        <v xml:space="preserve">                      </v>
      </c>
      <c r="AR285" t="str">
        <f t="shared" si="193"/>
        <v xml:space="preserve">["MOUNT"] = "small"; </v>
      </c>
      <c r="AS285" t="str">
        <f t="shared" si="194"/>
        <v>0</v>
      </c>
      <c r="AT285" t="str">
        <f t="shared" si="195"/>
        <v xml:space="preserve">["VXP"] =    0; </v>
      </c>
      <c r="AU285" t="str">
        <f t="shared" si="196"/>
        <v>0</v>
      </c>
      <c r="AV285" t="str">
        <f t="shared" si="197"/>
        <v xml:space="preserve">["LP"] =  0; </v>
      </c>
      <c r="AW285" t="str">
        <f t="shared" si="198"/>
        <v>0</v>
      </c>
      <c r="AX285" t="str">
        <f t="shared" si="199"/>
        <v xml:space="preserve">["REP"] =     0; </v>
      </c>
      <c r="AY285">
        <f>IF(LEN(P285)&gt;0,VLOOKUP(P285,Faction!A$2:B$77,2,FALSE),1)</f>
        <v>1</v>
      </c>
      <c r="AZ285" t="str">
        <f t="shared" si="200"/>
        <v xml:space="preserve">["FACTION"] =  1; </v>
      </c>
      <c r="BA285" t="str">
        <f t="shared" si="179"/>
        <v/>
      </c>
      <c r="BB285" t="str">
        <f t="shared" si="201"/>
        <v xml:space="preserve">                     </v>
      </c>
      <c r="BC285" t="str">
        <f t="shared" si="202"/>
        <v xml:space="preserve">                  </v>
      </c>
      <c r="BD285" t="str">
        <f t="shared" si="203"/>
        <v xml:space="preserve">["NAME"] = { ["EN"] = "Treasure Mounts"; }; </v>
      </c>
      <c r="BE285" t="str">
        <f t="shared" si="204"/>
        <v xml:space="preserve">["LORE"] = { ["EN"] = "You have completed your collection of treasure mounts."; }; </v>
      </c>
      <c r="BF285" t="str">
        <f t="shared" si="205"/>
        <v xml:space="preserve">["SUMMARY"] = { ["EN"] = "Mount 3 treasure mounts"; }; </v>
      </c>
      <c r="BG285" t="str">
        <f t="shared" si="206"/>
        <v xml:space="preserve">["TITLE"] = { ["EN"] = "Wandering Vault-keeper"; }; </v>
      </c>
      <c r="BH285" t="str">
        <f t="shared" si="207"/>
        <v/>
      </c>
      <c r="BI285" t="str">
        <f t="shared" si="208"/>
        <v/>
      </c>
      <c r="BJ285" t="str">
        <f t="shared" si="210"/>
        <v>};</v>
      </c>
    </row>
    <row r="286" spans="1:62" x14ac:dyDescent="0.25">
      <c r="C286" s="2" t="s">
        <v>2664</v>
      </c>
      <c r="D286" s="2" t="s">
        <v>812</v>
      </c>
      <c r="I286" t="s">
        <v>2656</v>
      </c>
      <c r="V286">
        <v>152</v>
      </c>
      <c r="X286" t="str">
        <f t="shared" si="178"/>
        <v>[285] = {["CAT_ID"] = 152; }; -- Legendary Server Deeds</v>
      </c>
      <c r="Y286" s="1" t="str">
        <f t="shared" si="180"/>
        <v>[285] = {                                           ["TYPE"] = 14;                       ["SUBTYPE"] =   0;             ["LEGENDARY"] = true; ["VXP"] =    0; ["LP"] =  0; ["REP"] =     0; ["FACTION"] =  1;                                        ["NAME"] = { ["EN"] = "Legendary Server Deeds"; }; };</v>
      </c>
      <c r="Z286">
        <f t="shared" si="209"/>
        <v>285</v>
      </c>
      <c r="AA286" t="str">
        <f t="shared" si="181"/>
        <v>[285] = {</v>
      </c>
      <c r="AB286" t="str">
        <f t="shared" si="182"/>
        <v xml:space="preserve">                     </v>
      </c>
      <c r="AC286" t="str">
        <f t="shared" si="183"/>
        <v/>
      </c>
      <c r="AD286" t="str">
        <f t="shared" si="184"/>
        <v xml:space="preserve">["CAT_ID"] = 152; </v>
      </c>
      <c r="AE286" t="str">
        <f t="shared" si="185"/>
        <v/>
      </c>
      <c r="AF286" s="1" t="str">
        <f t="shared" si="186"/>
        <v xml:space="preserve">                      </v>
      </c>
      <c r="AG286">
        <f>VLOOKUP(D286,Type!A$2:B$16,2,FALSE)</f>
        <v>14</v>
      </c>
      <c r="AH286" t="str">
        <f t="shared" si="187"/>
        <v xml:space="preserve">["TYPE"] = 14; </v>
      </c>
      <c r="AI286" t="str">
        <f t="shared" si="188"/>
        <v xml:space="preserve">                      </v>
      </c>
      <c r="AJ286" t="str">
        <f>IF(AND(F286="Class",NOT(ISBLANK(E286))),VLOOKUP(E286,Class!A$1:B$12,2,FALSE),"")</f>
        <v/>
      </c>
      <c r="AK286" t="str">
        <f>IF(AND(F286="Vocation",NOT(ISBLANK(E286))),VLOOKUP(E286,Vocation!A$1:B$8,2,FALSE),"")</f>
        <v/>
      </c>
      <c r="AL286" t="str">
        <f>IF(AND(F286="Race",NOT(ISBLANK(E286))),VLOOKUP(E286,Race!A$1:B$9,2,),"")</f>
        <v/>
      </c>
      <c r="AM286" t="str">
        <f t="shared" si="189"/>
        <v xml:space="preserve">  0</v>
      </c>
      <c r="AN286" t="str">
        <f t="shared" si="190"/>
        <v xml:space="preserve">["SUBTYPE"] =   0; </v>
      </c>
      <c r="AO286" t="str">
        <f>IF(NOT(ISBLANK(G286)),VLOOKUP(G286,Type!D$2:E$6,2,FALSE),"")</f>
        <v/>
      </c>
      <c r="AP286" t="str">
        <f t="shared" si="191"/>
        <v xml:space="preserve">            </v>
      </c>
      <c r="AQ286" t="str">
        <f t="shared" si="192"/>
        <v xml:space="preserve">["LEGENDARY"] = true; </v>
      </c>
      <c r="AR286" t="str">
        <f t="shared" si="193"/>
        <v/>
      </c>
      <c r="AS286" t="str">
        <f t="shared" si="194"/>
        <v>0</v>
      </c>
      <c r="AT286" t="str">
        <f t="shared" si="195"/>
        <v xml:space="preserve">["VXP"] =    0; </v>
      </c>
      <c r="AU286" t="str">
        <f t="shared" si="196"/>
        <v>0</v>
      </c>
      <c r="AV286" t="str">
        <f t="shared" si="197"/>
        <v xml:space="preserve">["LP"] =  0; </v>
      </c>
      <c r="AW286" t="str">
        <f t="shared" si="198"/>
        <v>0</v>
      </c>
      <c r="AX286" t="str">
        <f t="shared" si="199"/>
        <v xml:space="preserve">["REP"] =     0; </v>
      </c>
      <c r="AY286">
        <f>IF(LEN(P286)&gt;0,VLOOKUP(P286,Faction!A$2:B$77,2,FALSE),1)</f>
        <v>1</v>
      </c>
      <c r="AZ286" t="str">
        <f t="shared" si="200"/>
        <v xml:space="preserve">["FACTION"] =  1; </v>
      </c>
      <c r="BA286" t="str">
        <f t="shared" si="179"/>
        <v/>
      </c>
      <c r="BB286" t="str">
        <f t="shared" si="201"/>
        <v xml:space="preserve">                     </v>
      </c>
      <c r="BC286" t="str">
        <f t="shared" si="202"/>
        <v xml:space="preserve">                  </v>
      </c>
      <c r="BD286" t="str">
        <f t="shared" si="203"/>
        <v xml:space="preserve">["NAME"] = { ["EN"] = "Legendary Server Deeds"; }; </v>
      </c>
      <c r="BE286" t="str">
        <f t="shared" si="204"/>
        <v/>
      </c>
      <c r="BF286" t="str">
        <f t="shared" si="205"/>
        <v/>
      </c>
      <c r="BG286" t="str">
        <f t="shared" si="206"/>
        <v/>
      </c>
      <c r="BH286" t="str">
        <f t="shared" si="207"/>
        <v/>
      </c>
      <c r="BI286" t="str">
        <f t="shared" si="208"/>
        <v/>
      </c>
      <c r="BJ286" t="str">
        <f t="shared" si="210"/>
        <v>};</v>
      </c>
    </row>
    <row r="287" spans="1:62" x14ac:dyDescent="0.25">
      <c r="A287">
        <v>1879381843</v>
      </c>
      <c r="B287">
        <v>297</v>
      </c>
      <c r="C287" t="s">
        <v>2666</v>
      </c>
      <c r="D287" t="s">
        <v>26</v>
      </c>
      <c r="I287" t="s">
        <v>2656</v>
      </c>
      <c r="M287" t="s">
        <v>2695</v>
      </c>
      <c r="N287">
        <v>5</v>
      </c>
      <c r="Q287" t="s">
        <v>2697</v>
      </c>
      <c r="R287" t="s">
        <v>2694</v>
      </c>
      <c r="S287">
        <v>0</v>
      </c>
      <c r="T287">
        <v>14</v>
      </c>
      <c r="X287" t="str">
        <f t="shared" si="178"/>
        <v>[286] = {["ID"] = 1879381843; }; -- There and Bree Again</v>
      </c>
      <c r="Y287" s="1" t="str">
        <f t="shared" si="180"/>
        <v>[286]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7">
        <f t="shared" si="209"/>
        <v>286</v>
      </c>
      <c r="AA287" t="str">
        <f t="shared" si="181"/>
        <v>[286] = {</v>
      </c>
      <c r="AB287" t="str">
        <f t="shared" si="182"/>
        <v xml:space="preserve">["ID"] = 1879381843; </v>
      </c>
      <c r="AC287" t="str">
        <f t="shared" si="183"/>
        <v xml:space="preserve">["ID"] = 1879381843; </v>
      </c>
      <c r="AD287" t="str">
        <f t="shared" si="184"/>
        <v/>
      </c>
      <c r="AE287" t="str">
        <f t="shared" si="185"/>
        <v/>
      </c>
      <c r="AF287" s="1" t="str">
        <f t="shared" si="186"/>
        <v xml:space="preserve">["SAVE_INDEX"] = 297; </v>
      </c>
      <c r="AG287">
        <f>VLOOKUP(D287,Type!A$2:B$16,2,FALSE)</f>
        <v>6</v>
      </c>
      <c r="AH287" t="str">
        <f t="shared" si="187"/>
        <v xml:space="preserve">["TYPE"] =  6; </v>
      </c>
      <c r="AI287" t="str">
        <f t="shared" si="188"/>
        <v xml:space="preserve">                      </v>
      </c>
      <c r="AJ287" t="str">
        <f>IF(AND(F287="Class",NOT(ISBLANK(E287))),VLOOKUP(E287,Class!A$1:B$12,2,FALSE),"")</f>
        <v/>
      </c>
      <c r="AK287" t="str">
        <f>IF(AND(F287="Vocation",NOT(ISBLANK(E287))),VLOOKUP(E287,Vocation!A$1:B$8,2,FALSE),"")</f>
        <v/>
      </c>
      <c r="AL287" t="str">
        <f>IF(AND(F287="Race",NOT(ISBLANK(E287))),VLOOKUP(E287,Race!A$1:B$9,2,),"")</f>
        <v/>
      </c>
      <c r="AM287" t="str">
        <f t="shared" si="189"/>
        <v xml:space="preserve">  0</v>
      </c>
      <c r="AN287" t="str">
        <f t="shared" si="190"/>
        <v xml:space="preserve">["SUBTYPE"] =   0; </v>
      </c>
      <c r="AO287" t="str">
        <f>IF(NOT(ISBLANK(G287)),VLOOKUP(G287,Type!D$2:E$6,2,FALSE),"")</f>
        <v/>
      </c>
      <c r="AP287" t="str">
        <f t="shared" si="191"/>
        <v xml:space="preserve">            </v>
      </c>
      <c r="AQ287" t="str">
        <f t="shared" si="192"/>
        <v xml:space="preserve">["LEGENDARY"] = true; </v>
      </c>
      <c r="AR287" t="str">
        <f t="shared" si="193"/>
        <v/>
      </c>
      <c r="AS287" t="str">
        <f t="shared" si="194"/>
        <v>0</v>
      </c>
      <c r="AT287" t="str">
        <f t="shared" si="195"/>
        <v xml:space="preserve">["VXP"] =    0; </v>
      </c>
      <c r="AU287" t="str">
        <f t="shared" si="196"/>
        <v>5</v>
      </c>
      <c r="AV287" t="str">
        <f t="shared" si="197"/>
        <v xml:space="preserve">["LP"] =  5; </v>
      </c>
      <c r="AW287" t="str">
        <f t="shared" si="198"/>
        <v>0</v>
      </c>
      <c r="AX287" t="str">
        <f t="shared" si="199"/>
        <v xml:space="preserve">["REP"] =     0; </v>
      </c>
      <c r="AY287">
        <f>IF(LEN(P287)&gt;0,VLOOKUP(P287,Faction!A$2:B$77,2,FALSE),1)</f>
        <v>1</v>
      </c>
      <c r="AZ287" t="str">
        <f t="shared" si="200"/>
        <v xml:space="preserve">["FACTION"] =  1; </v>
      </c>
      <c r="BA287" t="str">
        <f t="shared" si="179"/>
        <v/>
      </c>
      <c r="BB287" t="str">
        <f t="shared" si="201"/>
        <v xml:space="preserve">["MIN_LVL"] =  "14"; </v>
      </c>
      <c r="BC287" t="str">
        <f t="shared" si="202"/>
        <v xml:space="preserve">                  </v>
      </c>
      <c r="BD287" t="str">
        <f t="shared" si="203"/>
        <v xml:space="preserve">["NAME"] = { ["EN"] = "There and Bree Again"; }; </v>
      </c>
      <c r="BE287" t="str">
        <f t="shared" si="204"/>
        <v xml:space="preserve">["LORE"] = { ["EN"] = "This deed is for Legendary Servers."; }; </v>
      </c>
      <c r="BF287" t="str">
        <f t="shared" si="205"/>
        <v xml:space="preserve">["SUMMARY"] = { ["EN"] = "Adventure to Level 15 on a legendary server."; }; </v>
      </c>
      <c r="BG287" t="str">
        <f t="shared" si="206"/>
        <v xml:space="preserve">["TITLE"] = { ["EN"] = "Bree-seeker"; }; </v>
      </c>
      <c r="BH287" t="str">
        <f t="shared" si="207"/>
        <v/>
      </c>
      <c r="BI287" t="str">
        <f t="shared" si="208"/>
        <v/>
      </c>
      <c r="BJ287" t="str">
        <f t="shared" si="210"/>
        <v>};</v>
      </c>
    </row>
    <row r="288" spans="1:62" x14ac:dyDescent="0.25">
      <c r="A288">
        <v>1879381844</v>
      </c>
      <c r="B288">
        <v>298</v>
      </c>
      <c r="C288" t="s">
        <v>2667</v>
      </c>
      <c r="D288" t="s">
        <v>26</v>
      </c>
      <c r="I288" t="s">
        <v>2656</v>
      </c>
      <c r="M288" t="s">
        <v>2699</v>
      </c>
      <c r="N288">
        <v>5</v>
      </c>
      <c r="Q288" t="s">
        <v>2698</v>
      </c>
      <c r="R288" t="s">
        <v>2694</v>
      </c>
      <c r="S288">
        <v>0</v>
      </c>
      <c r="T288">
        <v>40</v>
      </c>
      <c r="X288" t="str">
        <f t="shared" si="178"/>
        <v>[287] = {["ID"] = 1879381844; }; -- Daughter of Strife</v>
      </c>
      <c r="Y288" s="1" t="str">
        <f t="shared" si="180"/>
        <v>[287]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88">
        <f t="shared" si="209"/>
        <v>287</v>
      </c>
      <c r="AA288" t="str">
        <f t="shared" si="181"/>
        <v>[287] = {</v>
      </c>
      <c r="AB288" t="str">
        <f t="shared" si="182"/>
        <v xml:space="preserve">["ID"] = 1879381844; </v>
      </c>
      <c r="AC288" t="str">
        <f t="shared" si="183"/>
        <v xml:space="preserve">["ID"] = 1879381844; </v>
      </c>
      <c r="AD288" t="str">
        <f t="shared" si="184"/>
        <v/>
      </c>
      <c r="AE288" t="str">
        <f t="shared" si="185"/>
        <v/>
      </c>
      <c r="AF288" s="1" t="str">
        <f t="shared" si="186"/>
        <v xml:space="preserve">["SAVE_INDEX"] = 298; </v>
      </c>
      <c r="AG288">
        <f>VLOOKUP(D288,Type!A$2:B$16,2,FALSE)</f>
        <v>6</v>
      </c>
      <c r="AH288" t="str">
        <f t="shared" si="187"/>
        <v xml:space="preserve">["TYPE"] =  6; </v>
      </c>
      <c r="AI288" t="str">
        <f t="shared" si="188"/>
        <v xml:space="preserve">                      </v>
      </c>
      <c r="AJ288" t="str">
        <f>IF(AND(F288="Class",NOT(ISBLANK(E288))),VLOOKUP(E288,Class!A$1:B$12,2,FALSE),"")</f>
        <v/>
      </c>
      <c r="AK288" t="str">
        <f>IF(AND(F288="Vocation",NOT(ISBLANK(E288))),VLOOKUP(E288,Vocation!A$1:B$8,2,FALSE),"")</f>
        <v/>
      </c>
      <c r="AL288" t="str">
        <f>IF(AND(F288="Race",NOT(ISBLANK(E288))),VLOOKUP(E288,Race!A$1:B$9,2,),"")</f>
        <v/>
      </c>
      <c r="AM288" t="str">
        <f t="shared" si="189"/>
        <v xml:space="preserve">  0</v>
      </c>
      <c r="AN288" t="str">
        <f t="shared" si="190"/>
        <v xml:space="preserve">["SUBTYPE"] =   0; </v>
      </c>
      <c r="AO288" t="str">
        <f>IF(NOT(ISBLANK(G288)),VLOOKUP(G288,Type!D$2:E$6,2,FALSE),"")</f>
        <v/>
      </c>
      <c r="AP288" t="str">
        <f t="shared" si="191"/>
        <v xml:space="preserve">            </v>
      </c>
      <c r="AQ288" t="str">
        <f t="shared" si="192"/>
        <v xml:space="preserve">["LEGENDARY"] = true; </v>
      </c>
      <c r="AR288" t="str">
        <f t="shared" si="193"/>
        <v/>
      </c>
      <c r="AS288" t="str">
        <f t="shared" si="194"/>
        <v>0</v>
      </c>
      <c r="AT288" t="str">
        <f t="shared" si="195"/>
        <v xml:space="preserve">["VXP"] =    0; </v>
      </c>
      <c r="AU288" t="str">
        <f t="shared" si="196"/>
        <v>5</v>
      </c>
      <c r="AV288" t="str">
        <f t="shared" si="197"/>
        <v xml:space="preserve">["LP"] =  5; </v>
      </c>
      <c r="AW288" t="str">
        <f t="shared" si="198"/>
        <v>0</v>
      </c>
      <c r="AX288" t="str">
        <f t="shared" si="199"/>
        <v xml:space="preserve">["REP"] =     0; </v>
      </c>
      <c r="AY288">
        <f>IF(LEN(P288)&gt;0,VLOOKUP(P288,Faction!A$2:B$77,2,FALSE),1)</f>
        <v>1</v>
      </c>
      <c r="AZ288" t="str">
        <f t="shared" si="200"/>
        <v xml:space="preserve">["FACTION"] =  1; </v>
      </c>
      <c r="BA288" t="str">
        <f t="shared" si="179"/>
        <v/>
      </c>
      <c r="BB288" t="str">
        <f t="shared" si="201"/>
        <v xml:space="preserve">["MIN_LVL"] =  "40"; </v>
      </c>
      <c r="BC288" t="str">
        <f t="shared" si="202"/>
        <v xml:space="preserve">                  </v>
      </c>
      <c r="BD288" t="str">
        <f t="shared" si="203"/>
        <v xml:space="preserve">["NAME"] = { ["EN"] = "Daughter of Strife"; }; </v>
      </c>
      <c r="BE288" t="str">
        <f t="shared" si="204"/>
        <v xml:space="preserve">["LORE"] = { ["EN"] = "This deed is for Legendary Servers."; }; </v>
      </c>
      <c r="BF288" t="str">
        <f t="shared" si="205"/>
        <v xml:space="preserve">["SUMMARY"] = { ["EN"] = "Complete Volume I, Book 15: Daughter of Strife on a legendary server."; }; </v>
      </c>
      <c r="BG288" t="str">
        <f t="shared" si="206"/>
        <v xml:space="preserve">["TITLE"] = { ["EN"] = "Rekindler of Light from the Shadow"; }; </v>
      </c>
      <c r="BH288" t="str">
        <f t="shared" si="207"/>
        <v/>
      </c>
      <c r="BI288" t="str">
        <f t="shared" si="208"/>
        <v/>
      </c>
      <c r="BJ288" t="str">
        <f t="shared" si="210"/>
        <v>};</v>
      </c>
    </row>
    <row r="289" spans="1:62" x14ac:dyDescent="0.25">
      <c r="A289">
        <v>1879381845</v>
      </c>
      <c r="B289">
        <v>299</v>
      </c>
      <c r="C289" t="s">
        <v>2668</v>
      </c>
      <c r="D289" t="s">
        <v>26</v>
      </c>
      <c r="I289" t="s">
        <v>2656</v>
      </c>
      <c r="M289" t="s">
        <v>2700</v>
      </c>
      <c r="N289">
        <v>5</v>
      </c>
      <c r="Q289" t="s">
        <v>2733</v>
      </c>
      <c r="R289" t="s">
        <v>2694</v>
      </c>
      <c r="S289">
        <v>0</v>
      </c>
      <c r="T289">
        <v>40</v>
      </c>
      <c r="X289" t="str">
        <f t="shared" si="178"/>
        <v>[288] = {["ID"] = 1879381845; }; -- Legendary Angmar</v>
      </c>
      <c r="Y289" s="1" t="str">
        <f t="shared" si="180"/>
        <v>[288]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89">
        <f t="shared" si="209"/>
        <v>288</v>
      </c>
      <c r="AA289" t="str">
        <f t="shared" si="181"/>
        <v>[288] = {</v>
      </c>
      <c r="AB289" t="str">
        <f t="shared" si="182"/>
        <v xml:space="preserve">["ID"] = 1879381845; </v>
      </c>
      <c r="AC289" t="str">
        <f t="shared" si="183"/>
        <v xml:space="preserve">["ID"] = 1879381845; </v>
      </c>
      <c r="AD289" t="str">
        <f t="shared" si="184"/>
        <v/>
      </c>
      <c r="AE289" t="str">
        <f t="shared" si="185"/>
        <v/>
      </c>
      <c r="AF289" s="1" t="str">
        <f t="shared" si="186"/>
        <v xml:space="preserve">["SAVE_INDEX"] = 299; </v>
      </c>
      <c r="AG289">
        <f>VLOOKUP(D289,Type!A$2:B$16,2,FALSE)</f>
        <v>6</v>
      </c>
      <c r="AH289" t="str">
        <f t="shared" si="187"/>
        <v xml:space="preserve">["TYPE"] =  6; </v>
      </c>
      <c r="AI289" t="str">
        <f t="shared" si="188"/>
        <v xml:space="preserve">                      </v>
      </c>
      <c r="AJ289" t="str">
        <f>IF(AND(F289="Class",NOT(ISBLANK(E289))),VLOOKUP(E289,Class!A$1:B$12,2,FALSE),"")</f>
        <v/>
      </c>
      <c r="AK289" t="str">
        <f>IF(AND(F289="Vocation",NOT(ISBLANK(E289))),VLOOKUP(E289,Vocation!A$1:B$8,2,FALSE),"")</f>
        <v/>
      </c>
      <c r="AL289" t="str">
        <f>IF(AND(F289="Race",NOT(ISBLANK(E289))),VLOOKUP(E289,Race!A$1:B$9,2,),"")</f>
        <v/>
      </c>
      <c r="AM289" t="str">
        <f t="shared" si="189"/>
        <v xml:space="preserve">  0</v>
      </c>
      <c r="AN289" t="str">
        <f t="shared" si="190"/>
        <v xml:space="preserve">["SUBTYPE"] =   0; </v>
      </c>
      <c r="AO289" t="str">
        <f>IF(NOT(ISBLANK(G289)),VLOOKUP(G289,Type!D$2:E$6,2,FALSE),"")</f>
        <v/>
      </c>
      <c r="AP289" t="str">
        <f t="shared" si="191"/>
        <v xml:space="preserve">            </v>
      </c>
      <c r="AQ289" t="str">
        <f t="shared" si="192"/>
        <v xml:space="preserve">["LEGENDARY"] = true; </v>
      </c>
      <c r="AR289" t="str">
        <f t="shared" si="193"/>
        <v/>
      </c>
      <c r="AS289" t="str">
        <f t="shared" si="194"/>
        <v>0</v>
      </c>
      <c r="AT289" t="str">
        <f t="shared" si="195"/>
        <v xml:space="preserve">["VXP"] =    0; </v>
      </c>
      <c r="AU289" t="str">
        <f t="shared" si="196"/>
        <v>5</v>
      </c>
      <c r="AV289" t="str">
        <f t="shared" si="197"/>
        <v xml:space="preserve">["LP"] =  5; </v>
      </c>
      <c r="AW289" t="str">
        <f t="shared" si="198"/>
        <v>0</v>
      </c>
      <c r="AX289" t="str">
        <f t="shared" si="199"/>
        <v xml:space="preserve">["REP"] =     0; </v>
      </c>
      <c r="AY289">
        <f>IF(LEN(P289)&gt;0,VLOOKUP(P289,Faction!A$2:B$77,2,FALSE),1)</f>
        <v>1</v>
      </c>
      <c r="AZ289" t="str">
        <f t="shared" si="200"/>
        <v xml:space="preserve">["FACTION"] =  1; </v>
      </c>
      <c r="BA289" t="str">
        <f t="shared" si="179"/>
        <v/>
      </c>
      <c r="BB289" t="str">
        <f t="shared" si="201"/>
        <v xml:space="preserve">["MIN_LVL"] =  "40"; </v>
      </c>
      <c r="BC289" t="str">
        <f t="shared" si="202"/>
        <v xml:space="preserve">                  </v>
      </c>
      <c r="BD289" t="str">
        <f t="shared" si="203"/>
        <v xml:space="preserve">["NAME"] = { ["EN"] = "Legendary Angmar"; }; </v>
      </c>
      <c r="BE289" t="str">
        <f t="shared" si="204"/>
        <v xml:space="preserve">["LORE"] = { ["EN"] = "This deed is for Legendary Servers."; }; </v>
      </c>
      <c r="BF289" t="str">
        <f t="shared" si="205"/>
        <v xml:space="preserve">["SUMMARY"] = { ["EN"] = "Complete Legendary Angmar: Carn Dûm, Legendary Angmar: Urugarth, and Legendary Angmar: The Rift of Nûrz Ghâshu."; }; </v>
      </c>
      <c r="BG289" t="str">
        <f t="shared" si="206"/>
        <v xml:space="preserve">["TITLE"] = { ["EN"] = "Shadow-breaker"; }; </v>
      </c>
      <c r="BH289" t="str">
        <f t="shared" si="207"/>
        <v/>
      </c>
      <c r="BI289" t="str">
        <f t="shared" si="208"/>
        <v/>
      </c>
      <c r="BJ289" t="str">
        <f t="shared" si="210"/>
        <v>};</v>
      </c>
    </row>
    <row r="290" spans="1:62" x14ac:dyDescent="0.25">
      <c r="A290">
        <v>1879381882</v>
      </c>
      <c r="B290">
        <v>300</v>
      </c>
      <c r="C290" t="s">
        <v>2669</v>
      </c>
      <c r="D290" t="s">
        <v>26</v>
      </c>
      <c r="I290" t="s">
        <v>2656</v>
      </c>
      <c r="M290" t="s">
        <v>2669</v>
      </c>
      <c r="N290" s="2"/>
      <c r="Q290" t="s">
        <v>2734</v>
      </c>
      <c r="R290" t="s">
        <v>2694</v>
      </c>
      <c r="S290">
        <v>0</v>
      </c>
      <c r="T290">
        <v>40</v>
      </c>
      <c r="X290" t="str">
        <f t="shared" si="178"/>
        <v>[289] = {["ID"] = 1879381882; }; -- Rambling Rover</v>
      </c>
      <c r="Y290" s="1" t="str">
        <f t="shared" si="180"/>
        <v>[289]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0">
        <f t="shared" si="209"/>
        <v>289</v>
      </c>
      <c r="AA290" t="str">
        <f t="shared" si="181"/>
        <v>[289] = {</v>
      </c>
      <c r="AB290" t="str">
        <f t="shared" si="182"/>
        <v xml:space="preserve">["ID"] = 1879381882; </v>
      </c>
      <c r="AC290" t="str">
        <f t="shared" si="183"/>
        <v xml:space="preserve">["ID"] = 1879381882; </v>
      </c>
      <c r="AD290" t="str">
        <f t="shared" si="184"/>
        <v/>
      </c>
      <c r="AE290" t="str">
        <f t="shared" si="185"/>
        <v/>
      </c>
      <c r="AF290" s="1" t="str">
        <f t="shared" si="186"/>
        <v xml:space="preserve">["SAVE_INDEX"] = 300; </v>
      </c>
      <c r="AG290">
        <f>VLOOKUP(D290,Type!A$2:B$16,2,FALSE)</f>
        <v>6</v>
      </c>
      <c r="AH290" t="str">
        <f t="shared" si="187"/>
        <v xml:space="preserve">["TYPE"] =  6; </v>
      </c>
      <c r="AI290" t="str">
        <f t="shared" si="188"/>
        <v xml:space="preserve">                      </v>
      </c>
      <c r="AJ290" t="str">
        <f>IF(AND(F290="Class",NOT(ISBLANK(E290))),VLOOKUP(E290,Class!A$1:B$12,2,FALSE),"")</f>
        <v/>
      </c>
      <c r="AK290" t="str">
        <f>IF(AND(F290="Vocation",NOT(ISBLANK(E290))),VLOOKUP(E290,Vocation!A$1:B$8,2,FALSE),"")</f>
        <v/>
      </c>
      <c r="AL290" t="str">
        <f>IF(AND(F290="Race",NOT(ISBLANK(E290))),VLOOKUP(E290,Race!A$1:B$9,2,),"")</f>
        <v/>
      </c>
      <c r="AM290" t="str">
        <f t="shared" si="189"/>
        <v xml:space="preserve">  0</v>
      </c>
      <c r="AN290" t="str">
        <f t="shared" si="190"/>
        <v xml:space="preserve">["SUBTYPE"] =   0; </v>
      </c>
      <c r="AO290" t="str">
        <f>IF(NOT(ISBLANK(G290)),VLOOKUP(G290,Type!D$2:E$6,2,FALSE),"")</f>
        <v/>
      </c>
      <c r="AP290" t="str">
        <f t="shared" si="191"/>
        <v xml:space="preserve">            </v>
      </c>
      <c r="AQ290" t="str">
        <f t="shared" si="192"/>
        <v xml:space="preserve">["LEGENDARY"] = true; </v>
      </c>
      <c r="AR290" t="str">
        <f t="shared" si="193"/>
        <v/>
      </c>
      <c r="AS290" t="str">
        <f t="shared" si="194"/>
        <v>0</v>
      </c>
      <c r="AT290" t="str">
        <f t="shared" si="195"/>
        <v xml:space="preserve">["VXP"] =    0; </v>
      </c>
      <c r="AU290" t="str">
        <f t="shared" si="196"/>
        <v>0</v>
      </c>
      <c r="AV290" t="str">
        <f t="shared" si="197"/>
        <v xml:space="preserve">["LP"] =  0; </v>
      </c>
      <c r="AW290" t="str">
        <f t="shared" si="198"/>
        <v>0</v>
      </c>
      <c r="AX290" t="str">
        <f t="shared" si="199"/>
        <v xml:space="preserve">["REP"] =     0; </v>
      </c>
      <c r="AY290">
        <f>IF(LEN(P290)&gt;0,VLOOKUP(P290,Faction!A$2:B$77,2,FALSE),1)</f>
        <v>1</v>
      </c>
      <c r="AZ290" t="str">
        <f t="shared" si="200"/>
        <v xml:space="preserve">["FACTION"] =  1; </v>
      </c>
      <c r="BA290" t="str">
        <f t="shared" si="179"/>
        <v/>
      </c>
      <c r="BB290" t="str">
        <f t="shared" si="201"/>
        <v xml:space="preserve">["MIN_LVL"] =  "40"; </v>
      </c>
      <c r="BC290" t="str">
        <f t="shared" si="202"/>
        <v xml:space="preserve">                  </v>
      </c>
      <c r="BD290" t="str">
        <f t="shared" si="203"/>
        <v xml:space="preserve">["NAME"] = { ["EN"] = "Rambling Rover"; }; </v>
      </c>
      <c r="BE290" t="str">
        <f t="shared" si="204"/>
        <v xml:space="preserve">["LORE"] = { ["EN"] = "This deed is for Legendary Servers."; }; </v>
      </c>
      <c r="BF290" t="str">
        <f t="shared" si="205"/>
        <v xml:space="preserve">["SUMMARY"] = { ["EN"] = "Use 'Universal Title Writ - Rambling Rover', bartered from Quartermaster (Legendary Angmar Rewards) in Gath Forthnír for 15 Legendary Coins of Angmar."; }; </v>
      </c>
      <c r="BG290" t="str">
        <f t="shared" si="206"/>
        <v xml:space="preserve">["TITLE"] = { ["EN"] = "Rambling Rover"; }; </v>
      </c>
      <c r="BH290" t="str">
        <f t="shared" si="207"/>
        <v/>
      </c>
      <c r="BI290" t="str">
        <f t="shared" si="208"/>
        <v/>
      </c>
      <c r="BJ290" t="str">
        <f t="shared" si="210"/>
        <v>};</v>
      </c>
    </row>
    <row r="291" spans="1:62" x14ac:dyDescent="0.25">
      <c r="A291">
        <v>1879383612</v>
      </c>
      <c r="B291">
        <v>301</v>
      </c>
      <c r="C291" t="s">
        <v>2670</v>
      </c>
      <c r="D291" t="s">
        <v>26</v>
      </c>
      <c r="I291" t="s">
        <v>2656</v>
      </c>
      <c r="M291" t="s">
        <v>2670</v>
      </c>
      <c r="N291" s="2"/>
      <c r="Q291" t="s">
        <v>2735</v>
      </c>
      <c r="R291" t="s">
        <v>2694</v>
      </c>
      <c r="S291">
        <v>0</v>
      </c>
      <c r="T291">
        <v>45</v>
      </c>
      <c r="X291" t="str">
        <f t="shared" si="178"/>
        <v>[290] = {["ID"] = 1879383612; }; -- Legend of Angmar</v>
      </c>
      <c r="Y291" s="1" t="str">
        <f t="shared" si="180"/>
        <v>[290]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1">
        <f t="shared" si="209"/>
        <v>290</v>
      </c>
      <c r="AA291" t="str">
        <f t="shared" si="181"/>
        <v>[290] = {</v>
      </c>
      <c r="AB291" t="str">
        <f t="shared" si="182"/>
        <v xml:space="preserve">["ID"] = 1879383612; </v>
      </c>
      <c r="AC291" t="str">
        <f t="shared" si="183"/>
        <v xml:space="preserve">["ID"] = 1879383612; </v>
      </c>
      <c r="AD291" t="str">
        <f t="shared" si="184"/>
        <v/>
      </c>
      <c r="AE291" t="str">
        <f t="shared" si="185"/>
        <v/>
      </c>
      <c r="AF291" s="1" t="str">
        <f t="shared" si="186"/>
        <v xml:space="preserve">["SAVE_INDEX"] = 301; </v>
      </c>
      <c r="AG291">
        <f>VLOOKUP(D291,Type!A$2:B$16,2,FALSE)</f>
        <v>6</v>
      </c>
      <c r="AH291" t="str">
        <f t="shared" si="187"/>
        <v xml:space="preserve">["TYPE"] =  6; </v>
      </c>
      <c r="AI291" t="str">
        <f t="shared" si="188"/>
        <v xml:space="preserve">                      </v>
      </c>
      <c r="AJ291" t="str">
        <f>IF(AND(F291="Class",NOT(ISBLANK(E291))),VLOOKUP(E291,Class!A$1:B$12,2,FALSE),"")</f>
        <v/>
      </c>
      <c r="AK291" t="str">
        <f>IF(AND(F291="Vocation",NOT(ISBLANK(E291))),VLOOKUP(E291,Vocation!A$1:B$8,2,FALSE),"")</f>
        <v/>
      </c>
      <c r="AL291" t="str">
        <f>IF(AND(F291="Race",NOT(ISBLANK(E291))),VLOOKUP(E291,Race!A$1:B$9,2,),"")</f>
        <v/>
      </c>
      <c r="AM291" t="str">
        <f t="shared" si="189"/>
        <v xml:space="preserve">  0</v>
      </c>
      <c r="AN291" t="str">
        <f t="shared" si="190"/>
        <v xml:space="preserve">["SUBTYPE"] =   0; </v>
      </c>
      <c r="AO291" t="str">
        <f>IF(NOT(ISBLANK(G291)),VLOOKUP(G291,Type!D$2:E$6,2,FALSE),"")</f>
        <v/>
      </c>
      <c r="AP291" t="str">
        <f t="shared" si="191"/>
        <v xml:space="preserve">            </v>
      </c>
      <c r="AQ291" t="str">
        <f t="shared" si="192"/>
        <v xml:space="preserve">["LEGENDARY"] = true; </v>
      </c>
      <c r="AR291" t="str">
        <f t="shared" si="193"/>
        <v/>
      </c>
      <c r="AS291" t="str">
        <f t="shared" si="194"/>
        <v>0</v>
      </c>
      <c r="AT291" t="str">
        <f t="shared" si="195"/>
        <v xml:space="preserve">["VXP"] =    0; </v>
      </c>
      <c r="AU291" t="str">
        <f t="shared" si="196"/>
        <v>0</v>
      </c>
      <c r="AV291" t="str">
        <f t="shared" si="197"/>
        <v xml:space="preserve">["LP"] =  0; </v>
      </c>
      <c r="AW291" t="str">
        <f t="shared" si="198"/>
        <v>0</v>
      </c>
      <c r="AX291" t="str">
        <f t="shared" si="199"/>
        <v xml:space="preserve">["REP"] =     0; </v>
      </c>
      <c r="AY291">
        <f>IF(LEN(P291)&gt;0,VLOOKUP(P291,Faction!A$2:B$77,2,FALSE),1)</f>
        <v>1</v>
      </c>
      <c r="AZ291" t="str">
        <f t="shared" si="200"/>
        <v xml:space="preserve">["FACTION"] =  1; </v>
      </c>
      <c r="BA291" t="str">
        <f t="shared" si="179"/>
        <v/>
      </c>
      <c r="BB291" t="str">
        <f t="shared" si="201"/>
        <v xml:space="preserve">["MIN_LVL"] =  "45"; </v>
      </c>
      <c r="BC291" t="str">
        <f t="shared" si="202"/>
        <v xml:space="preserve">                  </v>
      </c>
      <c r="BD291" t="str">
        <f t="shared" si="203"/>
        <v xml:space="preserve">["NAME"] = { ["EN"] = "Legend of Angmar"; }; </v>
      </c>
      <c r="BE291" t="str">
        <f t="shared" si="204"/>
        <v xml:space="preserve">["LORE"] = { ["EN"] = "This deed is for Legendary Servers."; }; </v>
      </c>
      <c r="BF291" t="str">
        <f t="shared" si="205"/>
        <v xml:space="preserve">["SUMMARY"] = { ["EN"] = "Use 'Title Writ - Legend of Angmar', bartered from Quartermaster (Legendary Angmar Rewards) in Gath Forthnír for 5 Legendary Coins of Angmar."; }; </v>
      </c>
      <c r="BG291" t="str">
        <f t="shared" si="206"/>
        <v xml:space="preserve">["TITLE"] = { ["EN"] = "Legend of Angmar"; }; </v>
      </c>
      <c r="BH291" t="str">
        <f t="shared" si="207"/>
        <v/>
      </c>
      <c r="BI291" t="str">
        <f t="shared" si="208"/>
        <v/>
      </c>
      <c r="BJ291" t="str">
        <f t="shared" si="210"/>
        <v>};</v>
      </c>
    </row>
    <row r="292" spans="1:62" x14ac:dyDescent="0.25">
      <c r="A292">
        <v>1879381842</v>
      </c>
      <c r="B292">
        <v>302</v>
      </c>
      <c r="C292" t="s">
        <v>2665</v>
      </c>
      <c r="D292" t="s">
        <v>26</v>
      </c>
      <c r="I292" t="s">
        <v>2656</v>
      </c>
      <c r="M292" t="s">
        <v>2696</v>
      </c>
      <c r="N292">
        <v>5</v>
      </c>
      <c r="Q292" t="s">
        <v>2693</v>
      </c>
      <c r="R292" t="s">
        <v>2694</v>
      </c>
      <c r="S292">
        <v>0</v>
      </c>
      <c r="T292">
        <v>49</v>
      </c>
      <c r="X292" t="str">
        <f t="shared" si="178"/>
        <v>[291] = {["ID"] = 1879381842; }; -- Out From the Shadows</v>
      </c>
      <c r="Y292" s="1" t="str">
        <f t="shared" si="180"/>
        <v>[291]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2">
        <f t="shared" si="209"/>
        <v>291</v>
      </c>
      <c r="AA292" t="str">
        <f t="shared" si="181"/>
        <v>[291] = {</v>
      </c>
      <c r="AB292" t="str">
        <f t="shared" si="182"/>
        <v xml:space="preserve">["ID"] = 1879381842; </v>
      </c>
      <c r="AC292" t="str">
        <f t="shared" si="183"/>
        <v xml:space="preserve">["ID"] = 1879381842; </v>
      </c>
      <c r="AD292" t="str">
        <f t="shared" si="184"/>
        <v/>
      </c>
      <c r="AE292" t="str">
        <f t="shared" si="185"/>
        <v/>
      </c>
      <c r="AF292" s="1" t="str">
        <f t="shared" si="186"/>
        <v xml:space="preserve">["SAVE_INDEX"] = 302; </v>
      </c>
      <c r="AG292">
        <f>VLOOKUP(D292,Type!A$2:B$16,2,FALSE)</f>
        <v>6</v>
      </c>
      <c r="AH292" t="str">
        <f t="shared" si="187"/>
        <v xml:space="preserve">["TYPE"] =  6; </v>
      </c>
      <c r="AI292" t="str">
        <f t="shared" si="188"/>
        <v xml:space="preserve">                      </v>
      </c>
      <c r="AJ292" t="str">
        <f>IF(AND(F292="Class",NOT(ISBLANK(E292))),VLOOKUP(E292,Class!A$1:B$12,2,FALSE),"")</f>
        <v/>
      </c>
      <c r="AK292" t="str">
        <f>IF(AND(F292="Vocation",NOT(ISBLANK(E292))),VLOOKUP(E292,Vocation!A$1:B$8,2,FALSE),"")</f>
        <v/>
      </c>
      <c r="AL292" t="str">
        <f>IF(AND(F292="Race",NOT(ISBLANK(E292))),VLOOKUP(E292,Race!A$1:B$9,2,),"")</f>
        <v/>
      </c>
      <c r="AM292" t="str">
        <f t="shared" si="189"/>
        <v xml:space="preserve">  0</v>
      </c>
      <c r="AN292" t="str">
        <f t="shared" si="190"/>
        <v xml:space="preserve">["SUBTYPE"] =   0; </v>
      </c>
      <c r="AO292" t="str">
        <f>IF(NOT(ISBLANK(G292)),VLOOKUP(G292,Type!D$2:E$6,2,FALSE),"")</f>
        <v/>
      </c>
      <c r="AP292" t="str">
        <f t="shared" si="191"/>
        <v xml:space="preserve">            </v>
      </c>
      <c r="AQ292" t="str">
        <f t="shared" si="192"/>
        <v xml:space="preserve">["LEGENDARY"] = true; </v>
      </c>
      <c r="AR292" t="str">
        <f t="shared" si="193"/>
        <v/>
      </c>
      <c r="AS292" t="str">
        <f t="shared" si="194"/>
        <v>0</v>
      </c>
      <c r="AT292" t="str">
        <f t="shared" si="195"/>
        <v xml:space="preserve">["VXP"] =    0; </v>
      </c>
      <c r="AU292" t="str">
        <f t="shared" si="196"/>
        <v>5</v>
      </c>
      <c r="AV292" t="str">
        <f t="shared" si="197"/>
        <v xml:space="preserve">["LP"] =  5; </v>
      </c>
      <c r="AW292" t="str">
        <f t="shared" si="198"/>
        <v>0</v>
      </c>
      <c r="AX292" t="str">
        <f t="shared" si="199"/>
        <v xml:space="preserve">["REP"] =     0; </v>
      </c>
      <c r="AY292">
        <f>IF(LEN(P292)&gt;0,VLOOKUP(P292,Faction!A$2:B$77,2,FALSE),1)</f>
        <v>1</v>
      </c>
      <c r="AZ292" t="str">
        <f t="shared" si="200"/>
        <v xml:space="preserve">["FACTION"] =  1; </v>
      </c>
      <c r="BA292" t="str">
        <f t="shared" si="179"/>
        <v/>
      </c>
      <c r="BB292" t="str">
        <f t="shared" si="201"/>
        <v xml:space="preserve">["MIN_LVL"] =  "49"; </v>
      </c>
      <c r="BC292" t="str">
        <f t="shared" si="202"/>
        <v xml:space="preserve">                  </v>
      </c>
      <c r="BD292" t="str">
        <f t="shared" si="203"/>
        <v xml:space="preserve">["NAME"] = { ["EN"] = "Out From the Shadows"; }; </v>
      </c>
      <c r="BE292" t="str">
        <f t="shared" si="204"/>
        <v xml:space="preserve">["LORE"] = { ["EN"] = "This deed is for Legendary Servers."; }; </v>
      </c>
      <c r="BF292" t="str">
        <f t="shared" si="205"/>
        <v xml:space="preserve">["SUMMARY"] = { ["EN"] = "Adventure to Level 50 on a legendary server."; }; </v>
      </c>
      <c r="BG292" t="str">
        <f t="shared" si="206"/>
        <v xml:space="preserve">["TITLE"] = { ["EN"] = "Legendary Traveller"; }; </v>
      </c>
      <c r="BH292" t="str">
        <f t="shared" si="207"/>
        <v/>
      </c>
      <c r="BI292" t="str">
        <f t="shared" si="208"/>
        <v/>
      </c>
      <c r="BJ292" t="str">
        <f t="shared" si="210"/>
        <v>};</v>
      </c>
    </row>
    <row r="293" spans="1:62" x14ac:dyDescent="0.25">
      <c r="A293">
        <v>1879385678</v>
      </c>
      <c r="B293">
        <v>303</v>
      </c>
      <c r="C293" t="s">
        <v>2672</v>
      </c>
      <c r="D293" t="s">
        <v>26</v>
      </c>
      <c r="I293" t="s">
        <v>2656</v>
      </c>
      <c r="M293" t="s">
        <v>2701</v>
      </c>
      <c r="N293">
        <v>5</v>
      </c>
      <c r="Q293" t="s">
        <v>2702</v>
      </c>
      <c r="R293" t="s">
        <v>2694</v>
      </c>
      <c r="S293">
        <v>0</v>
      </c>
      <c r="T293">
        <v>50</v>
      </c>
      <c r="X293" t="str">
        <f t="shared" si="178"/>
        <v>[292] = {["ID"] = 1879385678; }; -- Legendary Moria</v>
      </c>
      <c r="Y293" s="1" t="str">
        <f t="shared" si="180"/>
        <v>[292]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3">
        <f t="shared" si="209"/>
        <v>292</v>
      </c>
      <c r="AA293" t="str">
        <f t="shared" si="181"/>
        <v>[292] = {</v>
      </c>
      <c r="AB293" t="str">
        <f t="shared" si="182"/>
        <v xml:space="preserve">["ID"] = 1879385678; </v>
      </c>
      <c r="AC293" t="str">
        <f t="shared" si="183"/>
        <v xml:space="preserve">["ID"] = 1879385678; </v>
      </c>
      <c r="AD293" t="str">
        <f t="shared" si="184"/>
        <v/>
      </c>
      <c r="AE293" t="str">
        <f t="shared" si="185"/>
        <v/>
      </c>
      <c r="AF293" s="1" t="str">
        <f t="shared" si="186"/>
        <v xml:space="preserve">["SAVE_INDEX"] = 303; </v>
      </c>
      <c r="AG293">
        <f>VLOOKUP(D293,Type!A$2:B$16,2,FALSE)</f>
        <v>6</v>
      </c>
      <c r="AH293" t="str">
        <f t="shared" si="187"/>
        <v xml:space="preserve">["TYPE"] =  6; </v>
      </c>
      <c r="AI293" t="str">
        <f t="shared" si="188"/>
        <v xml:space="preserve">                      </v>
      </c>
      <c r="AJ293" t="str">
        <f>IF(AND(F293="Class",NOT(ISBLANK(E293))),VLOOKUP(E293,Class!A$1:B$12,2,FALSE),"")</f>
        <v/>
      </c>
      <c r="AK293" t="str">
        <f>IF(AND(F293="Vocation",NOT(ISBLANK(E293))),VLOOKUP(E293,Vocation!A$1:B$8,2,FALSE),"")</f>
        <v/>
      </c>
      <c r="AL293" t="str">
        <f>IF(AND(F293="Race",NOT(ISBLANK(E293))),VLOOKUP(E293,Race!A$1:B$9,2,),"")</f>
        <v/>
      </c>
      <c r="AM293" t="str">
        <f t="shared" si="189"/>
        <v xml:space="preserve">  0</v>
      </c>
      <c r="AN293" t="str">
        <f t="shared" si="190"/>
        <v xml:space="preserve">["SUBTYPE"] =   0; </v>
      </c>
      <c r="AO293" t="str">
        <f>IF(NOT(ISBLANK(G293)),VLOOKUP(G293,Type!D$2:E$6,2,FALSE),"")</f>
        <v/>
      </c>
      <c r="AP293" t="str">
        <f t="shared" si="191"/>
        <v xml:space="preserve">            </v>
      </c>
      <c r="AQ293" t="str">
        <f t="shared" si="192"/>
        <v xml:space="preserve">["LEGENDARY"] = true; </v>
      </c>
      <c r="AR293" t="str">
        <f t="shared" si="193"/>
        <v/>
      </c>
      <c r="AS293" t="str">
        <f t="shared" si="194"/>
        <v>0</v>
      </c>
      <c r="AT293" t="str">
        <f t="shared" si="195"/>
        <v xml:space="preserve">["VXP"] =    0; </v>
      </c>
      <c r="AU293" t="str">
        <f t="shared" si="196"/>
        <v>5</v>
      </c>
      <c r="AV293" t="str">
        <f t="shared" si="197"/>
        <v xml:space="preserve">["LP"] =  5; </v>
      </c>
      <c r="AW293" t="str">
        <f t="shared" si="198"/>
        <v>0</v>
      </c>
      <c r="AX293" t="str">
        <f t="shared" si="199"/>
        <v xml:space="preserve">["REP"] =     0; </v>
      </c>
      <c r="AY293">
        <f>IF(LEN(P293)&gt;0,VLOOKUP(P293,Faction!A$2:B$77,2,FALSE),1)</f>
        <v>1</v>
      </c>
      <c r="AZ293" t="str">
        <f t="shared" si="200"/>
        <v xml:space="preserve">["FACTION"] =  1; </v>
      </c>
      <c r="BA293" t="str">
        <f t="shared" si="179"/>
        <v/>
      </c>
      <c r="BB293" t="str">
        <f t="shared" si="201"/>
        <v xml:space="preserve">["MIN_LVL"] =  "50"; </v>
      </c>
      <c r="BC293" t="str">
        <f t="shared" si="202"/>
        <v xml:space="preserve">                  </v>
      </c>
      <c r="BD293" t="str">
        <f t="shared" si="203"/>
        <v xml:space="preserve">["NAME"] = { ["EN"] = "Legendary Moria"; }; </v>
      </c>
      <c r="BE293" t="str">
        <f t="shared" si="204"/>
        <v xml:space="preserve">["LORE"] = { ["EN"] = "This deed is for Legendary Servers."; }; </v>
      </c>
      <c r="BF293" t="str">
        <f t="shared" si="20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3" t="str">
        <f t="shared" si="206"/>
        <v xml:space="preserve">["TITLE"] = { ["EN"] = "Delver of the Darkest Depths"; }; </v>
      </c>
      <c r="BH293" t="str">
        <f t="shared" si="207"/>
        <v/>
      </c>
      <c r="BI293" t="str">
        <f t="shared" si="208"/>
        <v/>
      </c>
      <c r="BJ293" t="str">
        <f t="shared" si="210"/>
        <v>};</v>
      </c>
    </row>
    <row r="294" spans="1:62" x14ac:dyDescent="0.25">
      <c r="A294">
        <v>1879385683</v>
      </c>
      <c r="B294">
        <v>304</v>
      </c>
      <c r="C294" t="s">
        <v>2674</v>
      </c>
      <c r="D294" t="s">
        <v>26</v>
      </c>
      <c r="I294" t="s">
        <v>2656</v>
      </c>
      <c r="M294" t="s">
        <v>2706</v>
      </c>
      <c r="N294">
        <v>5</v>
      </c>
      <c r="Q294" t="s">
        <v>2705</v>
      </c>
      <c r="R294" t="s">
        <v>2694</v>
      </c>
      <c r="S294">
        <v>0</v>
      </c>
      <c r="T294">
        <v>50</v>
      </c>
      <c r="X294" t="str">
        <f t="shared" si="178"/>
        <v>[293] = {["ID"] = 1879385683; }; -- Scourge of Khazad-dûm</v>
      </c>
      <c r="Y294" s="1" t="str">
        <f t="shared" si="180"/>
        <v>[293]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4">
        <f t="shared" si="209"/>
        <v>293</v>
      </c>
      <c r="AA294" t="str">
        <f t="shared" si="181"/>
        <v>[293] = {</v>
      </c>
      <c r="AB294" t="str">
        <f t="shared" si="182"/>
        <v xml:space="preserve">["ID"] = 1879385683; </v>
      </c>
      <c r="AC294" t="str">
        <f t="shared" si="183"/>
        <v xml:space="preserve">["ID"] = 1879385683; </v>
      </c>
      <c r="AD294" t="str">
        <f t="shared" si="184"/>
        <v/>
      </c>
      <c r="AE294" t="str">
        <f t="shared" si="185"/>
        <v/>
      </c>
      <c r="AF294" s="1" t="str">
        <f t="shared" si="186"/>
        <v xml:space="preserve">["SAVE_INDEX"] = 304; </v>
      </c>
      <c r="AG294">
        <f>VLOOKUP(D294,Type!A$2:B$16,2,FALSE)</f>
        <v>6</v>
      </c>
      <c r="AH294" t="str">
        <f t="shared" si="187"/>
        <v xml:space="preserve">["TYPE"] =  6; </v>
      </c>
      <c r="AI294" t="str">
        <f t="shared" si="188"/>
        <v xml:space="preserve">                      </v>
      </c>
      <c r="AJ294" t="str">
        <f>IF(AND(F294="Class",NOT(ISBLANK(E294))),VLOOKUP(E294,Class!A$1:B$12,2,FALSE),"")</f>
        <v/>
      </c>
      <c r="AK294" t="str">
        <f>IF(AND(F294="Vocation",NOT(ISBLANK(E294))),VLOOKUP(E294,Vocation!A$1:B$8,2,FALSE),"")</f>
        <v/>
      </c>
      <c r="AL294" t="str">
        <f>IF(AND(F294="Race",NOT(ISBLANK(E294))),VLOOKUP(E294,Race!A$1:B$9,2,),"")</f>
        <v/>
      </c>
      <c r="AM294" t="str">
        <f t="shared" si="189"/>
        <v xml:space="preserve">  0</v>
      </c>
      <c r="AN294" t="str">
        <f t="shared" si="190"/>
        <v xml:space="preserve">["SUBTYPE"] =   0; </v>
      </c>
      <c r="AO294" t="str">
        <f>IF(NOT(ISBLANK(G294)),VLOOKUP(G294,Type!D$2:E$6,2,FALSE),"")</f>
        <v/>
      </c>
      <c r="AP294" t="str">
        <f t="shared" si="191"/>
        <v xml:space="preserve">            </v>
      </c>
      <c r="AQ294" t="str">
        <f t="shared" si="192"/>
        <v xml:space="preserve">["LEGENDARY"] = true; </v>
      </c>
      <c r="AR294" t="str">
        <f t="shared" si="193"/>
        <v/>
      </c>
      <c r="AS294" t="str">
        <f t="shared" si="194"/>
        <v>0</v>
      </c>
      <c r="AT294" t="str">
        <f t="shared" si="195"/>
        <v xml:space="preserve">["VXP"] =    0; </v>
      </c>
      <c r="AU294" t="str">
        <f t="shared" si="196"/>
        <v>5</v>
      </c>
      <c r="AV294" t="str">
        <f t="shared" si="197"/>
        <v xml:space="preserve">["LP"] =  5; </v>
      </c>
      <c r="AW294" t="str">
        <f t="shared" si="198"/>
        <v>0</v>
      </c>
      <c r="AX294" t="str">
        <f t="shared" si="199"/>
        <v xml:space="preserve">["REP"] =     0; </v>
      </c>
      <c r="AY294">
        <f>IF(LEN(P294)&gt;0,VLOOKUP(P294,Faction!A$2:B$77,2,FALSE),1)</f>
        <v>1</v>
      </c>
      <c r="AZ294" t="str">
        <f t="shared" si="200"/>
        <v xml:space="preserve">["FACTION"] =  1; </v>
      </c>
      <c r="BA294" t="str">
        <f t="shared" si="179"/>
        <v/>
      </c>
      <c r="BB294" t="str">
        <f t="shared" si="201"/>
        <v xml:space="preserve">["MIN_LVL"] =  "50"; </v>
      </c>
      <c r="BC294" t="str">
        <f t="shared" si="202"/>
        <v xml:space="preserve">                  </v>
      </c>
      <c r="BD294" t="str">
        <f t="shared" si="203"/>
        <v xml:space="preserve">["NAME"] = { ["EN"] = "Scourge of Khazad-dûm"; }; </v>
      </c>
      <c r="BE294" t="str">
        <f t="shared" si="204"/>
        <v xml:space="preserve">["LORE"] = { ["EN"] = "This deed is for Legendary Servers."; }; </v>
      </c>
      <c r="BF294" t="str">
        <f t="shared" si="205"/>
        <v xml:space="preserve">["SUMMARY"] = { ["EN"] = "Complete Volume II, Book 8: Return to Azanarukâr on a legendary server."; }; </v>
      </c>
      <c r="BG294" t="str">
        <f t="shared" si="206"/>
        <v xml:space="preserve">["TITLE"] = { ["EN"] = "Bane of Shadow and Flame"; }; </v>
      </c>
      <c r="BH294" t="str">
        <f t="shared" si="207"/>
        <v/>
      </c>
      <c r="BI294" t="str">
        <f t="shared" si="208"/>
        <v/>
      </c>
      <c r="BJ294" t="str">
        <f t="shared" si="210"/>
        <v>};</v>
      </c>
    </row>
    <row r="295" spans="1:62" x14ac:dyDescent="0.25">
      <c r="A295">
        <v>1879385676</v>
      </c>
      <c r="B295">
        <v>305</v>
      </c>
      <c r="C295" t="s">
        <v>2671</v>
      </c>
      <c r="D295" t="s">
        <v>26</v>
      </c>
      <c r="I295" t="s">
        <v>2656</v>
      </c>
      <c r="M295" t="s">
        <v>2671</v>
      </c>
      <c r="N295" s="2"/>
      <c r="Q295" t="s">
        <v>2736</v>
      </c>
      <c r="R295" t="s">
        <v>2694</v>
      </c>
      <c r="S295">
        <v>0</v>
      </c>
      <c r="T295">
        <v>55</v>
      </c>
      <c r="X295" t="str">
        <f t="shared" si="178"/>
        <v>[294] = {["ID"] = 1879385676; }; -- Legend of Moria</v>
      </c>
      <c r="Y295" s="1" t="str">
        <f t="shared" si="180"/>
        <v>[294]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5">
        <f t="shared" si="209"/>
        <v>294</v>
      </c>
      <c r="AA295" t="str">
        <f t="shared" si="181"/>
        <v>[294] = {</v>
      </c>
      <c r="AB295" t="str">
        <f t="shared" si="182"/>
        <v xml:space="preserve">["ID"] = 1879385676; </v>
      </c>
      <c r="AC295" t="str">
        <f t="shared" si="183"/>
        <v xml:space="preserve">["ID"] = 1879385676; </v>
      </c>
      <c r="AD295" t="str">
        <f t="shared" si="184"/>
        <v/>
      </c>
      <c r="AE295" t="str">
        <f t="shared" si="185"/>
        <v/>
      </c>
      <c r="AF295" s="1" t="str">
        <f t="shared" si="186"/>
        <v xml:space="preserve">["SAVE_INDEX"] = 305; </v>
      </c>
      <c r="AG295">
        <f>VLOOKUP(D295,Type!A$2:B$16,2,FALSE)</f>
        <v>6</v>
      </c>
      <c r="AH295" t="str">
        <f t="shared" si="187"/>
        <v xml:space="preserve">["TYPE"] =  6; </v>
      </c>
      <c r="AI295" t="str">
        <f t="shared" si="188"/>
        <v xml:space="preserve">                      </v>
      </c>
      <c r="AJ295" t="str">
        <f>IF(AND(F295="Class",NOT(ISBLANK(E295))),VLOOKUP(E295,Class!A$1:B$12,2,FALSE),"")</f>
        <v/>
      </c>
      <c r="AK295" t="str">
        <f>IF(AND(F295="Vocation",NOT(ISBLANK(E295))),VLOOKUP(E295,Vocation!A$1:B$8,2,FALSE),"")</f>
        <v/>
      </c>
      <c r="AL295" t="str">
        <f>IF(AND(F295="Race",NOT(ISBLANK(E295))),VLOOKUP(E295,Race!A$1:B$9,2,),"")</f>
        <v/>
      </c>
      <c r="AM295" t="str">
        <f t="shared" si="189"/>
        <v xml:space="preserve">  0</v>
      </c>
      <c r="AN295" t="str">
        <f t="shared" si="190"/>
        <v xml:space="preserve">["SUBTYPE"] =   0; </v>
      </c>
      <c r="AO295" t="str">
        <f>IF(NOT(ISBLANK(G295)),VLOOKUP(G295,Type!D$2:E$6,2,FALSE),"")</f>
        <v/>
      </c>
      <c r="AP295" t="str">
        <f t="shared" si="191"/>
        <v xml:space="preserve">            </v>
      </c>
      <c r="AQ295" t="str">
        <f t="shared" si="192"/>
        <v xml:space="preserve">["LEGENDARY"] = true; </v>
      </c>
      <c r="AR295" t="str">
        <f t="shared" si="193"/>
        <v/>
      </c>
      <c r="AS295" t="str">
        <f t="shared" si="194"/>
        <v>0</v>
      </c>
      <c r="AT295" t="str">
        <f t="shared" si="195"/>
        <v xml:space="preserve">["VXP"] =    0; </v>
      </c>
      <c r="AU295" t="str">
        <f t="shared" si="196"/>
        <v>0</v>
      </c>
      <c r="AV295" t="str">
        <f t="shared" si="197"/>
        <v xml:space="preserve">["LP"] =  0; </v>
      </c>
      <c r="AW295" t="str">
        <f t="shared" si="198"/>
        <v>0</v>
      </c>
      <c r="AX295" t="str">
        <f t="shared" si="199"/>
        <v xml:space="preserve">["REP"] =     0; </v>
      </c>
      <c r="AY295">
        <f>IF(LEN(P295)&gt;0,VLOOKUP(P295,Faction!A$2:B$77,2,FALSE),1)</f>
        <v>1</v>
      </c>
      <c r="AZ295" t="str">
        <f t="shared" si="200"/>
        <v xml:space="preserve">["FACTION"] =  1; </v>
      </c>
      <c r="BA295" t="str">
        <f t="shared" si="179"/>
        <v/>
      </c>
      <c r="BB295" t="str">
        <f t="shared" si="201"/>
        <v xml:space="preserve">["MIN_LVL"] =  "55"; </v>
      </c>
      <c r="BC295" t="str">
        <f t="shared" si="202"/>
        <v xml:space="preserve">                  </v>
      </c>
      <c r="BD295" t="str">
        <f t="shared" si="203"/>
        <v xml:space="preserve">["NAME"] = { ["EN"] = "Legend of Moria"; }; </v>
      </c>
      <c r="BE295" t="str">
        <f t="shared" si="204"/>
        <v xml:space="preserve">["LORE"] = { ["EN"] = "This deed is for Legendary Servers."; }; </v>
      </c>
      <c r="BF295" t="str">
        <f t="shared" si="205"/>
        <v xml:space="preserve">["SUMMARY"] = { ["EN"] = "Use 'Title Writ - Legend of Moria', bartered from Quartermaster (Legendary Moria Rewards) in The Twenty-first Hall for 15 Legendary Coins of Angmar."; }; </v>
      </c>
      <c r="BG295" t="str">
        <f t="shared" si="206"/>
        <v xml:space="preserve">["TITLE"] = { ["EN"] = "Legend of Moria"; }; </v>
      </c>
      <c r="BH295" t="str">
        <f t="shared" si="207"/>
        <v/>
      </c>
      <c r="BI295" t="str">
        <f t="shared" si="208"/>
        <v/>
      </c>
      <c r="BJ295" t="str">
        <f t="shared" si="210"/>
        <v>};</v>
      </c>
    </row>
    <row r="296" spans="1:62" x14ac:dyDescent="0.25">
      <c r="A296">
        <v>1879385682</v>
      </c>
      <c r="B296">
        <v>306</v>
      </c>
      <c r="C296" t="s">
        <v>2673</v>
      </c>
      <c r="D296" t="s">
        <v>26</v>
      </c>
      <c r="I296" t="s">
        <v>2656</v>
      </c>
      <c r="M296" t="s">
        <v>2704</v>
      </c>
      <c r="N296">
        <v>5</v>
      </c>
      <c r="Q296" t="s">
        <v>2703</v>
      </c>
      <c r="R296" t="s">
        <v>2694</v>
      </c>
      <c r="S296">
        <v>0</v>
      </c>
      <c r="T296">
        <v>59</v>
      </c>
      <c r="X296" t="str">
        <f t="shared" si="178"/>
        <v>[295] = {["ID"] = 1879385682; }; -- Through the Mines</v>
      </c>
      <c r="Y296" s="1" t="str">
        <f t="shared" si="180"/>
        <v>[295]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6">
        <f t="shared" si="209"/>
        <v>295</v>
      </c>
      <c r="AA296" t="str">
        <f t="shared" si="181"/>
        <v>[295] = {</v>
      </c>
      <c r="AB296" t="str">
        <f t="shared" si="182"/>
        <v xml:space="preserve">["ID"] = 1879385682; </v>
      </c>
      <c r="AC296" t="str">
        <f t="shared" si="183"/>
        <v xml:space="preserve">["ID"] = 1879385682; </v>
      </c>
      <c r="AD296" t="str">
        <f t="shared" si="184"/>
        <v/>
      </c>
      <c r="AE296" t="str">
        <f t="shared" si="185"/>
        <v/>
      </c>
      <c r="AF296" s="1" t="str">
        <f t="shared" si="186"/>
        <v xml:space="preserve">["SAVE_INDEX"] = 306; </v>
      </c>
      <c r="AG296">
        <f>VLOOKUP(D296,Type!A$2:B$16,2,FALSE)</f>
        <v>6</v>
      </c>
      <c r="AH296" t="str">
        <f t="shared" si="187"/>
        <v xml:space="preserve">["TYPE"] =  6; </v>
      </c>
      <c r="AI296" t="str">
        <f t="shared" si="188"/>
        <v xml:space="preserve">                      </v>
      </c>
      <c r="AJ296" t="str">
        <f>IF(AND(F296="Class",NOT(ISBLANK(E296))),VLOOKUP(E296,Class!A$1:B$12,2,FALSE),"")</f>
        <v/>
      </c>
      <c r="AK296" t="str">
        <f>IF(AND(F296="Vocation",NOT(ISBLANK(E296))),VLOOKUP(E296,Vocation!A$1:B$8,2,FALSE),"")</f>
        <v/>
      </c>
      <c r="AL296" t="str">
        <f>IF(AND(F296="Race",NOT(ISBLANK(E296))),VLOOKUP(E296,Race!A$1:B$9,2,),"")</f>
        <v/>
      </c>
      <c r="AM296" t="str">
        <f t="shared" si="189"/>
        <v xml:space="preserve">  0</v>
      </c>
      <c r="AN296" t="str">
        <f t="shared" si="190"/>
        <v xml:space="preserve">["SUBTYPE"] =   0; </v>
      </c>
      <c r="AO296" t="str">
        <f>IF(NOT(ISBLANK(G296)),VLOOKUP(G296,Type!D$2:E$6,2,FALSE),"")</f>
        <v/>
      </c>
      <c r="AP296" t="str">
        <f t="shared" si="191"/>
        <v xml:space="preserve">            </v>
      </c>
      <c r="AQ296" t="str">
        <f t="shared" si="192"/>
        <v xml:space="preserve">["LEGENDARY"] = true; </v>
      </c>
      <c r="AR296" t="str">
        <f t="shared" si="193"/>
        <v/>
      </c>
      <c r="AS296" t="str">
        <f t="shared" si="194"/>
        <v>0</v>
      </c>
      <c r="AT296" t="str">
        <f t="shared" si="195"/>
        <v xml:space="preserve">["VXP"] =    0; </v>
      </c>
      <c r="AU296" t="str">
        <f t="shared" si="196"/>
        <v>5</v>
      </c>
      <c r="AV296" t="str">
        <f t="shared" si="197"/>
        <v xml:space="preserve">["LP"] =  5; </v>
      </c>
      <c r="AW296" t="str">
        <f t="shared" si="198"/>
        <v>0</v>
      </c>
      <c r="AX296" t="str">
        <f t="shared" si="199"/>
        <v xml:space="preserve">["REP"] =     0; </v>
      </c>
      <c r="AY296">
        <f>IF(LEN(P296)&gt;0,VLOOKUP(P296,Faction!A$2:B$77,2,FALSE),1)</f>
        <v>1</v>
      </c>
      <c r="AZ296" t="str">
        <f t="shared" si="200"/>
        <v xml:space="preserve">["FACTION"] =  1; </v>
      </c>
      <c r="BA296" t="str">
        <f t="shared" si="179"/>
        <v/>
      </c>
      <c r="BB296" t="str">
        <f t="shared" si="201"/>
        <v xml:space="preserve">["MIN_LVL"] =  "59"; </v>
      </c>
      <c r="BC296" t="str">
        <f t="shared" si="202"/>
        <v xml:space="preserve">                  </v>
      </c>
      <c r="BD296" t="str">
        <f t="shared" si="203"/>
        <v xml:space="preserve">["NAME"] = { ["EN"] = "Through the Mines"; }; </v>
      </c>
      <c r="BE296" t="str">
        <f t="shared" si="204"/>
        <v xml:space="preserve">["LORE"] = { ["EN"] = "This deed is for Legendary Servers."; }; </v>
      </c>
      <c r="BF296" t="str">
        <f t="shared" si="205"/>
        <v xml:space="preserve">["SUMMARY"] = { ["EN"] = "Adventure to Level 60 on a legendary server."; }; </v>
      </c>
      <c r="BG296" t="str">
        <f t="shared" si="206"/>
        <v xml:space="preserve">["TITLE"] = { ["EN"] = "Blaze of Hope"; }; </v>
      </c>
      <c r="BH296" t="str">
        <f t="shared" si="207"/>
        <v/>
      </c>
      <c r="BI296" t="str">
        <f t="shared" si="208"/>
        <v/>
      </c>
      <c r="BJ296" t="str">
        <f t="shared" si="210"/>
        <v>};</v>
      </c>
    </row>
    <row r="297" spans="1:62" x14ac:dyDescent="0.25">
      <c r="A297">
        <v>1879389217</v>
      </c>
      <c r="B297">
        <v>307</v>
      </c>
      <c r="C297" t="s">
        <v>2677</v>
      </c>
      <c r="D297" t="s">
        <v>26</v>
      </c>
      <c r="I297" t="s">
        <v>2656</v>
      </c>
      <c r="M297" t="s">
        <v>2677</v>
      </c>
      <c r="Q297" t="s">
        <v>3221</v>
      </c>
      <c r="R297" t="s">
        <v>2694</v>
      </c>
      <c r="S297">
        <v>0</v>
      </c>
      <c r="T297">
        <v>60</v>
      </c>
      <c r="X297" t="str">
        <f t="shared" si="178"/>
        <v>[296] = {["ID"] = 1879389217; }; -- Legend of Mirkwood</v>
      </c>
      <c r="Y297" s="1" t="str">
        <f t="shared" si="180"/>
        <v>[296]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7">
        <f t="shared" si="209"/>
        <v>296</v>
      </c>
      <c r="AA297" t="str">
        <f t="shared" si="181"/>
        <v>[296] = {</v>
      </c>
      <c r="AB297" t="str">
        <f t="shared" si="182"/>
        <v xml:space="preserve">["ID"] = 1879389217; </v>
      </c>
      <c r="AC297" t="str">
        <f t="shared" si="183"/>
        <v xml:space="preserve">["ID"] = 1879389217; </v>
      </c>
      <c r="AD297" t="str">
        <f t="shared" si="184"/>
        <v/>
      </c>
      <c r="AE297" t="str">
        <f t="shared" si="185"/>
        <v/>
      </c>
      <c r="AF297" s="1" t="str">
        <f t="shared" si="186"/>
        <v xml:space="preserve">["SAVE_INDEX"] = 307; </v>
      </c>
      <c r="AG297">
        <f>VLOOKUP(D297,Type!A$2:B$16,2,FALSE)</f>
        <v>6</v>
      </c>
      <c r="AH297" t="str">
        <f t="shared" si="187"/>
        <v xml:space="preserve">["TYPE"] =  6; </v>
      </c>
      <c r="AI297" t="str">
        <f t="shared" si="188"/>
        <v xml:space="preserve">                      </v>
      </c>
      <c r="AJ297" t="str">
        <f>IF(AND(F297="Class",NOT(ISBLANK(E297))),VLOOKUP(E297,Class!A$1:B$12,2,FALSE),"")</f>
        <v/>
      </c>
      <c r="AK297" t="str">
        <f>IF(AND(F297="Vocation",NOT(ISBLANK(E297))),VLOOKUP(E297,Vocation!A$1:B$8,2,FALSE),"")</f>
        <v/>
      </c>
      <c r="AL297" t="str">
        <f>IF(AND(F297="Race",NOT(ISBLANK(E297))),VLOOKUP(E297,Race!A$1:B$9,2,),"")</f>
        <v/>
      </c>
      <c r="AM297" t="str">
        <f t="shared" si="189"/>
        <v xml:space="preserve">  0</v>
      </c>
      <c r="AN297" t="str">
        <f t="shared" si="190"/>
        <v xml:space="preserve">["SUBTYPE"] =   0; </v>
      </c>
      <c r="AO297" t="str">
        <f>IF(NOT(ISBLANK(G297)),VLOOKUP(G297,Type!D$2:E$6,2,FALSE),"")</f>
        <v/>
      </c>
      <c r="AP297" t="str">
        <f t="shared" si="191"/>
        <v xml:space="preserve">            </v>
      </c>
      <c r="AQ297" t="str">
        <f t="shared" si="192"/>
        <v xml:space="preserve">["LEGENDARY"] = true; </v>
      </c>
      <c r="AR297" t="str">
        <f t="shared" si="193"/>
        <v/>
      </c>
      <c r="AS297" t="str">
        <f t="shared" si="194"/>
        <v>0</v>
      </c>
      <c r="AT297" t="str">
        <f t="shared" si="195"/>
        <v xml:space="preserve">["VXP"] =    0; </v>
      </c>
      <c r="AU297" t="str">
        <f t="shared" si="196"/>
        <v>0</v>
      </c>
      <c r="AV297" t="str">
        <f t="shared" si="197"/>
        <v xml:space="preserve">["LP"] =  0; </v>
      </c>
      <c r="AW297" t="str">
        <f t="shared" si="198"/>
        <v>0</v>
      </c>
      <c r="AX297" t="str">
        <f t="shared" si="199"/>
        <v xml:space="preserve">["REP"] =     0; </v>
      </c>
      <c r="AY297">
        <f>IF(LEN(P297)&gt;0,VLOOKUP(P297,Faction!A$2:B$77,2,FALSE),1)</f>
        <v>1</v>
      </c>
      <c r="AZ297" t="str">
        <f t="shared" si="200"/>
        <v xml:space="preserve">["FACTION"] =  1; </v>
      </c>
      <c r="BA297" t="str">
        <f t="shared" si="179"/>
        <v/>
      </c>
      <c r="BB297" t="str">
        <f t="shared" si="201"/>
        <v xml:space="preserve">["MIN_LVL"] =  "60"; </v>
      </c>
      <c r="BC297" t="str">
        <f t="shared" si="202"/>
        <v xml:space="preserve">                  </v>
      </c>
      <c r="BD297" t="str">
        <f t="shared" si="203"/>
        <v xml:space="preserve">["NAME"] = { ["EN"] = "Legend of Mirkwood"; }; </v>
      </c>
      <c r="BE297" t="str">
        <f t="shared" si="204"/>
        <v xml:space="preserve">["LORE"] = { ["EN"] = "This deed is for Legendary Servers."; }; </v>
      </c>
      <c r="BF297" t="str">
        <f t="shared" si="205"/>
        <v xml:space="preserve">["SUMMARY"] = { ["EN"] = "Use 'Title Writ - Legend of Mirkwood', bartered from Legendary Mirkwood Rewards Quartermaster in Ost Galadh for 10 Legendary Coins of Mirkwood."; }; </v>
      </c>
      <c r="BG297" t="str">
        <f t="shared" si="206"/>
        <v xml:space="preserve">["TITLE"] = { ["EN"] = "Legend of Mirkwood"; }; </v>
      </c>
      <c r="BH297" t="str">
        <f t="shared" si="207"/>
        <v/>
      </c>
      <c r="BI297" t="str">
        <f t="shared" si="208"/>
        <v/>
      </c>
      <c r="BJ297" t="str">
        <f t="shared" si="210"/>
        <v>};</v>
      </c>
    </row>
    <row r="298" spans="1:62" x14ac:dyDescent="0.25">
      <c r="A298">
        <v>1879389219</v>
      </c>
      <c r="B298">
        <v>308</v>
      </c>
      <c r="C298" t="s">
        <v>2678</v>
      </c>
      <c r="D298" t="s">
        <v>26</v>
      </c>
      <c r="I298" t="s">
        <v>2656</v>
      </c>
      <c r="L298">
        <v>2000</v>
      </c>
      <c r="M298" t="s">
        <v>2710</v>
      </c>
      <c r="N298">
        <v>5</v>
      </c>
      <c r="Q298" t="s">
        <v>2712</v>
      </c>
      <c r="R298" t="s">
        <v>2694</v>
      </c>
      <c r="S298">
        <v>0</v>
      </c>
      <c r="T298">
        <v>60</v>
      </c>
      <c r="X298" t="str">
        <f t="shared" si="178"/>
        <v>[297] = {["ID"] = 1879389219; }; -- Legendary Mirkwood</v>
      </c>
      <c r="Y298" s="1" t="str">
        <f t="shared" si="180"/>
        <v>[297]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8">
        <f t="shared" si="209"/>
        <v>297</v>
      </c>
      <c r="AA298" t="str">
        <f t="shared" si="181"/>
        <v>[297] = {</v>
      </c>
      <c r="AB298" t="str">
        <f t="shared" si="182"/>
        <v xml:space="preserve">["ID"] = 1879389219; </v>
      </c>
      <c r="AC298" t="str">
        <f t="shared" si="183"/>
        <v xml:space="preserve">["ID"] = 1879389219; </v>
      </c>
      <c r="AD298" t="str">
        <f t="shared" si="184"/>
        <v/>
      </c>
      <c r="AE298" t="str">
        <f t="shared" si="185"/>
        <v/>
      </c>
      <c r="AF298" s="1" t="str">
        <f t="shared" si="186"/>
        <v xml:space="preserve">["SAVE_INDEX"] = 308; </v>
      </c>
      <c r="AG298">
        <f>VLOOKUP(D298,Type!A$2:B$16,2,FALSE)</f>
        <v>6</v>
      </c>
      <c r="AH298" t="str">
        <f t="shared" si="187"/>
        <v xml:space="preserve">["TYPE"] =  6; </v>
      </c>
      <c r="AI298" t="str">
        <f t="shared" si="188"/>
        <v xml:space="preserve">                      </v>
      </c>
      <c r="AJ298" t="str">
        <f>IF(AND(F298="Class",NOT(ISBLANK(E298))),VLOOKUP(E298,Class!A$1:B$12,2,FALSE),"")</f>
        <v/>
      </c>
      <c r="AK298" t="str">
        <f>IF(AND(F298="Vocation",NOT(ISBLANK(E298))),VLOOKUP(E298,Vocation!A$1:B$8,2,FALSE),"")</f>
        <v/>
      </c>
      <c r="AL298" t="str">
        <f>IF(AND(F298="Race",NOT(ISBLANK(E298))),VLOOKUP(E298,Race!A$1:B$9,2,),"")</f>
        <v/>
      </c>
      <c r="AM298" t="str">
        <f t="shared" si="189"/>
        <v xml:space="preserve">  0</v>
      </c>
      <c r="AN298" t="str">
        <f t="shared" si="190"/>
        <v xml:space="preserve">["SUBTYPE"] =   0; </v>
      </c>
      <c r="AO298" t="str">
        <f>IF(NOT(ISBLANK(G298)),VLOOKUP(G298,Type!D$2:E$6,2,FALSE),"")</f>
        <v/>
      </c>
      <c r="AP298" t="str">
        <f t="shared" si="191"/>
        <v xml:space="preserve">            </v>
      </c>
      <c r="AQ298" t="str">
        <f t="shared" si="192"/>
        <v xml:space="preserve">["LEGENDARY"] = true; </v>
      </c>
      <c r="AR298" t="str">
        <f t="shared" si="193"/>
        <v/>
      </c>
      <c r="AS298" t="str">
        <f t="shared" si="194"/>
        <v>2000</v>
      </c>
      <c r="AT298" t="str">
        <f t="shared" si="195"/>
        <v xml:space="preserve">["VXP"] = 2000; </v>
      </c>
      <c r="AU298" t="str">
        <f t="shared" si="196"/>
        <v>5</v>
      </c>
      <c r="AV298" t="str">
        <f t="shared" si="197"/>
        <v xml:space="preserve">["LP"] =  5; </v>
      </c>
      <c r="AW298" t="str">
        <f t="shared" si="198"/>
        <v>0</v>
      </c>
      <c r="AX298" t="str">
        <f t="shared" si="199"/>
        <v xml:space="preserve">["REP"] =     0; </v>
      </c>
      <c r="AY298">
        <f>IF(LEN(P298)&gt;0,VLOOKUP(P298,Faction!A$2:B$77,2,FALSE),1)</f>
        <v>1</v>
      </c>
      <c r="AZ298" t="str">
        <f t="shared" si="200"/>
        <v xml:space="preserve">["FACTION"] =  1; </v>
      </c>
      <c r="BA298" t="str">
        <f t="shared" si="179"/>
        <v/>
      </c>
      <c r="BB298" t="str">
        <f t="shared" si="201"/>
        <v xml:space="preserve">["MIN_LVL"] =  "60"; </v>
      </c>
      <c r="BC298" t="str">
        <f t="shared" si="202"/>
        <v xml:space="preserve">                  </v>
      </c>
      <c r="BD298" t="str">
        <f t="shared" si="203"/>
        <v xml:space="preserve">["NAME"] = { ["EN"] = "Legendary Mirkwood"; }; </v>
      </c>
      <c r="BE298" t="str">
        <f t="shared" si="204"/>
        <v xml:space="preserve">["LORE"] = { ["EN"] = "This deed is for Legendary Servers."; }; </v>
      </c>
      <c r="BF298" t="str">
        <f t="shared" si="205"/>
        <v xml:space="preserve">["SUMMARY"] = { ["EN"] = "Complete Legendary Mirkwood: Barad Guldur, Legendary Mirkwood: Dungeons of Dol Guldur, Legendary Mirkwood: Sammath Gûl, Legendary Mirkwood: Sword-hall of Dol Guldur, Legendary Mirkwood: Warg-pens of Dol Guldur on a legendary server."; }; </v>
      </c>
      <c r="BG298" t="str">
        <f t="shared" si="206"/>
        <v xml:space="preserve">["TITLE"] = { ["EN"] = "Nemesis of the Necromancer"; }; </v>
      </c>
      <c r="BH298" t="str">
        <f t="shared" si="207"/>
        <v/>
      </c>
      <c r="BI298" t="str">
        <f t="shared" si="208"/>
        <v/>
      </c>
      <c r="BJ298" t="str">
        <f t="shared" si="210"/>
        <v>};</v>
      </c>
    </row>
    <row r="299" spans="1:62" x14ac:dyDescent="0.25">
      <c r="A299">
        <v>1879389215</v>
      </c>
      <c r="B299">
        <v>309</v>
      </c>
      <c r="C299" t="s">
        <v>2675</v>
      </c>
      <c r="D299" t="s">
        <v>26</v>
      </c>
      <c r="I299" t="s">
        <v>2656</v>
      </c>
      <c r="L299">
        <v>2000</v>
      </c>
      <c r="M299" t="s">
        <v>2708</v>
      </c>
      <c r="N299">
        <v>5</v>
      </c>
      <c r="Q299" t="s">
        <v>2707</v>
      </c>
      <c r="R299" t="s">
        <v>2694</v>
      </c>
      <c r="S299">
        <v>0</v>
      </c>
      <c r="T299">
        <v>60</v>
      </c>
      <c r="X299" t="str">
        <f t="shared" si="178"/>
        <v>[298] = {["ID"] = 1879389215; }; -- Echoes of the Dead</v>
      </c>
      <c r="Y299" s="1" t="str">
        <f t="shared" si="180"/>
        <v>[298]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299">
        <f t="shared" si="209"/>
        <v>298</v>
      </c>
      <c r="AA299" t="str">
        <f t="shared" si="181"/>
        <v>[298] = {</v>
      </c>
      <c r="AB299" t="str">
        <f t="shared" si="182"/>
        <v xml:space="preserve">["ID"] = 1879389215; </v>
      </c>
      <c r="AC299" t="str">
        <f t="shared" si="183"/>
        <v xml:space="preserve">["ID"] = 1879389215; </v>
      </c>
      <c r="AD299" t="str">
        <f t="shared" si="184"/>
        <v/>
      </c>
      <c r="AE299" t="str">
        <f t="shared" si="185"/>
        <v/>
      </c>
      <c r="AF299" s="1" t="str">
        <f t="shared" si="186"/>
        <v xml:space="preserve">["SAVE_INDEX"] = 309; </v>
      </c>
      <c r="AG299">
        <f>VLOOKUP(D299,Type!A$2:B$16,2,FALSE)</f>
        <v>6</v>
      </c>
      <c r="AH299" t="str">
        <f t="shared" si="187"/>
        <v xml:space="preserve">["TYPE"] =  6; </v>
      </c>
      <c r="AI299" t="str">
        <f t="shared" si="188"/>
        <v xml:space="preserve">                      </v>
      </c>
      <c r="AJ299" t="str">
        <f>IF(AND(F299="Class",NOT(ISBLANK(E299))),VLOOKUP(E299,Class!A$1:B$12,2,FALSE),"")</f>
        <v/>
      </c>
      <c r="AK299" t="str">
        <f>IF(AND(F299="Vocation",NOT(ISBLANK(E299))),VLOOKUP(E299,Vocation!A$1:B$8,2,FALSE),"")</f>
        <v/>
      </c>
      <c r="AL299" t="str">
        <f>IF(AND(F299="Race",NOT(ISBLANK(E299))),VLOOKUP(E299,Race!A$1:B$9,2,),"")</f>
        <v/>
      </c>
      <c r="AM299" t="str">
        <f t="shared" si="189"/>
        <v xml:space="preserve">  0</v>
      </c>
      <c r="AN299" t="str">
        <f t="shared" si="190"/>
        <v xml:space="preserve">["SUBTYPE"] =   0; </v>
      </c>
      <c r="AO299" t="str">
        <f>IF(NOT(ISBLANK(G299)),VLOOKUP(G299,Type!D$2:E$6,2,FALSE),"")</f>
        <v/>
      </c>
      <c r="AP299" t="str">
        <f t="shared" si="191"/>
        <v xml:space="preserve">            </v>
      </c>
      <c r="AQ299" t="str">
        <f t="shared" si="192"/>
        <v xml:space="preserve">["LEGENDARY"] = true; </v>
      </c>
      <c r="AR299" t="str">
        <f t="shared" si="193"/>
        <v/>
      </c>
      <c r="AS299" t="str">
        <f t="shared" si="194"/>
        <v>2000</v>
      </c>
      <c r="AT299" t="str">
        <f t="shared" si="195"/>
        <v xml:space="preserve">["VXP"] = 2000; </v>
      </c>
      <c r="AU299" t="str">
        <f t="shared" si="196"/>
        <v>5</v>
      </c>
      <c r="AV299" t="str">
        <f t="shared" si="197"/>
        <v xml:space="preserve">["LP"] =  5; </v>
      </c>
      <c r="AW299" t="str">
        <f t="shared" si="198"/>
        <v>0</v>
      </c>
      <c r="AX299" t="str">
        <f t="shared" si="199"/>
        <v xml:space="preserve">["REP"] =     0; </v>
      </c>
      <c r="AY299">
        <f>IF(LEN(P299)&gt;0,VLOOKUP(P299,Faction!A$2:B$77,2,FALSE),1)</f>
        <v>1</v>
      </c>
      <c r="AZ299" t="str">
        <f t="shared" si="200"/>
        <v xml:space="preserve">["FACTION"] =  1; </v>
      </c>
      <c r="BA299" t="str">
        <f t="shared" si="179"/>
        <v/>
      </c>
      <c r="BB299" t="str">
        <f t="shared" si="201"/>
        <v xml:space="preserve">["MIN_LVL"] =  "60"; </v>
      </c>
      <c r="BC299" t="str">
        <f t="shared" si="202"/>
        <v xml:space="preserve">                  </v>
      </c>
      <c r="BD299" t="str">
        <f t="shared" si="203"/>
        <v xml:space="preserve">["NAME"] = { ["EN"] = "Echoes of the Dead"; }; </v>
      </c>
      <c r="BE299" t="str">
        <f t="shared" si="204"/>
        <v xml:space="preserve">["LORE"] = { ["EN"] = "This deed is for Legendary Servers."; }; </v>
      </c>
      <c r="BF299" t="str">
        <f t="shared" si="205"/>
        <v xml:space="preserve">["SUMMARY"] = { ["EN"] = "Complete Volume III, Book 3: Echoes of the Dead on a legendary server."; }; </v>
      </c>
      <c r="BG299" t="str">
        <f t="shared" si="206"/>
        <v xml:space="preserve">["TITLE"] = { ["EN"] = "Noble and True"; }; </v>
      </c>
      <c r="BH299" t="str">
        <f t="shared" si="207"/>
        <v/>
      </c>
      <c r="BI299" t="str">
        <f t="shared" si="208"/>
        <v/>
      </c>
      <c r="BJ299" t="str">
        <f t="shared" si="210"/>
        <v>};</v>
      </c>
    </row>
    <row r="300" spans="1:62" x14ac:dyDescent="0.25">
      <c r="A300">
        <v>1879389221</v>
      </c>
      <c r="B300">
        <v>310</v>
      </c>
      <c r="C300" t="s">
        <v>2680</v>
      </c>
      <c r="D300" t="s">
        <v>26</v>
      </c>
      <c r="I300" t="s">
        <v>2656</v>
      </c>
      <c r="M300" t="s">
        <v>2715</v>
      </c>
      <c r="N300">
        <v>5</v>
      </c>
      <c r="Q300" t="s">
        <v>2737</v>
      </c>
      <c r="R300" t="s">
        <v>2694</v>
      </c>
      <c r="S300">
        <v>0</v>
      </c>
      <c r="T300">
        <v>64</v>
      </c>
      <c r="X300" t="str">
        <f t="shared" si="178"/>
        <v>[299] = {["ID"] = 1879389221; }; -- To the Hill of Dark Sorcery</v>
      </c>
      <c r="Y300" s="1" t="str">
        <f t="shared" si="180"/>
        <v>[299] = {["ID"] = 1879389221; ["SAVE_INDEX"] = 310; ["TYPE"] =  6;                       ["SUBTYPE"] =   0;             ["LEGENDARY"] = true; ["VXP"] =    0; ["LP"] =  5; ["REP"] =     0; ["FACTION"] =  1; ["MIN_LVL"] =  "64";                   ["NAME"] = { ["EN"] = "To the Hill of Dark Sorcery"; }; ["LORE"] = { ["EN"] = "This deed is for Legendary Servers."; }; ["SUMMARY"] = { ["EN"] = "Adventure to Level 65."; }; ["TITLE"] = { ["EN"] = "Stalwart Journeyer"; }; };</v>
      </c>
      <c r="Z300">
        <f t="shared" si="209"/>
        <v>299</v>
      </c>
      <c r="AA300" t="str">
        <f t="shared" si="181"/>
        <v>[299] = {</v>
      </c>
      <c r="AB300" t="str">
        <f t="shared" si="182"/>
        <v xml:space="preserve">["ID"] = 1879389221; </v>
      </c>
      <c r="AC300" t="str">
        <f t="shared" si="183"/>
        <v xml:space="preserve">["ID"] = 1879389221; </v>
      </c>
      <c r="AD300" t="str">
        <f t="shared" si="184"/>
        <v/>
      </c>
      <c r="AE300" t="str">
        <f t="shared" si="185"/>
        <v/>
      </c>
      <c r="AF300" s="1" t="str">
        <f t="shared" si="186"/>
        <v xml:space="preserve">["SAVE_INDEX"] = 310; </v>
      </c>
      <c r="AG300">
        <f>VLOOKUP(D300,Type!A$2:B$16,2,FALSE)</f>
        <v>6</v>
      </c>
      <c r="AH300" t="str">
        <f t="shared" si="187"/>
        <v xml:space="preserve">["TYPE"] =  6; </v>
      </c>
      <c r="AI300" t="str">
        <f t="shared" si="188"/>
        <v xml:space="preserve">                      </v>
      </c>
      <c r="AJ300" t="str">
        <f>IF(AND(F300="Class",NOT(ISBLANK(E300))),VLOOKUP(E300,Class!A$1:B$12,2,FALSE),"")</f>
        <v/>
      </c>
      <c r="AK300" t="str">
        <f>IF(AND(F300="Vocation",NOT(ISBLANK(E300))),VLOOKUP(E300,Vocation!A$1:B$8,2,FALSE),"")</f>
        <v/>
      </c>
      <c r="AL300" t="str">
        <f>IF(AND(F300="Race",NOT(ISBLANK(E300))),VLOOKUP(E300,Race!A$1:B$9,2,),"")</f>
        <v/>
      </c>
      <c r="AM300" t="str">
        <f t="shared" si="189"/>
        <v xml:space="preserve">  0</v>
      </c>
      <c r="AN300" t="str">
        <f t="shared" si="190"/>
        <v xml:space="preserve">["SUBTYPE"] =   0; </v>
      </c>
      <c r="AO300" t="str">
        <f>IF(NOT(ISBLANK(G300)),VLOOKUP(G300,Type!D$2:E$6,2,FALSE),"")</f>
        <v/>
      </c>
      <c r="AP300" t="str">
        <f t="shared" si="191"/>
        <v xml:space="preserve">            </v>
      </c>
      <c r="AQ300" t="str">
        <f t="shared" si="192"/>
        <v xml:space="preserve">["LEGENDARY"] = true; </v>
      </c>
      <c r="AR300" t="str">
        <f t="shared" si="193"/>
        <v/>
      </c>
      <c r="AS300" t="str">
        <f t="shared" si="194"/>
        <v>0</v>
      </c>
      <c r="AT300" t="str">
        <f t="shared" si="195"/>
        <v xml:space="preserve">["VXP"] =    0; </v>
      </c>
      <c r="AU300" t="str">
        <f t="shared" si="196"/>
        <v>5</v>
      </c>
      <c r="AV300" t="str">
        <f t="shared" si="197"/>
        <v xml:space="preserve">["LP"] =  5; </v>
      </c>
      <c r="AW300" t="str">
        <f t="shared" si="198"/>
        <v>0</v>
      </c>
      <c r="AX300" t="str">
        <f t="shared" si="199"/>
        <v xml:space="preserve">["REP"] =     0; </v>
      </c>
      <c r="AY300">
        <f>IF(LEN(P300)&gt;0,VLOOKUP(P300,Faction!A$2:B$77,2,FALSE),1)</f>
        <v>1</v>
      </c>
      <c r="AZ300" t="str">
        <f t="shared" si="200"/>
        <v xml:space="preserve">["FACTION"] =  1; </v>
      </c>
      <c r="BA300" t="str">
        <f t="shared" si="179"/>
        <v/>
      </c>
      <c r="BB300" t="str">
        <f t="shared" si="201"/>
        <v xml:space="preserve">["MIN_LVL"] =  "64"; </v>
      </c>
      <c r="BC300" t="str">
        <f t="shared" si="202"/>
        <v xml:space="preserve">                  </v>
      </c>
      <c r="BD300" t="str">
        <f t="shared" si="203"/>
        <v xml:space="preserve">["NAME"] = { ["EN"] = "To the Hill of Dark Sorcery"; }; </v>
      </c>
      <c r="BE300" t="str">
        <f t="shared" si="204"/>
        <v xml:space="preserve">["LORE"] = { ["EN"] = "This deed is for Legendary Servers."; }; </v>
      </c>
      <c r="BF300" t="str">
        <f t="shared" si="205"/>
        <v xml:space="preserve">["SUMMARY"] = { ["EN"] = "Adventure to Level 65."; }; </v>
      </c>
      <c r="BG300" t="str">
        <f t="shared" si="206"/>
        <v xml:space="preserve">["TITLE"] = { ["EN"] = "Stalwart Journeyer"; }; </v>
      </c>
      <c r="BH300" t="str">
        <f t="shared" si="207"/>
        <v/>
      </c>
      <c r="BI300" t="str">
        <f t="shared" si="208"/>
        <v/>
      </c>
      <c r="BJ300" t="str">
        <f t="shared" si="210"/>
        <v>};</v>
      </c>
    </row>
    <row r="301" spans="1:62" x14ac:dyDescent="0.25">
      <c r="A301">
        <v>1879394297</v>
      </c>
      <c r="B301">
        <v>311</v>
      </c>
      <c r="C301" t="s">
        <v>2681</v>
      </c>
      <c r="D301" t="s">
        <v>26</v>
      </c>
      <c r="I301" t="s">
        <v>2656</v>
      </c>
      <c r="L301">
        <v>2000</v>
      </c>
      <c r="M301" t="s">
        <v>2716</v>
      </c>
      <c r="Q301" t="s">
        <v>2717</v>
      </c>
      <c r="R301" t="s">
        <v>2694</v>
      </c>
      <c r="S301">
        <v>0</v>
      </c>
      <c r="T301">
        <v>68</v>
      </c>
      <c r="X301" t="str">
        <f t="shared" si="178"/>
        <v>[300] = {["ID"] = 1879394297; }; -- Legend of Limlight Gorge</v>
      </c>
      <c r="Y301" s="1" t="str">
        <f t="shared" si="180"/>
        <v>[300]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1">
        <f t="shared" si="209"/>
        <v>300</v>
      </c>
      <c r="AA301" t="str">
        <f t="shared" si="181"/>
        <v>[300] = {</v>
      </c>
      <c r="AB301" t="str">
        <f t="shared" si="182"/>
        <v xml:space="preserve">["ID"] = 1879394297; </v>
      </c>
      <c r="AC301" t="str">
        <f t="shared" si="183"/>
        <v xml:space="preserve">["ID"] = 1879394297; </v>
      </c>
      <c r="AD301" t="str">
        <f t="shared" si="184"/>
        <v/>
      </c>
      <c r="AE301" t="str">
        <f t="shared" si="185"/>
        <v/>
      </c>
      <c r="AF301" s="1" t="str">
        <f t="shared" si="186"/>
        <v xml:space="preserve">["SAVE_INDEX"] = 311; </v>
      </c>
      <c r="AG301">
        <f>VLOOKUP(D301,Type!A$2:B$16,2,FALSE)</f>
        <v>6</v>
      </c>
      <c r="AH301" t="str">
        <f t="shared" si="187"/>
        <v xml:space="preserve">["TYPE"] =  6; </v>
      </c>
      <c r="AI301" t="str">
        <f t="shared" si="188"/>
        <v xml:space="preserve">                      </v>
      </c>
      <c r="AJ301" t="str">
        <f>IF(AND(F301="Class",NOT(ISBLANK(E301))),VLOOKUP(E301,Class!A$1:B$12,2,FALSE),"")</f>
        <v/>
      </c>
      <c r="AK301" t="str">
        <f>IF(AND(F301="Vocation",NOT(ISBLANK(E301))),VLOOKUP(E301,Vocation!A$1:B$8,2,FALSE),"")</f>
        <v/>
      </c>
      <c r="AL301" t="str">
        <f>IF(AND(F301="Race",NOT(ISBLANK(E301))),VLOOKUP(E301,Race!A$1:B$9,2,),"")</f>
        <v/>
      </c>
      <c r="AM301" t="str">
        <f t="shared" si="189"/>
        <v xml:space="preserve">  0</v>
      </c>
      <c r="AN301" t="str">
        <f t="shared" si="190"/>
        <v xml:space="preserve">["SUBTYPE"] =   0; </v>
      </c>
      <c r="AO301" t="str">
        <f>IF(NOT(ISBLANK(G301)),VLOOKUP(G301,Type!D$2:E$6,2,FALSE),"")</f>
        <v/>
      </c>
      <c r="AP301" t="str">
        <f t="shared" si="191"/>
        <v xml:space="preserve">            </v>
      </c>
      <c r="AQ301" t="str">
        <f t="shared" si="192"/>
        <v xml:space="preserve">["LEGENDARY"] = true; </v>
      </c>
      <c r="AR301" t="str">
        <f t="shared" si="193"/>
        <v/>
      </c>
      <c r="AS301" t="str">
        <f t="shared" si="194"/>
        <v>2000</v>
      </c>
      <c r="AT301" t="str">
        <f t="shared" si="195"/>
        <v xml:space="preserve">["VXP"] = 2000; </v>
      </c>
      <c r="AU301" t="str">
        <f t="shared" si="196"/>
        <v>0</v>
      </c>
      <c r="AV301" t="str">
        <f t="shared" si="197"/>
        <v xml:space="preserve">["LP"] =  0; </v>
      </c>
      <c r="AW301" t="str">
        <f t="shared" si="198"/>
        <v>0</v>
      </c>
      <c r="AX301" t="str">
        <f t="shared" si="199"/>
        <v xml:space="preserve">["REP"] =     0; </v>
      </c>
      <c r="AY301">
        <f>IF(LEN(P301)&gt;0,VLOOKUP(P301,Faction!A$2:B$77,2,FALSE),1)</f>
        <v>1</v>
      </c>
      <c r="AZ301" t="str">
        <f t="shared" si="200"/>
        <v xml:space="preserve">["FACTION"] =  1; </v>
      </c>
      <c r="BA301" t="str">
        <f t="shared" si="179"/>
        <v/>
      </c>
      <c r="BB301" t="str">
        <f t="shared" si="201"/>
        <v xml:space="preserve">["MIN_LVL"] =  "68"; </v>
      </c>
      <c r="BC301" t="str">
        <f t="shared" si="202"/>
        <v xml:space="preserve">                  </v>
      </c>
      <c r="BD301" t="str">
        <f t="shared" si="203"/>
        <v xml:space="preserve">["NAME"] = { ["EN"] = "Legend of Limlight Gorge"; }; </v>
      </c>
      <c r="BE301" t="str">
        <f t="shared" si="204"/>
        <v xml:space="preserve">["LORE"] = { ["EN"] = "This deed is for Legendary Servers."; }; </v>
      </c>
      <c r="BF301" t="str">
        <f t="shared" si="205"/>
        <v xml:space="preserve">["SUMMARY"] = { ["EN"] = "Complete Limlight Gorge Explorer Deed, The Spirits of the Limlight Deed, Ancient Ruins of the Limlight Deed, Quests of the Limlight Gorge Deed, and Earn Kindred standing with the Heroes of Limlight Gorge on a legendary server."; }; </v>
      </c>
      <c r="BG301" t="str">
        <f t="shared" si="206"/>
        <v xml:space="preserve">["TITLE"] = { ["EN"] = "Great River Guide"; }; </v>
      </c>
      <c r="BH301" t="str">
        <f t="shared" si="207"/>
        <v/>
      </c>
      <c r="BI301" t="str">
        <f t="shared" si="208"/>
        <v/>
      </c>
      <c r="BJ301" t="str">
        <f t="shared" si="210"/>
        <v>};</v>
      </c>
    </row>
    <row r="302" spans="1:62" x14ac:dyDescent="0.25">
      <c r="A302">
        <v>1879389216</v>
      </c>
      <c r="B302">
        <v>312</v>
      </c>
      <c r="C302" t="s">
        <v>2676</v>
      </c>
      <c r="D302" t="s">
        <v>26</v>
      </c>
      <c r="I302" t="s">
        <v>2656</v>
      </c>
      <c r="L302">
        <v>2000</v>
      </c>
      <c r="M302" t="s">
        <v>2709</v>
      </c>
      <c r="Q302" t="s">
        <v>2711</v>
      </c>
      <c r="R302" t="s">
        <v>2694</v>
      </c>
      <c r="S302">
        <v>0</v>
      </c>
      <c r="T302">
        <v>70</v>
      </c>
      <c r="X302" t="str">
        <f t="shared" si="178"/>
        <v>[301] = {["ID"] = 1879389216; }; -- Mists of Anduin</v>
      </c>
      <c r="Y302" s="1" t="str">
        <f t="shared" si="180"/>
        <v>[301]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2">
        <f t="shared" si="209"/>
        <v>301</v>
      </c>
      <c r="AA302" t="str">
        <f t="shared" si="181"/>
        <v>[301] = {</v>
      </c>
      <c r="AB302" t="str">
        <f t="shared" si="182"/>
        <v xml:space="preserve">["ID"] = 1879389216; </v>
      </c>
      <c r="AC302" t="str">
        <f t="shared" si="183"/>
        <v xml:space="preserve">["ID"] = 1879389216; </v>
      </c>
      <c r="AD302" t="str">
        <f t="shared" si="184"/>
        <v/>
      </c>
      <c r="AE302" t="str">
        <f t="shared" si="185"/>
        <v/>
      </c>
      <c r="AF302" s="1" t="str">
        <f t="shared" si="186"/>
        <v xml:space="preserve">["SAVE_INDEX"] = 312; </v>
      </c>
      <c r="AG302">
        <f>VLOOKUP(D302,Type!A$2:B$16,2,FALSE)</f>
        <v>6</v>
      </c>
      <c r="AH302" t="str">
        <f t="shared" si="187"/>
        <v xml:space="preserve">["TYPE"] =  6; </v>
      </c>
      <c r="AI302" t="str">
        <f t="shared" si="188"/>
        <v xml:space="preserve">                      </v>
      </c>
      <c r="AJ302" t="str">
        <f>IF(AND(F302="Class",NOT(ISBLANK(E302))),VLOOKUP(E302,Class!A$1:B$12,2,FALSE),"")</f>
        <v/>
      </c>
      <c r="AK302" t="str">
        <f>IF(AND(F302="Vocation",NOT(ISBLANK(E302))),VLOOKUP(E302,Vocation!A$1:B$8,2,FALSE),"")</f>
        <v/>
      </c>
      <c r="AL302" t="str">
        <f>IF(AND(F302="Race",NOT(ISBLANK(E302))),VLOOKUP(E302,Race!A$1:B$9,2,),"")</f>
        <v/>
      </c>
      <c r="AM302" t="str">
        <f t="shared" si="189"/>
        <v xml:space="preserve">  0</v>
      </c>
      <c r="AN302" t="str">
        <f t="shared" si="190"/>
        <v xml:space="preserve">["SUBTYPE"] =   0; </v>
      </c>
      <c r="AO302" t="str">
        <f>IF(NOT(ISBLANK(G302)),VLOOKUP(G302,Type!D$2:E$6,2,FALSE),"")</f>
        <v/>
      </c>
      <c r="AP302" t="str">
        <f t="shared" si="191"/>
        <v xml:space="preserve">            </v>
      </c>
      <c r="AQ302" t="str">
        <f t="shared" si="192"/>
        <v xml:space="preserve">["LEGENDARY"] = true; </v>
      </c>
      <c r="AR302" t="str">
        <f t="shared" si="193"/>
        <v/>
      </c>
      <c r="AS302" t="str">
        <f t="shared" si="194"/>
        <v>2000</v>
      </c>
      <c r="AT302" t="str">
        <f t="shared" si="195"/>
        <v xml:space="preserve">["VXP"] = 2000; </v>
      </c>
      <c r="AU302" t="str">
        <f t="shared" si="196"/>
        <v>0</v>
      </c>
      <c r="AV302" t="str">
        <f t="shared" si="197"/>
        <v xml:space="preserve">["LP"] =  0; </v>
      </c>
      <c r="AW302" t="str">
        <f t="shared" si="198"/>
        <v>0</v>
      </c>
      <c r="AX302" t="str">
        <f t="shared" si="199"/>
        <v xml:space="preserve">["REP"] =     0; </v>
      </c>
      <c r="AY302">
        <f>IF(LEN(P302)&gt;0,VLOOKUP(P302,Faction!A$2:B$77,2,FALSE),1)</f>
        <v>1</v>
      </c>
      <c r="AZ302" t="str">
        <f t="shared" si="200"/>
        <v xml:space="preserve">["FACTION"] =  1; </v>
      </c>
      <c r="BA302" t="str">
        <f t="shared" si="179"/>
        <v/>
      </c>
      <c r="BB302" t="str">
        <f t="shared" si="201"/>
        <v xml:space="preserve">["MIN_LVL"] =  "70"; </v>
      </c>
      <c r="BC302" t="str">
        <f t="shared" si="202"/>
        <v xml:space="preserve">                  </v>
      </c>
      <c r="BD302" t="str">
        <f t="shared" si="203"/>
        <v xml:space="preserve">["NAME"] = { ["EN"] = "Mists of Anduin"; }; </v>
      </c>
      <c r="BE302" t="str">
        <f t="shared" si="204"/>
        <v xml:space="preserve">["LORE"] = { ["EN"] = "This deed is for Legendary Servers."; }; </v>
      </c>
      <c r="BF302" t="str">
        <f t="shared" si="205"/>
        <v xml:space="preserve">["SUMMARY"] = { ["EN"] = "Complete Volume III, Book 6: Mists of Anduin on a legendary server."; }; </v>
      </c>
      <c r="BG302" t="str">
        <f t="shared" si="206"/>
        <v xml:space="preserve">["TITLE"] = { ["EN"] = "Bane of the White Wizard"; }; </v>
      </c>
      <c r="BH302" t="str">
        <f t="shared" si="207"/>
        <v/>
      </c>
      <c r="BI302" t="str">
        <f t="shared" si="208"/>
        <v/>
      </c>
      <c r="BJ302" t="str">
        <f t="shared" si="210"/>
        <v>};</v>
      </c>
    </row>
    <row r="303" spans="1:62" x14ac:dyDescent="0.25">
      <c r="A303">
        <v>1879389220</v>
      </c>
      <c r="B303">
        <v>313</v>
      </c>
      <c r="C303" t="s">
        <v>2679</v>
      </c>
      <c r="D303" t="s">
        <v>26</v>
      </c>
      <c r="I303" t="s">
        <v>2656</v>
      </c>
      <c r="M303" t="s">
        <v>2713</v>
      </c>
      <c r="Q303" t="s">
        <v>2714</v>
      </c>
      <c r="R303" t="s">
        <v>2694</v>
      </c>
      <c r="S303">
        <v>0</v>
      </c>
      <c r="T303">
        <v>74</v>
      </c>
      <c r="X303" t="str">
        <f t="shared" si="178"/>
        <v>[302] = {["ID"] = 1879389220; }; -- Into the Iron Fortress</v>
      </c>
      <c r="Y303" s="1" t="str">
        <f t="shared" si="180"/>
        <v>[302]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3">
        <f t="shared" si="209"/>
        <v>302</v>
      </c>
      <c r="AA303" t="str">
        <f t="shared" si="181"/>
        <v>[302] = {</v>
      </c>
      <c r="AB303" t="str">
        <f t="shared" si="182"/>
        <v xml:space="preserve">["ID"] = 1879389220; </v>
      </c>
      <c r="AC303" t="str">
        <f t="shared" si="183"/>
        <v xml:space="preserve">["ID"] = 1879389220; </v>
      </c>
      <c r="AD303" t="str">
        <f t="shared" si="184"/>
        <v/>
      </c>
      <c r="AE303" t="str">
        <f t="shared" si="185"/>
        <v/>
      </c>
      <c r="AF303" s="1" t="str">
        <f t="shared" si="186"/>
        <v xml:space="preserve">["SAVE_INDEX"] = 313; </v>
      </c>
      <c r="AG303">
        <f>VLOOKUP(D303,Type!A$2:B$16,2,FALSE)</f>
        <v>6</v>
      </c>
      <c r="AH303" t="str">
        <f t="shared" si="187"/>
        <v xml:space="preserve">["TYPE"] =  6; </v>
      </c>
      <c r="AI303" t="str">
        <f t="shared" si="188"/>
        <v xml:space="preserve">                      </v>
      </c>
      <c r="AJ303" t="str">
        <f>IF(AND(F303="Class",NOT(ISBLANK(E303))),VLOOKUP(E303,Class!A$1:B$12,2,FALSE),"")</f>
        <v/>
      </c>
      <c r="AK303" t="str">
        <f>IF(AND(F303="Vocation",NOT(ISBLANK(E303))),VLOOKUP(E303,Vocation!A$1:B$8,2,FALSE),"")</f>
        <v/>
      </c>
      <c r="AL303" t="str">
        <f>IF(AND(F303="Race",NOT(ISBLANK(E303))),VLOOKUP(E303,Race!A$1:B$9,2,),"")</f>
        <v/>
      </c>
      <c r="AM303" t="str">
        <f t="shared" si="189"/>
        <v xml:space="preserve">  0</v>
      </c>
      <c r="AN303" t="str">
        <f t="shared" si="190"/>
        <v xml:space="preserve">["SUBTYPE"] =   0; </v>
      </c>
      <c r="AO303" t="str">
        <f>IF(NOT(ISBLANK(G303)),VLOOKUP(G303,Type!D$2:E$6,2,FALSE),"")</f>
        <v/>
      </c>
      <c r="AP303" t="str">
        <f t="shared" si="191"/>
        <v xml:space="preserve">            </v>
      </c>
      <c r="AQ303" t="str">
        <f t="shared" si="192"/>
        <v xml:space="preserve">["LEGENDARY"] = true; </v>
      </c>
      <c r="AR303" t="str">
        <f t="shared" si="193"/>
        <v/>
      </c>
      <c r="AS303" t="str">
        <f t="shared" si="194"/>
        <v>0</v>
      </c>
      <c r="AT303" t="str">
        <f t="shared" si="195"/>
        <v xml:space="preserve">["VXP"] =    0; </v>
      </c>
      <c r="AU303" t="str">
        <f t="shared" si="196"/>
        <v>0</v>
      </c>
      <c r="AV303" t="str">
        <f t="shared" si="197"/>
        <v xml:space="preserve">["LP"] =  0; </v>
      </c>
      <c r="AW303" t="str">
        <f t="shared" si="198"/>
        <v>0</v>
      </c>
      <c r="AX303" t="str">
        <f t="shared" si="199"/>
        <v xml:space="preserve">["REP"] =     0; </v>
      </c>
      <c r="AY303">
        <f>IF(LEN(P303)&gt;0,VLOOKUP(P303,Faction!A$2:B$77,2,FALSE),1)</f>
        <v>1</v>
      </c>
      <c r="AZ303" t="str">
        <f t="shared" si="200"/>
        <v xml:space="preserve">["FACTION"] =  1; </v>
      </c>
      <c r="BA303" t="str">
        <f t="shared" si="179"/>
        <v/>
      </c>
      <c r="BB303" t="str">
        <f t="shared" si="201"/>
        <v xml:space="preserve">["MIN_LVL"] =  "74"; </v>
      </c>
      <c r="BC303" t="str">
        <f t="shared" si="202"/>
        <v xml:space="preserve">                  </v>
      </c>
      <c r="BD303" t="str">
        <f t="shared" si="203"/>
        <v xml:space="preserve">["NAME"] = { ["EN"] = "Into the Iron Fortress"; }; </v>
      </c>
      <c r="BE303" t="str">
        <f t="shared" si="204"/>
        <v xml:space="preserve">["LORE"] = { ["EN"] = "This deed is for Legendary Servers."; }; </v>
      </c>
      <c r="BF303" t="str">
        <f t="shared" si="205"/>
        <v xml:space="preserve">["SUMMARY"] = { ["EN"] = "Adventure to Level 75 on a legendary server."; }; </v>
      </c>
      <c r="BG303" t="str">
        <f t="shared" si="206"/>
        <v xml:space="preserve">["TITLE"] = { ["EN"] = "Dispeller of Isengard"; }; </v>
      </c>
      <c r="BH303" t="str">
        <f t="shared" si="207"/>
        <v/>
      </c>
      <c r="BI303" t="str">
        <f t="shared" si="208"/>
        <v/>
      </c>
      <c r="BJ303" t="str">
        <f t="shared" si="210"/>
        <v>};</v>
      </c>
    </row>
    <row r="304" spans="1:62" x14ac:dyDescent="0.25">
      <c r="A304">
        <v>1879403957</v>
      </c>
      <c r="B304">
        <v>314</v>
      </c>
      <c r="C304" t="s">
        <v>2682</v>
      </c>
      <c r="D304" t="s">
        <v>26</v>
      </c>
      <c r="I304" t="s">
        <v>2656</v>
      </c>
      <c r="L304">
        <v>2000</v>
      </c>
      <c r="M304" t="s">
        <v>2719</v>
      </c>
      <c r="Q304" t="s">
        <v>2718</v>
      </c>
      <c r="R304" t="s">
        <v>2694</v>
      </c>
      <c r="S304">
        <v>0</v>
      </c>
      <c r="T304">
        <v>78</v>
      </c>
      <c r="X304" t="str">
        <f t="shared" si="178"/>
        <v>[303] = {["ID"] = 1879403957; }; -- The Third Marshal</v>
      </c>
      <c r="Y304" s="1" t="str">
        <f t="shared" si="180"/>
        <v>[303]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4">
        <f t="shared" si="209"/>
        <v>303</v>
      </c>
      <c r="AA304" t="str">
        <f t="shared" si="181"/>
        <v>[303] = {</v>
      </c>
      <c r="AB304" t="str">
        <f t="shared" si="182"/>
        <v xml:space="preserve">["ID"] = 1879403957; </v>
      </c>
      <c r="AC304" t="str">
        <f t="shared" si="183"/>
        <v xml:space="preserve">["ID"] = 1879403957; </v>
      </c>
      <c r="AD304" t="str">
        <f t="shared" si="184"/>
        <v/>
      </c>
      <c r="AE304" t="str">
        <f t="shared" si="185"/>
        <v/>
      </c>
      <c r="AF304" s="1" t="str">
        <f t="shared" si="186"/>
        <v xml:space="preserve">["SAVE_INDEX"] = 314; </v>
      </c>
      <c r="AG304">
        <f>VLOOKUP(D304,Type!A$2:B$16,2,FALSE)</f>
        <v>6</v>
      </c>
      <c r="AH304" t="str">
        <f t="shared" si="187"/>
        <v xml:space="preserve">["TYPE"] =  6; </v>
      </c>
      <c r="AI304" t="str">
        <f t="shared" si="188"/>
        <v xml:space="preserve">                      </v>
      </c>
      <c r="AJ304" t="str">
        <f>IF(AND(F304="Class",NOT(ISBLANK(E304))),VLOOKUP(E304,Class!A$1:B$12,2,FALSE),"")</f>
        <v/>
      </c>
      <c r="AK304" t="str">
        <f>IF(AND(F304="Vocation",NOT(ISBLANK(E304))),VLOOKUP(E304,Vocation!A$1:B$8,2,FALSE),"")</f>
        <v/>
      </c>
      <c r="AL304" t="str">
        <f>IF(AND(F304="Race",NOT(ISBLANK(E304))),VLOOKUP(E304,Race!A$1:B$9,2,),"")</f>
        <v/>
      </c>
      <c r="AM304" t="str">
        <f t="shared" si="189"/>
        <v xml:space="preserve">  0</v>
      </c>
      <c r="AN304" t="str">
        <f t="shared" si="190"/>
        <v xml:space="preserve">["SUBTYPE"] =   0; </v>
      </c>
      <c r="AO304" t="str">
        <f>IF(NOT(ISBLANK(G304)),VLOOKUP(G304,Type!D$2:E$6,2,FALSE),"")</f>
        <v/>
      </c>
      <c r="AP304" t="str">
        <f t="shared" si="191"/>
        <v xml:space="preserve">            </v>
      </c>
      <c r="AQ304" t="str">
        <f t="shared" si="192"/>
        <v xml:space="preserve">["LEGENDARY"] = true; </v>
      </c>
      <c r="AR304" t="str">
        <f t="shared" si="193"/>
        <v/>
      </c>
      <c r="AS304" t="str">
        <f t="shared" si="194"/>
        <v>2000</v>
      </c>
      <c r="AT304" t="str">
        <f t="shared" si="195"/>
        <v xml:space="preserve">["VXP"] = 2000; </v>
      </c>
      <c r="AU304" t="str">
        <f t="shared" si="196"/>
        <v>0</v>
      </c>
      <c r="AV304" t="str">
        <f t="shared" si="197"/>
        <v xml:space="preserve">["LP"] =  0; </v>
      </c>
      <c r="AW304" t="str">
        <f t="shared" si="198"/>
        <v>0</v>
      </c>
      <c r="AX304" t="str">
        <f t="shared" si="199"/>
        <v xml:space="preserve">["REP"] =     0; </v>
      </c>
      <c r="AY304">
        <f>IF(LEN(P304)&gt;0,VLOOKUP(P304,Faction!A$2:B$77,2,FALSE),1)</f>
        <v>1</v>
      </c>
      <c r="AZ304" t="str">
        <f t="shared" si="200"/>
        <v xml:space="preserve">["FACTION"] =  1; </v>
      </c>
      <c r="BA304" t="str">
        <f t="shared" si="179"/>
        <v/>
      </c>
      <c r="BB304" t="str">
        <f t="shared" si="201"/>
        <v xml:space="preserve">["MIN_LVL"] =  "78"; </v>
      </c>
      <c r="BC304" t="str">
        <f t="shared" si="202"/>
        <v xml:space="preserve">                  </v>
      </c>
      <c r="BD304" t="str">
        <f t="shared" si="203"/>
        <v xml:space="preserve">["NAME"] = { ["EN"] = "The Third Marshal"; }; </v>
      </c>
      <c r="BE304" t="str">
        <f t="shared" si="204"/>
        <v xml:space="preserve">["LORE"] = { ["EN"] = "This deed is for Legendary Servers."; }; </v>
      </c>
      <c r="BF304" t="str">
        <f t="shared" si="205"/>
        <v xml:space="preserve">["SUMMARY"] = { ["EN"] = "Complete Volume III, Book 9: The Third Marshal on a legendary server."; }; </v>
      </c>
      <c r="BG304" t="str">
        <f t="shared" si="206"/>
        <v xml:space="preserve">["TITLE"] = { ["EN"] = "Eorlingas by Deed"; }; </v>
      </c>
      <c r="BH304" t="str">
        <f t="shared" si="207"/>
        <v/>
      </c>
      <c r="BI304" t="str">
        <f t="shared" si="208"/>
        <v/>
      </c>
      <c r="BJ304" t="str">
        <f t="shared" si="210"/>
        <v>};</v>
      </c>
    </row>
    <row r="305" spans="1:62" x14ac:dyDescent="0.25">
      <c r="A305">
        <v>1879403958</v>
      </c>
      <c r="B305">
        <v>315</v>
      </c>
      <c r="C305" t="s">
        <v>2683</v>
      </c>
      <c r="D305" t="s">
        <v>26</v>
      </c>
      <c r="I305" t="s">
        <v>2656</v>
      </c>
      <c r="L305">
        <v>2000</v>
      </c>
      <c r="M305" t="s">
        <v>2720</v>
      </c>
      <c r="Q305" t="s">
        <v>2721</v>
      </c>
      <c r="R305" t="s">
        <v>2694</v>
      </c>
      <c r="S305">
        <v>0</v>
      </c>
      <c r="T305">
        <v>80</v>
      </c>
      <c r="X305" t="str">
        <f t="shared" si="178"/>
        <v>[304] = {["ID"] = 1879403958; }; -- Legendary Wildermore</v>
      </c>
      <c r="Y305" s="1" t="str">
        <f t="shared" si="180"/>
        <v>[304]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5">
        <f t="shared" si="209"/>
        <v>304</v>
      </c>
      <c r="AA305" t="str">
        <f t="shared" si="181"/>
        <v>[304] = {</v>
      </c>
      <c r="AB305" t="str">
        <f t="shared" si="182"/>
        <v xml:space="preserve">["ID"] = 1879403958; </v>
      </c>
      <c r="AC305" t="str">
        <f t="shared" si="183"/>
        <v xml:space="preserve">["ID"] = 1879403958; </v>
      </c>
      <c r="AD305" t="str">
        <f t="shared" si="184"/>
        <v/>
      </c>
      <c r="AE305" t="str">
        <f t="shared" si="185"/>
        <v/>
      </c>
      <c r="AF305" s="1" t="str">
        <f t="shared" si="186"/>
        <v xml:space="preserve">["SAVE_INDEX"] = 315; </v>
      </c>
      <c r="AG305">
        <f>VLOOKUP(D305,Type!A$2:B$16,2,FALSE)</f>
        <v>6</v>
      </c>
      <c r="AH305" t="str">
        <f t="shared" si="187"/>
        <v xml:space="preserve">["TYPE"] =  6; </v>
      </c>
      <c r="AI305" t="str">
        <f t="shared" si="188"/>
        <v xml:space="preserve">                      </v>
      </c>
      <c r="AJ305" t="str">
        <f>IF(AND(F305="Class",NOT(ISBLANK(E305))),VLOOKUP(E305,Class!A$1:B$12,2,FALSE),"")</f>
        <v/>
      </c>
      <c r="AK305" t="str">
        <f>IF(AND(F305="Vocation",NOT(ISBLANK(E305))),VLOOKUP(E305,Vocation!A$1:B$8,2,FALSE),"")</f>
        <v/>
      </c>
      <c r="AL305" t="str">
        <f>IF(AND(F305="Race",NOT(ISBLANK(E305))),VLOOKUP(E305,Race!A$1:B$9,2,),"")</f>
        <v/>
      </c>
      <c r="AM305" t="str">
        <f t="shared" si="189"/>
        <v xml:space="preserve">  0</v>
      </c>
      <c r="AN305" t="str">
        <f t="shared" si="190"/>
        <v xml:space="preserve">["SUBTYPE"] =   0; </v>
      </c>
      <c r="AO305" t="str">
        <f>IF(NOT(ISBLANK(G305)),VLOOKUP(G305,Type!D$2:E$6,2,FALSE),"")</f>
        <v/>
      </c>
      <c r="AP305" t="str">
        <f t="shared" si="191"/>
        <v xml:space="preserve">            </v>
      </c>
      <c r="AQ305" t="str">
        <f t="shared" si="192"/>
        <v xml:space="preserve">["LEGENDARY"] = true; </v>
      </c>
      <c r="AR305" t="str">
        <f t="shared" si="193"/>
        <v/>
      </c>
      <c r="AS305" t="str">
        <f t="shared" si="194"/>
        <v>2000</v>
      </c>
      <c r="AT305" t="str">
        <f t="shared" si="195"/>
        <v xml:space="preserve">["VXP"] = 2000; </v>
      </c>
      <c r="AU305" t="str">
        <f t="shared" si="196"/>
        <v>0</v>
      </c>
      <c r="AV305" t="str">
        <f t="shared" si="197"/>
        <v xml:space="preserve">["LP"] =  0; </v>
      </c>
      <c r="AW305" t="str">
        <f t="shared" si="198"/>
        <v>0</v>
      </c>
      <c r="AX305" t="str">
        <f t="shared" si="199"/>
        <v xml:space="preserve">["REP"] =     0; </v>
      </c>
      <c r="AY305">
        <f>IF(LEN(P305)&gt;0,VLOOKUP(P305,Faction!A$2:B$77,2,FALSE),1)</f>
        <v>1</v>
      </c>
      <c r="AZ305" t="str">
        <f t="shared" si="200"/>
        <v xml:space="preserve">["FACTION"] =  1; </v>
      </c>
      <c r="BA305" t="str">
        <f t="shared" si="179"/>
        <v/>
      </c>
      <c r="BB305" t="str">
        <f t="shared" si="201"/>
        <v xml:space="preserve">["MIN_LVL"] =  "80"; </v>
      </c>
      <c r="BC305" t="str">
        <f t="shared" si="202"/>
        <v xml:space="preserve">                  </v>
      </c>
      <c r="BD305" t="str">
        <f t="shared" si="203"/>
        <v xml:space="preserve">["NAME"] = { ["EN"] = "Legendary Wildermore"; }; </v>
      </c>
      <c r="BE305" t="str">
        <f t="shared" si="204"/>
        <v xml:space="preserve">["LORE"] = { ["EN"] = "This deed is for Legendary Servers."; }; </v>
      </c>
      <c r="BF305" t="str">
        <f t="shared" si="205"/>
        <v xml:space="preserve">["SUMMARY"] = { ["EN"] = "Complete Final Stand on a legendary server."; }; </v>
      </c>
      <c r="BG305" t="str">
        <f t="shared" si="206"/>
        <v xml:space="preserve">["TITLE"] = { ["EN"] = "Shatterer of Núrzum"; }; </v>
      </c>
      <c r="BH305" t="str">
        <f t="shared" si="207"/>
        <v/>
      </c>
      <c r="BI305" t="str">
        <f t="shared" si="208"/>
        <v/>
      </c>
      <c r="BJ305" t="str">
        <f t="shared" si="210"/>
        <v>};</v>
      </c>
    </row>
    <row r="306" spans="1:62" x14ac:dyDescent="0.25">
      <c r="A306">
        <v>1879403960</v>
      </c>
      <c r="B306">
        <v>316</v>
      </c>
      <c r="C306" t="s">
        <v>2685</v>
      </c>
      <c r="D306" t="s">
        <v>26</v>
      </c>
      <c r="I306" t="s">
        <v>2656</v>
      </c>
      <c r="L306">
        <v>2000</v>
      </c>
      <c r="M306" t="s">
        <v>2685</v>
      </c>
      <c r="Q306" t="s">
        <v>2724</v>
      </c>
      <c r="R306" t="s">
        <v>2694</v>
      </c>
      <c r="S306">
        <v>0</v>
      </c>
      <c r="T306">
        <v>80</v>
      </c>
      <c r="X306" t="str">
        <f t="shared" si="178"/>
        <v>[305] = {["ID"] = 1879403960; }; -- Legend of Rohan</v>
      </c>
      <c r="Y306" s="1" t="str">
        <f t="shared" si="180"/>
        <v>[305]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6">
        <f t="shared" si="209"/>
        <v>305</v>
      </c>
      <c r="AA306" t="str">
        <f t="shared" si="181"/>
        <v>[305] = {</v>
      </c>
      <c r="AB306" t="str">
        <f t="shared" si="182"/>
        <v xml:space="preserve">["ID"] = 1879403960; </v>
      </c>
      <c r="AC306" t="str">
        <f t="shared" si="183"/>
        <v xml:space="preserve">["ID"] = 1879403960; </v>
      </c>
      <c r="AD306" t="str">
        <f t="shared" si="184"/>
        <v/>
      </c>
      <c r="AE306" t="str">
        <f t="shared" si="185"/>
        <v/>
      </c>
      <c r="AF306" s="1" t="str">
        <f t="shared" si="186"/>
        <v xml:space="preserve">["SAVE_INDEX"] = 316; </v>
      </c>
      <c r="AG306">
        <f>VLOOKUP(D306,Type!A$2:B$16,2,FALSE)</f>
        <v>6</v>
      </c>
      <c r="AH306" t="str">
        <f t="shared" si="187"/>
        <v xml:space="preserve">["TYPE"] =  6; </v>
      </c>
      <c r="AI306" t="str">
        <f t="shared" si="188"/>
        <v xml:space="preserve">                      </v>
      </c>
      <c r="AJ306" t="str">
        <f>IF(AND(F306="Class",NOT(ISBLANK(E306))),VLOOKUP(E306,Class!A$1:B$12,2,FALSE),"")</f>
        <v/>
      </c>
      <c r="AK306" t="str">
        <f>IF(AND(F306="Vocation",NOT(ISBLANK(E306))),VLOOKUP(E306,Vocation!A$1:B$8,2,FALSE),"")</f>
        <v/>
      </c>
      <c r="AL306" t="str">
        <f>IF(AND(F306="Race",NOT(ISBLANK(E306))),VLOOKUP(E306,Race!A$1:B$9,2,),"")</f>
        <v/>
      </c>
      <c r="AM306" t="str">
        <f t="shared" si="189"/>
        <v xml:space="preserve">  0</v>
      </c>
      <c r="AN306" t="str">
        <f t="shared" si="190"/>
        <v xml:space="preserve">["SUBTYPE"] =   0; </v>
      </c>
      <c r="AO306" t="str">
        <f>IF(NOT(ISBLANK(G306)),VLOOKUP(G306,Type!D$2:E$6,2,FALSE),"")</f>
        <v/>
      </c>
      <c r="AP306" t="str">
        <f t="shared" si="191"/>
        <v xml:space="preserve">            </v>
      </c>
      <c r="AQ306" t="str">
        <f t="shared" si="192"/>
        <v xml:space="preserve">["LEGENDARY"] = true; </v>
      </c>
      <c r="AR306" t="str">
        <f t="shared" si="193"/>
        <v/>
      </c>
      <c r="AS306" t="str">
        <f t="shared" si="194"/>
        <v>2000</v>
      </c>
      <c r="AT306" t="str">
        <f t="shared" si="195"/>
        <v xml:space="preserve">["VXP"] = 2000; </v>
      </c>
      <c r="AU306" t="str">
        <f t="shared" si="196"/>
        <v>0</v>
      </c>
      <c r="AV306" t="str">
        <f t="shared" si="197"/>
        <v xml:space="preserve">["LP"] =  0; </v>
      </c>
      <c r="AW306" t="str">
        <f t="shared" si="198"/>
        <v>0</v>
      </c>
      <c r="AX306" t="str">
        <f t="shared" si="199"/>
        <v xml:space="preserve">["REP"] =     0; </v>
      </c>
      <c r="AY306">
        <f>IF(LEN(P306)&gt;0,VLOOKUP(P306,Faction!A$2:B$77,2,FALSE),1)</f>
        <v>1</v>
      </c>
      <c r="AZ306" t="str">
        <f t="shared" si="200"/>
        <v xml:space="preserve">["FACTION"] =  1; </v>
      </c>
      <c r="BA306" t="str">
        <f t="shared" si="179"/>
        <v/>
      </c>
      <c r="BB306" t="str">
        <f t="shared" si="201"/>
        <v xml:space="preserve">["MIN_LVL"] =  "80"; </v>
      </c>
      <c r="BC306" t="str">
        <f t="shared" si="202"/>
        <v xml:space="preserve">                  </v>
      </c>
      <c r="BD306" t="str">
        <f t="shared" si="203"/>
        <v xml:space="preserve">["NAME"] = { ["EN"] = "Legend of Rohan"; }; </v>
      </c>
      <c r="BE306" t="str">
        <f t="shared" si="204"/>
        <v xml:space="preserve">["LORE"] = { ["EN"] = "This deed is for Legendary Servers."; }; </v>
      </c>
      <c r="BF306" t="str">
        <f t="shared" si="205"/>
        <v xml:space="preserve">["SUMMARY"] = { ["EN"] = "Finish Rebuilding Hytbold on a legendary server."; }; </v>
      </c>
      <c r="BG306" t="str">
        <f t="shared" si="206"/>
        <v xml:space="preserve">["TITLE"] = { ["EN"] = "Legend of Rohan"; }; </v>
      </c>
      <c r="BH306" t="str">
        <f t="shared" si="207"/>
        <v/>
      </c>
      <c r="BI306" t="str">
        <f t="shared" si="208"/>
        <v/>
      </c>
      <c r="BJ306" t="str">
        <f t="shared" si="210"/>
        <v>};</v>
      </c>
    </row>
    <row r="307" spans="1:62" x14ac:dyDescent="0.25">
      <c r="A307">
        <v>1879403959</v>
      </c>
      <c r="B307">
        <v>317</v>
      </c>
      <c r="C307" t="s">
        <v>2684</v>
      </c>
      <c r="D307" t="s">
        <v>26</v>
      </c>
      <c r="I307" t="s">
        <v>2656</v>
      </c>
      <c r="M307" t="s">
        <v>2722</v>
      </c>
      <c r="Q307" t="s">
        <v>2723</v>
      </c>
      <c r="R307" t="s">
        <v>2694</v>
      </c>
      <c r="S307">
        <v>0</v>
      </c>
      <c r="T307">
        <v>84</v>
      </c>
      <c r="X307" t="str">
        <f t="shared" si="178"/>
        <v>[306] = {["ID"] = 1879403959; }; -- Up to the Mark</v>
      </c>
      <c r="Y307" s="1" t="str">
        <f t="shared" si="180"/>
        <v>[306]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7">
        <f t="shared" si="209"/>
        <v>306</v>
      </c>
      <c r="AA307" t="str">
        <f t="shared" si="181"/>
        <v>[306] = {</v>
      </c>
      <c r="AB307" t="str">
        <f t="shared" si="182"/>
        <v xml:space="preserve">["ID"] = 1879403959; </v>
      </c>
      <c r="AC307" t="str">
        <f t="shared" si="183"/>
        <v xml:space="preserve">["ID"] = 1879403959; </v>
      </c>
      <c r="AD307" t="str">
        <f t="shared" si="184"/>
        <v/>
      </c>
      <c r="AE307" t="str">
        <f t="shared" si="185"/>
        <v/>
      </c>
      <c r="AF307" s="1" t="str">
        <f t="shared" si="186"/>
        <v xml:space="preserve">["SAVE_INDEX"] = 317; </v>
      </c>
      <c r="AG307">
        <f>VLOOKUP(D307,Type!A$2:B$16,2,FALSE)</f>
        <v>6</v>
      </c>
      <c r="AH307" t="str">
        <f t="shared" si="187"/>
        <v xml:space="preserve">["TYPE"] =  6; </v>
      </c>
      <c r="AI307" t="str">
        <f t="shared" si="188"/>
        <v xml:space="preserve">                      </v>
      </c>
      <c r="AJ307" t="str">
        <f>IF(AND(F307="Class",NOT(ISBLANK(E307))),VLOOKUP(E307,Class!A$1:B$12,2,FALSE),"")</f>
        <v/>
      </c>
      <c r="AK307" t="str">
        <f>IF(AND(F307="Vocation",NOT(ISBLANK(E307))),VLOOKUP(E307,Vocation!A$1:B$8,2,FALSE),"")</f>
        <v/>
      </c>
      <c r="AL307" t="str">
        <f>IF(AND(F307="Race",NOT(ISBLANK(E307))),VLOOKUP(E307,Race!A$1:B$9,2,),"")</f>
        <v/>
      </c>
      <c r="AM307" t="str">
        <f t="shared" si="189"/>
        <v xml:space="preserve">  0</v>
      </c>
      <c r="AN307" t="str">
        <f t="shared" si="190"/>
        <v xml:space="preserve">["SUBTYPE"] =   0; </v>
      </c>
      <c r="AO307" t="str">
        <f>IF(NOT(ISBLANK(G307)),VLOOKUP(G307,Type!D$2:E$6,2,FALSE),"")</f>
        <v/>
      </c>
      <c r="AP307" t="str">
        <f t="shared" si="191"/>
        <v xml:space="preserve">            </v>
      </c>
      <c r="AQ307" t="str">
        <f t="shared" si="192"/>
        <v xml:space="preserve">["LEGENDARY"] = true; </v>
      </c>
      <c r="AR307" t="str">
        <f t="shared" si="193"/>
        <v/>
      </c>
      <c r="AS307" t="str">
        <f t="shared" si="194"/>
        <v>0</v>
      </c>
      <c r="AT307" t="str">
        <f t="shared" si="195"/>
        <v xml:space="preserve">["VXP"] =    0; </v>
      </c>
      <c r="AU307" t="str">
        <f t="shared" si="196"/>
        <v>0</v>
      </c>
      <c r="AV307" t="str">
        <f t="shared" si="197"/>
        <v xml:space="preserve">["LP"] =  0; </v>
      </c>
      <c r="AW307" t="str">
        <f t="shared" si="198"/>
        <v>0</v>
      </c>
      <c r="AX307" t="str">
        <f t="shared" si="199"/>
        <v xml:space="preserve">["REP"] =     0; </v>
      </c>
      <c r="AY307">
        <f>IF(LEN(P307)&gt;0,VLOOKUP(P307,Faction!A$2:B$77,2,FALSE),1)</f>
        <v>1</v>
      </c>
      <c r="AZ307" t="str">
        <f t="shared" si="200"/>
        <v xml:space="preserve">["FACTION"] =  1; </v>
      </c>
      <c r="BA307" t="str">
        <f t="shared" si="179"/>
        <v/>
      </c>
      <c r="BB307" t="str">
        <f t="shared" si="201"/>
        <v xml:space="preserve">["MIN_LVL"] =  "84"; </v>
      </c>
      <c r="BC307" t="str">
        <f t="shared" si="202"/>
        <v xml:space="preserve">                  </v>
      </c>
      <c r="BD307" t="str">
        <f t="shared" si="203"/>
        <v xml:space="preserve">["NAME"] = { ["EN"] = "Up to the Mark"; }; </v>
      </c>
      <c r="BE307" t="str">
        <f t="shared" si="204"/>
        <v xml:space="preserve">["LORE"] = { ["EN"] = "This deed is for Legendary Servers."; }; </v>
      </c>
      <c r="BF307" t="str">
        <f t="shared" si="205"/>
        <v xml:space="preserve">["SUMMARY"] = { ["EN"] = "Adventure to Level 85 on a legendary server."; }; </v>
      </c>
      <c r="BG307" t="str">
        <f t="shared" si="206"/>
        <v xml:space="preserve">["TITLE"] = { ["EN"] = "on Horseback"; }; </v>
      </c>
      <c r="BH307" t="str">
        <f t="shared" si="207"/>
        <v/>
      </c>
      <c r="BI307" t="str">
        <f t="shared" si="208"/>
        <v/>
      </c>
      <c r="BJ307" t="str">
        <f t="shared" si="210"/>
        <v>};</v>
      </c>
    </row>
    <row r="308" spans="1:62" x14ac:dyDescent="0.25">
      <c r="A308">
        <v>1879409576</v>
      </c>
      <c r="B308">
        <v>320</v>
      </c>
      <c r="C308" t="s">
        <v>2688</v>
      </c>
      <c r="D308" t="s">
        <v>26</v>
      </c>
      <c r="I308" t="s">
        <v>2656</v>
      </c>
      <c r="L308">
        <v>2000</v>
      </c>
      <c r="M308" t="s">
        <v>2728</v>
      </c>
      <c r="Q308" t="s">
        <v>2729</v>
      </c>
      <c r="R308" t="s">
        <v>2694</v>
      </c>
      <c r="S308">
        <v>0</v>
      </c>
      <c r="T308">
        <v>89</v>
      </c>
      <c r="X308" t="str">
        <f t="shared" si="178"/>
        <v>[307] = {["ID"] = 1879409576; }; -- The Battle of the Hornburg</v>
      </c>
      <c r="Y308" s="1" t="str">
        <f t="shared" si="180"/>
        <v>[307]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08">
        <f t="shared" si="209"/>
        <v>307</v>
      </c>
      <c r="AA308" t="str">
        <f t="shared" si="181"/>
        <v>[307] = {</v>
      </c>
      <c r="AB308" t="str">
        <f t="shared" si="182"/>
        <v xml:space="preserve">["ID"] = 1879409576; </v>
      </c>
      <c r="AC308" t="str">
        <f t="shared" si="183"/>
        <v xml:space="preserve">["ID"] = 1879409576; </v>
      </c>
      <c r="AD308" t="str">
        <f t="shared" si="184"/>
        <v/>
      </c>
      <c r="AE308" t="str">
        <f t="shared" si="185"/>
        <v/>
      </c>
      <c r="AF308" s="1" t="str">
        <f t="shared" si="186"/>
        <v xml:space="preserve">["SAVE_INDEX"] = 320; </v>
      </c>
      <c r="AG308">
        <f>VLOOKUP(D308,Type!A$2:B$16,2,FALSE)</f>
        <v>6</v>
      </c>
      <c r="AH308" t="str">
        <f t="shared" si="187"/>
        <v xml:space="preserve">["TYPE"] =  6; </v>
      </c>
      <c r="AI308" t="str">
        <f t="shared" si="188"/>
        <v xml:space="preserve">                      </v>
      </c>
      <c r="AJ308" t="str">
        <f>IF(AND(F308="Class",NOT(ISBLANK(E308))),VLOOKUP(E308,Class!A$1:B$12,2,FALSE),"")</f>
        <v/>
      </c>
      <c r="AK308" t="str">
        <f>IF(AND(F308="Vocation",NOT(ISBLANK(E308))),VLOOKUP(E308,Vocation!A$1:B$8,2,FALSE),"")</f>
        <v/>
      </c>
      <c r="AL308" t="str">
        <f>IF(AND(F308="Race",NOT(ISBLANK(E308))),VLOOKUP(E308,Race!A$1:B$9,2,),"")</f>
        <v/>
      </c>
      <c r="AM308" t="str">
        <f t="shared" si="189"/>
        <v xml:space="preserve">  0</v>
      </c>
      <c r="AN308" t="str">
        <f t="shared" si="190"/>
        <v xml:space="preserve">["SUBTYPE"] =   0; </v>
      </c>
      <c r="AO308" t="str">
        <f>IF(NOT(ISBLANK(G308)),VLOOKUP(G308,Type!D$2:E$6,2,FALSE),"")</f>
        <v/>
      </c>
      <c r="AP308" t="str">
        <f t="shared" si="191"/>
        <v xml:space="preserve">            </v>
      </c>
      <c r="AQ308" t="str">
        <f t="shared" si="192"/>
        <v xml:space="preserve">["LEGENDARY"] = true; </v>
      </c>
      <c r="AR308" t="str">
        <f t="shared" si="193"/>
        <v/>
      </c>
      <c r="AS308" t="str">
        <f t="shared" si="194"/>
        <v>2000</v>
      </c>
      <c r="AT308" t="str">
        <f t="shared" si="195"/>
        <v xml:space="preserve">["VXP"] = 2000; </v>
      </c>
      <c r="AU308" t="str">
        <f t="shared" si="196"/>
        <v>0</v>
      </c>
      <c r="AV308" t="str">
        <f t="shared" si="197"/>
        <v xml:space="preserve">["LP"] =  0; </v>
      </c>
      <c r="AW308" t="str">
        <f t="shared" si="198"/>
        <v>0</v>
      </c>
      <c r="AX308" t="str">
        <f t="shared" si="199"/>
        <v xml:space="preserve">["REP"] =     0; </v>
      </c>
      <c r="AY308">
        <f>IF(LEN(P308)&gt;0,VLOOKUP(P308,Faction!A$2:B$77,2,FALSE),1)</f>
        <v>1</v>
      </c>
      <c r="AZ308" t="str">
        <f t="shared" si="200"/>
        <v xml:space="preserve">["FACTION"] =  1; </v>
      </c>
      <c r="BA308" t="str">
        <f t="shared" si="179"/>
        <v/>
      </c>
      <c r="BB308" t="str">
        <f t="shared" si="201"/>
        <v xml:space="preserve">["MIN_LVL"] =  "89"; </v>
      </c>
      <c r="BC308" t="str">
        <f t="shared" si="202"/>
        <v xml:space="preserve">                  </v>
      </c>
      <c r="BD308" t="str">
        <f t="shared" si="203"/>
        <v xml:space="preserve">["NAME"] = { ["EN"] = "The Battle of the Hornburg"; }; </v>
      </c>
      <c r="BE308" t="str">
        <f t="shared" si="204"/>
        <v xml:space="preserve">["LORE"] = { ["EN"] = "This deed is for Legendary Servers."; }; </v>
      </c>
      <c r="BF308" t="str">
        <f t="shared" si="205"/>
        <v xml:space="preserve">["SUMMARY"] = { ["EN"] = "Complete Volume III, Book 13: The Battle of the Hornburg on a legendary server."; }; </v>
      </c>
      <c r="BG308" t="str">
        <f t="shared" si="206"/>
        <v xml:space="preserve">["TITLE"] = { ["EN"] = "Legend of Helm's Deep"; }; </v>
      </c>
      <c r="BH308" t="str">
        <f t="shared" si="207"/>
        <v/>
      </c>
      <c r="BI308" t="str">
        <f t="shared" si="208"/>
        <v/>
      </c>
      <c r="BJ308" t="str">
        <f t="shared" si="210"/>
        <v>};</v>
      </c>
    </row>
    <row r="309" spans="1:62" x14ac:dyDescent="0.25">
      <c r="A309">
        <v>1879409575</v>
      </c>
      <c r="B309">
        <v>318</v>
      </c>
      <c r="C309" t="s">
        <v>2687</v>
      </c>
      <c r="D309" t="s">
        <v>26</v>
      </c>
      <c r="I309" t="s">
        <v>2656</v>
      </c>
      <c r="L309">
        <v>2000</v>
      </c>
      <c r="M309" t="s">
        <v>2727</v>
      </c>
      <c r="Q309" t="s">
        <v>2726</v>
      </c>
      <c r="R309" t="s">
        <v>2694</v>
      </c>
      <c r="S309">
        <v>0</v>
      </c>
      <c r="T309">
        <v>90</v>
      </c>
      <c r="X309" t="str">
        <f t="shared" si="178"/>
        <v>[308] = {["ID"] = 1879409575; }; -- Legend of Fangorn</v>
      </c>
      <c r="Y309" s="1" t="str">
        <f t="shared" si="180"/>
        <v>[308]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09">
        <f t="shared" si="209"/>
        <v>308</v>
      </c>
      <c r="AA309" t="str">
        <f t="shared" si="181"/>
        <v>[308] = {</v>
      </c>
      <c r="AB309" t="str">
        <f t="shared" si="182"/>
        <v xml:space="preserve">["ID"] = 1879409575; </v>
      </c>
      <c r="AC309" t="str">
        <f t="shared" si="183"/>
        <v xml:space="preserve">["ID"] = 1879409575; </v>
      </c>
      <c r="AD309" t="str">
        <f t="shared" si="184"/>
        <v/>
      </c>
      <c r="AE309" t="str">
        <f t="shared" si="185"/>
        <v/>
      </c>
      <c r="AF309" s="1" t="str">
        <f t="shared" si="186"/>
        <v xml:space="preserve">["SAVE_INDEX"] = 318; </v>
      </c>
      <c r="AG309">
        <f>VLOOKUP(D309,Type!A$2:B$16,2,FALSE)</f>
        <v>6</v>
      </c>
      <c r="AH309" t="str">
        <f t="shared" si="187"/>
        <v xml:space="preserve">["TYPE"] =  6; </v>
      </c>
      <c r="AI309" t="str">
        <f t="shared" si="188"/>
        <v xml:space="preserve">                      </v>
      </c>
      <c r="AJ309" t="str">
        <f>IF(AND(F309="Class",NOT(ISBLANK(E309))),VLOOKUP(E309,Class!A$1:B$12,2,FALSE),"")</f>
        <v/>
      </c>
      <c r="AK309" t="str">
        <f>IF(AND(F309="Vocation",NOT(ISBLANK(E309))),VLOOKUP(E309,Vocation!A$1:B$8,2,FALSE),"")</f>
        <v/>
      </c>
      <c r="AL309" t="str">
        <f>IF(AND(F309="Race",NOT(ISBLANK(E309))),VLOOKUP(E309,Race!A$1:B$9,2,),"")</f>
        <v/>
      </c>
      <c r="AM309" t="str">
        <f t="shared" si="189"/>
        <v xml:space="preserve">  0</v>
      </c>
      <c r="AN309" t="str">
        <f t="shared" si="190"/>
        <v xml:space="preserve">["SUBTYPE"] =   0; </v>
      </c>
      <c r="AO309" t="str">
        <f>IF(NOT(ISBLANK(G309)),VLOOKUP(G309,Type!D$2:E$6,2,FALSE),"")</f>
        <v/>
      </c>
      <c r="AP309" t="str">
        <f t="shared" si="191"/>
        <v xml:space="preserve">            </v>
      </c>
      <c r="AQ309" t="str">
        <f t="shared" si="192"/>
        <v xml:space="preserve">["LEGENDARY"] = true; </v>
      </c>
      <c r="AR309" t="str">
        <f t="shared" si="193"/>
        <v/>
      </c>
      <c r="AS309" t="str">
        <f t="shared" si="194"/>
        <v>2000</v>
      </c>
      <c r="AT309" t="str">
        <f t="shared" si="195"/>
        <v xml:space="preserve">["VXP"] = 2000; </v>
      </c>
      <c r="AU309" t="str">
        <f t="shared" si="196"/>
        <v>0</v>
      </c>
      <c r="AV309" t="str">
        <f t="shared" si="197"/>
        <v xml:space="preserve">["LP"] =  0; </v>
      </c>
      <c r="AW309" t="str">
        <f t="shared" si="198"/>
        <v>0</v>
      </c>
      <c r="AX309" t="str">
        <f t="shared" si="199"/>
        <v xml:space="preserve">["REP"] =     0; </v>
      </c>
      <c r="AY309">
        <f>IF(LEN(P309)&gt;0,VLOOKUP(P309,Faction!A$2:B$77,2,FALSE),1)</f>
        <v>1</v>
      </c>
      <c r="AZ309" t="str">
        <f t="shared" si="200"/>
        <v xml:space="preserve">["FACTION"] =  1; </v>
      </c>
      <c r="BA309" t="str">
        <f t="shared" si="179"/>
        <v/>
      </c>
      <c r="BB309" t="str">
        <f t="shared" si="201"/>
        <v xml:space="preserve">["MIN_LVL"] =  "90"; </v>
      </c>
      <c r="BC309" t="str">
        <f t="shared" si="202"/>
        <v xml:space="preserve">                  </v>
      </c>
      <c r="BD309" t="str">
        <f t="shared" si="203"/>
        <v xml:space="preserve">["NAME"] = { ["EN"] = "Legend of Fangorn"; }; </v>
      </c>
      <c r="BE309" t="str">
        <f t="shared" si="204"/>
        <v xml:space="preserve">["LORE"] = { ["EN"] = "This deed is for Legendary Servers."; }; </v>
      </c>
      <c r="BF309" t="str">
        <f t="shared" si="205"/>
        <v xml:space="preserve">["SUMMARY"] = { ["EN"] = "Complete Volume III, Book 14: The Waters of Isengard and Earn Friend standing with the Ents of Fangorn on a legendary server."; }; </v>
      </c>
      <c r="BG309" t="str">
        <f t="shared" si="206"/>
        <v xml:space="preserve">["TITLE"] = { ["EN"] = "Tree Whisperer"; }; </v>
      </c>
      <c r="BH309" t="str">
        <f t="shared" si="207"/>
        <v/>
      </c>
      <c r="BI309" t="str">
        <f t="shared" si="208"/>
        <v/>
      </c>
      <c r="BJ309" t="str">
        <f t="shared" si="210"/>
        <v>};</v>
      </c>
    </row>
    <row r="310" spans="1:62" x14ac:dyDescent="0.25">
      <c r="A310">
        <v>1879409573</v>
      </c>
      <c r="B310">
        <v>319</v>
      </c>
      <c r="C310" t="s">
        <v>2686</v>
      </c>
      <c r="D310" t="s">
        <v>26</v>
      </c>
      <c r="I310" t="s">
        <v>2656</v>
      </c>
      <c r="L310">
        <v>1000</v>
      </c>
      <c r="M310" t="s">
        <v>2725</v>
      </c>
      <c r="Q310" t="s">
        <v>2738</v>
      </c>
      <c r="R310" t="s">
        <v>2694</v>
      </c>
      <c r="S310">
        <v>0</v>
      </c>
      <c r="T310">
        <v>94</v>
      </c>
      <c r="X310" t="str">
        <f t="shared" si="178"/>
        <v>[309] = {["ID"] = 1879409573; }; -- Forth Eorlingas!</v>
      </c>
      <c r="Y310" s="1" t="str">
        <f t="shared" si="180"/>
        <v>[309] = {["ID"] = 1879409573; ["SAVE_INDEX"] = 319; ["TYPE"] =  6;                       ["SUBTYPE"] =   0;             ["LEGENDARY"] = true; ["VXP"] = 1000; ["LP"] =  0; ["REP"] =     0; ["FACTION"] =  1; ["MIN_LVL"] =  "94";                   ["NAME"] = { ["EN"] = "Forth Eorlingas!"; }; ["LORE"] = { ["EN"] = "This deed is for Legendary Servers."; }; ["SUMMARY"] = { ["EN"] = "Adventure to Level 95."; }; ["TITLE"] = { ["EN"] = "Helmingas by Deed"; }; };</v>
      </c>
      <c r="Z310">
        <f t="shared" si="209"/>
        <v>309</v>
      </c>
      <c r="AA310" t="str">
        <f t="shared" si="181"/>
        <v>[309] = {</v>
      </c>
      <c r="AB310" t="str">
        <f t="shared" si="182"/>
        <v xml:space="preserve">["ID"] = 1879409573; </v>
      </c>
      <c r="AC310" t="str">
        <f t="shared" si="183"/>
        <v xml:space="preserve">["ID"] = 1879409573; </v>
      </c>
      <c r="AD310" t="str">
        <f t="shared" si="184"/>
        <v/>
      </c>
      <c r="AE310" t="str">
        <f t="shared" si="185"/>
        <v/>
      </c>
      <c r="AF310" s="1" t="str">
        <f t="shared" si="186"/>
        <v xml:space="preserve">["SAVE_INDEX"] = 319; </v>
      </c>
      <c r="AG310">
        <f>VLOOKUP(D310,Type!A$2:B$16,2,FALSE)</f>
        <v>6</v>
      </c>
      <c r="AH310" t="str">
        <f t="shared" si="187"/>
        <v xml:space="preserve">["TYPE"] =  6; </v>
      </c>
      <c r="AI310" t="str">
        <f t="shared" si="188"/>
        <v xml:space="preserve">                      </v>
      </c>
      <c r="AJ310" t="str">
        <f>IF(AND(F310="Class",NOT(ISBLANK(E310))),VLOOKUP(E310,Class!A$1:B$12,2,FALSE),"")</f>
        <v/>
      </c>
      <c r="AK310" t="str">
        <f>IF(AND(F310="Vocation",NOT(ISBLANK(E310))),VLOOKUP(E310,Vocation!A$1:B$8,2,FALSE),"")</f>
        <v/>
      </c>
      <c r="AL310" t="str">
        <f>IF(AND(F310="Race",NOT(ISBLANK(E310))),VLOOKUP(E310,Race!A$1:B$9,2,),"")</f>
        <v/>
      </c>
      <c r="AM310" t="str">
        <f t="shared" si="189"/>
        <v xml:space="preserve">  0</v>
      </c>
      <c r="AN310" t="str">
        <f t="shared" si="190"/>
        <v xml:space="preserve">["SUBTYPE"] =   0; </v>
      </c>
      <c r="AO310" t="str">
        <f>IF(NOT(ISBLANK(G310)),VLOOKUP(G310,Type!D$2:E$6,2,FALSE),"")</f>
        <v/>
      </c>
      <c r="AP310" t="str">
        <f t="shared" si="191"/>
        <v xml:space="preserve">            </v>
      </c>
      <c r="AQ310" t="str">
        <f t="shared" si="192"/>
        <v xml:space="preserve">["LEGENDARY"] = true; </v>
      </c>
      <c r="AR310" t="str">
        <f t="shared" si="193"/>
        <v/>
      </c>
      <c r="AS310" t="str">
        <f t="shared" si="194"/>
        <v>1000</v>
      </c>
      <c r="AT310" t="str">
        <f t="shared" si="195"/>
        <v xml:space="preserve">["VXP"] = 1000; </v>
      </c>
      <c r="AU310" t="str">
        <f t="shared" si="196"/>
        <v>0</v>
      </c>
      <c r="AV310" t="str">
        <f t="shared" si="197"/>
        <v xml:space="preserve">["LP"] =  0; </v>
      </c>
      <c r="AW310" t="str">
        <f t="shared" si="198"/>
        <v>0</v>
      </c>
      <c r="AX310" t="str">
        <f t="shared" si="199"/>
        <v xml:space="preserve">["REP"] =     0; </v>
      </c>
      <c r="AY310">
        <f>IF(LEN(P310)&gt;0,VLOOKUP(P310,Faction!A$2:B$77,2,FALSE),1)</f>
        <v>1</v>
      </c>
      <c r="AZ310" t="str">
        <f t="shared" si="200"/>
        <v xml:space="preserve">["FACTION"] =  1; </v>
      </c>
      <c r="BA310" t="str">
        <f t="shared" si="179"/>
        <v/>
      </c>
      <c r="BB310" t="str">
        <f t="shared" si="201"/>
        <v xml:space="preserve">["MIN_LVL"] =  "94"; </v>
      </c>
      <c r="BC310" t="str">
        <f t="shared" si="202"/>
        <v xml:space="preserve">                  </v>
      </c>
      <c r="BD310" t="str">
        <f t="shared" si="203"/>
        <v xml:space="preserve">["NAME"] = { ["EN"] = "Forth Eorlingas!"; }; </v>
      </c>
      <c r="BE310" t="str">
        <f t="shared" si="204"/>
        <v xml:space="preserve">["LORE"] = { ["EN"] = "This deed is for Legendary Servers."; }; </v>
      </c>
      <c r="BF310" t="str">
        <f t="shared" si="205"/>
        <v xml:space="preserve">["SUMMARY"] = { ["EN"] = "Adventure to Level 95."; }; </v>
      </c>
      <c r="BG310" t="str">
        <f t="shared" si="206"/>
        <v xml:space="preserve">["TITLE"] = { ["EN"] = "Helmingas by Deed"; }; </v>
      </c>
      <c r="BH310" t="str">
        <f t="shared" si="207"/>
        <v/>
      </c>
      <c r="BI310" t="str">
        <f t="shared" si="208"/>
        <v/>
      </c>
      <c r="BJ310" t="str">
        <f t="shared" si="210"/>
        <v>};</v>
      </c>
    </row>
    <row r="311" spans="1:62" x14ac:dyDescent="0.25">
      <c r="A311">
        <v>1879413851</v>
      </c>
      <c r="B311">
        <v>322</v>
      </c>
      <c r="C311" t="s">
        <v>2690</v>
      </c>
      <c r="D311" t="s">
        <v>26</v>
      </c>
      <c r="I311" t="s">
        <v>2656</v>
      </c>
      <c r="L311">
        <v>2000</v>
      </c>
      <c r="M311" t="s">
        <v>2732</v>
      </c>
      <c r="Q311" t="s">
        <v>2739</v>
      </c>
      <c r="R311" t="s">
        <v>2694</v>
      </c>
      <c r="S311">
        <v>0</v>
      </c>
      <c r="T311">
        <v>95</v>
      </c>
      <c r="X311" t="str">
        <f t="shared" si="178"/>
        <v>[310] = {["ID"] = 1879413851; }; -- Siege of the White City</v>
      </c>
      <c r="Y311" s="1" t="str">
        <f t="shared" si="180"/>
        <v>[310]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1">
        <f t="shared" si="209"/>
        <v>310</v>
      </c>
      <c r="AA311" t="str">
        <f t="shared" si="181"/>
        <v>[310] = {</v>
      </c>
      <c r="AB311" t="str">
        <f t="shared" si="182"/>
        <v xml:space="preserve">["ID"] = 1879413851; </v>
      </c>
      <c r="AC311" t="str">
        <f t="shared" si="183"/>
        <v xml:space="preserve">["ID"] = 1879413851; </v>
      </c>
      <c r="AD311" t="str">
        <f t="shared" si="184"/>
        <v/>
      </c>
      <c r="AE311" t="str">
        <f t="shared" si="185"/>
        <v/>
      </c>
      <c r="AF311" s="1" t="str">
        <f t="shared" si="186"/>
        <v xml:space="preserve">["SAVE_INDEX"] = 322; </v>
      </c>
      <c r="AG311">
        <f>VLOOKUP(D311,Type!A$2:B$16,2,FALSE)</f>
        <v>6</v>
      </c>
      <c r="AH311" t="str">
        <f t="shared" si="187"/>
        <v xml:space="preserve">["TYPE"] =  6; </v>
      </c>
      <c r="AI311" t="str">
        <f t="shared" si="188"/>
        <v xml:space="preserve">                      </v>
      </c>
      <c r="AJ311" t="str">
        <f>IF(AND(F311="Class",NOT(ISBLANK(E311))),VLOOKUP(E311,Class!A$1:B$12,2,FALSE),"")</f>
        <v/>
      </c>
      <c r="AK311" t="str">
        <f>IF(AND(F311="Vocation",NOT(ISBLANK(E311))),VLOOKUP(E311,Vocation!A$1:B$8,2,FALSE),"")</f>
        <v/>
      </c>
      <c r="AL311" t="str">
        <f>IF(AND(F311="Race",NOT(ISBLANK(E311))),VLOOKUP(E311,Race!A$1:B$9,2,),"")</f>
        <v/>
      </c>
      <c r="AM311" t="str">
        <f t="shared" si="189"/>
        <v xml:space="preserve">  0</v>
      </c>
      <c r="AN311" t="str">
        <f t="shared" si="190"/>
        <v xml:space="preserve">["SUBTYPE"] =   0; </v>
      </c>
      <c r="AO311" t="str">
        <f>IF(NOT(ISBLANK(G311)),VLOOKUP(G311,Type!D$2:E$6,2,FALSE),"")</f>
        <v/>
      </c>
      <c r="AP311" t="str">
        <f t="shared" si="191"/>
        <v xml:space="preserve">            </v>
      </c>
      <c r="AQ311" t="str">
        <f t="shared" si="192"/>
        <v xml:space="preserve">["LEGENDARY"] = true; </v>
      </c>
      <c r="AR311" t="str">
        <f t="shared" si="193"/>
        <v/>
      </c>
      <c r="AS311" t="str">
        <f t="shared" si="194"/>
        <v>2000</v>
      </c>
      <c r="AT311" t="str">
        <f t="shared" si="195"/>
        <v xml:space="preserve">["VXP"] = 2000; </v>
      </c>
      <c r="AU311" t="str">
        <f t="shared" si="196"/>
        <v>0</v>
      </c>
      <c r="AV311" t="str">
        <f t="shared" si="197"/>
        <v xml:space="preserve">["LP"] =  0; </v>
      </c>
      <c r="AW311" t="str">
        <f t="shared" si="198"/>
        <v>0</v>
      </c>
      <c r="AX311" t="str">
        <f t="shared" si="199"/>
        <v xml:space="preserve">["REP"] =     0; </v>
      </c>
      <c r="AY311">
        <f>IF(LEN(P311)&gt;0,VLOOKUP(P311,Faction!A$2:B$77,2,FALSE),1)</f>
        <v>1</v>
      </c>
      <c r="AZ311" t="str">
        <f t="shared" si="200"/>
        <v xml:space="preserve">["FACTION"] =  1; </v>
      </c>
      <c r="BA311" t="str">
        <f t="shared" si="179"/>
        <v/>
      </c>
      <c r="BB311" t="str">
        <f t="shared" si="201"/>
        <v xml:space="preserve">["MIN_LVL"] =  "95"; </v>
      </c>
      <c r="BC311" t="str">
        <f t="shared" si="202"/>
        <v xml:space="preserve">                  </v>
      </c>
      <c r="BD311" t="str">
        <f t="shared" si="203"/>
        <v xml:space="preserve">["NAME"] = { ["EN"] = "Siege of the White City"; }; </v>
      </c>
      <c r="BE311" t="str">
        <f t="shared" si="204"/>
        <v xml:space="preserve">["LORE"] = { ["EN"] = "This deed is for Legendary Servers."; }; </v>
      </c>
      <c r="BF311" t="str">
        <f t="shared" si="205"/>
        <v xml:space="preserve">["SUMMARY"] = { ["EN"] = "Complete Volume IV, Book 4: Siege of the White City on a legendary server."; }; </v>
      </c>
      <c r="BG311" t="str">
        <f t="shared" si="206"/>
        <v xml:space="preserve">["TITLE"] = { ["EN"] = "Glimmer in the Dark"; }; </v>
      </c>
      <c r="BH311" t="str">
        <f t="shared" si="207"/>
        <v/>
      </c>
      <c r="BI311" t="str">
        <f t="shared" si="208"/>
        <v/>
      </c>
      <c r="BJ311" t="str">
        <f t="shared" si="210"/>
        <v>};</v>
      </c>
    </row>
    <row r="312" spans="1:62" x14ac:dyDescent="0.25">
      <c r="A312">
        <v>1879413852</v>
      </c>
      <c r="B312">
        <v>323</v>
      </c>
      <c r="C312" t="s">
        <v>2691</v>
      </c>
      <c r="D312" t="s">
        <v>26</v>
      </c>
      <c r="I312" t="s">
        <v>2656</v>
      </c>
      <c r="L312">
        <v>2000</v>
      </c>
      <c r="M312" t="s">
        <v>2741</v>
      </c>
      <c r="Q312" t="s">
        <v>2740</v>
      </c>
      <c r="R312" t="s">
        <v>2694</v>
      </c>
      <c r="S312">
        <v>0</v>
      </c>
      <c r="T312">
        <v>95</v>
      </c>
      <c r="X312" t="str">
        <f t="shared" si="178"/>
        <v>[311] = {["ID"] = 1879413852; }; -- Beacon of Gondor</v>
      </c>
      <c r="Y312" s="1" t="str">
        <f t="shared" si="180"/>
        <v>[311]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2">
        <f t="shared" si="209"/>
        <v>311</v>
      </c>
      <c r="AA312" t="str">
        <f t="shared" si="181"/>
        <v>[311] = {</v>
      </c>
      <c r="AB312" t="str">
        <f t="shared" si="182"/>
        <v xml:space="preserve">["ID"] = 1879413852; </v>
      </c>
      <c r="AC312" t="str">
        <f t="shared" si="183"/>
        <v xml:space="preserve">["ID"] = 1879413852; </v>
      </c>
      <c r="AD312" t="str">
        <f t="shared" si="184"/>
        <v/>
      </c>
      <c r="AE312" t="str">
        <f t="shared" si="185"/>
        <v/>
      </c>
      <c r="AF312" s="1" t="str">
        <f t="shared" si="186"/>
        <v xml:space="preserve">["SAVE_INDEX"] = 323; </v>
      </c>
      <c r="AG312">
        <f>VLOOKUP(D312,Type!A$2:B$16,2,FALSE)</f>
        <v>6</v>
      </c>
      <c r="AH312" t="str">
        <f t="shared" si="187"/>
        <v xml:space="preserve">["TYPE"] =  6; </v>
      </c>
      <c r="AI312" t="str">
        <f t="shared" si="188"/>
        <v xml:space="preserve">                      </v>
      </c>
      <c r="AJ312" t="str">
        <f>IF(AND(F312="Class",NOT(ISBLANK(E312))),VLOOKUP(E312,Class!A$1:B$12,2,FALSE),"")</f>
        <v/>
      </c>
      <c r="AK312" t="str">
        <f>IF(AND(F312="Vocation",NOT(ISBLANK(E312))),VLOOKUP(E312,Vocation!A$1:B$8,2,FALSE),"")</f>
        <v/>
      </c>
      <c r="AL312" t="str">
        <f>IF(AND(F312="Race",NOT(ISBLANK(E312))),VLOOKUP(E312,Race!A$1:B$9,2,),"")</f>
        <v/>
      </c>
      <c r="AM312" t="str">
        <f t="shared" si="189"/>
        <v xml:space="preserve">  0</v>
      </c>
      <c r="AN312" t="str">
        <f t="shared" si="190"/>
        <v xml:space="preserve">["SUBTYPE"] =   0; </v>
      </c>
      <c r="AO312" t="str">
        <f>IF(NOT(ISBLANK(G312)),VLOOKUP(G312,Type!D$2:E$6,2,FALSE),"")</f>
        <v/>
      </c>
      <c r="AP312" t="str">
        <f t="shared" si="191"/>
        <v xml:space="preserve">            </v>
      </c>
      <c r="AQ312" t="str">
        <f t="shared" si="192"/>
        <v xml:space="preserve">["LEGENDARY"] = true; </v>
      </c>
      <c r="AR312" t="str">
        <f t="shared" si="193"/>
        <v/>
      </c>
      <c r="AS312" t="str">
        <f t="shared" si="194"/>
        <v>2000</v>
      </c>
      <c r="AT312" t="str">
        <f t="shared" si="195"/>
        <v xml:space="preserve">["VXP"] = 2000; </v>
      </c>
      <c r="AU312" t="str">
        <f t="shared" si="196"/>
        <v>0</v>
      </c>
      <c r="AV312" t="str">
        <f t="shared" si="197"/>
        <v xml:space="preserve">["LP"] =  0; </v>
      </c>
      <c r="AW312" t="str">
        <f t="shared" si="198"/>
        <v>0</v>
      </c>
      <c r="AX312" t="str">
        <f t="shared" si="199"/>
        <v xml:space="preserve">["REP"] =     0; </v>
      </c>
      <c r="AY312">
        <f>IF(LEN(P312)&gt;0,VLOOKUP(P312,Faction!A$2:B$77,2,FALSE),1)</f>
        <v>1</v>
      </c>
      <c r="AZ312" t="str">
        <f t="shared" si="200"/>
        <v xml:space="preserve">["FACTION"] =  1; </v>
      </c>
      <c r="BA312" t="str">
        <f t="shared" si="179"/>
        <v/>
      </c>
      <c r="BB312" t="str">
        <f t="shared" si="201"/>
        <v xml:space="preserve">["MIN_LVL"] =  "95"; </v>
      </c>
      <c r="BC312" t="str">
        <f t="shared" si="202"/>
        <v xml:space="preserve">                  </v>
      </c>
      <c r="BD312" t="str">
        <f t="shared" si="203"/>
        <v xml:space="preserve">["NAME"] = { ["EN"] = "Beacon of Gondor"; }; </v>
      </c>
      <c r="BE312" t="str">
        <f t="shared" si="204"/>
        <v xml:space="preserve">["LORE"] = { ["EN"] = "This deed is for Legendary Servers."; }; </v>
      </c>
      <c r="BF312" t="str">
        <f t="shared" si="205"/>
        <v xml:space="preserve">["SUMMARY"] = { ["EN"] = "Complete Beacons of West Gondor and The Southern Beacons on a legendary server."; }; </v>
      </c>
      <c r="BG312" t="str">
        <f t="shared" si="206"/>
        <v xml:space="preserve">["TITLE"] = { ["EN"] = "Beacon"; }; </v>
      </c>
      <c r="BH312" t="str">
        <f t="shared" si="207"/>
        <v/>
      </c>
      <c r="BI312" t="str">
        <f t="shared" si="208"/>
        <v/>
      </c>
      <c r="BJ312" t="str">
        <f t="shared" si="210"/>
        <v>};</v>
      </c>
    </row>
    <row r="313" spans="1:62" x14ac:dyDescent="0.25">
      <c r="A313">
        <v>1879413853</v>
      </c>
      <c r="B313">
        <v>324</v>
      </c>
      <c r="C313" t="s">
        <v>2692</v>
      </c>
      <c r="D313" t="s">
        <v>26</v>
      </c>
      <c r="I313" t="s">
        <v>2656</v>
      </c>
      <c r="L313">
        <v>3000</v>
      </c>
      <c r="M313" t="s">
        <v>2743</v>
      </c>
      <c r="Q313" t="s">
        <v>2742</v>
      </c>
      <c r="R313" t="s">
        <v>2694</v>
      </c>
      <c r="S313">
        <v>0</v>
      </c>
      <c r="T313">
        <v>95</v>
      </c>
      <c r="X313" t="str">
        <f t="shared" si="178"/>
        <v>[312] = {["ID"] = 1879413853; }; -- Ashes and Stars</v>
      </c>
      <c r="Y313" s="1" t="str">
        <f t="shared" si="180"/>
        <v>[312]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3">
        <f t="shared" si="209"/>
        <v>312</v>
      </c>
      <c r="AA313" t="str">
        <f t="shared" si="181"/>
        <v>[312] = {</v>
      </c>
      <c r="AB313" t="str">
        <f t="shared" si="182"/>
        <v xml:space="preserve">["ID"] = 1879413853; </v>
      </c>
      <c r="AC313" t="str">
        <f t="shared" si="183"/>
        <v xml:space="preserve">["ID"] = 1879413853; </v>
      </c>
      <c r="AD313" t="str">
        <f t="shared" si="184"/>
        <v/>
      </c>
      <c r="AE313" t="str">
        <f t="shared" si="185"/>
        <v/>
      </c>
      <c r="AF313" s="1" t="str">
        <f t="shared" si="186"/>
        <v xml:space="preserve">["SAVE_INDEX"] = 324; </v>
      </c>
      <c r="AG313">
        <f>VLOOKUP(D313,Type!A$2:B$16,2,FALSE)</f>
        <v>6</v>
      </c>
      <c r="AH313" t="str">
        <f t="shared" si="187"/>
        <v xml:space="preserve">["TYPE"] =  6; </v>
      </c>
      <c r="AI313" t="str">
        <f t="shared" si="188"/>
        <v xml:space="preserve">                      </v>
      </c>
      <c r="AJ313" t="str">
        <f>IF(AND(F313="Class",NOT(ISBLANK(E313))),VLOOKUP(E313,Class!A$1:B$12,2,FALSE),"")</f>
        <v/>
      </c>
      <c r="AK313" t="str">
        <f>IF(AND(F313="Vocation",NOT(ISBLANK(E313))),VLOOKUP(E313,Vocation!A$1:B$8,2,FALSE),"")</f>
        <v/>
      </c>
      <c r="AL313" t="str">
        <f>IF(AND(F313="Race",NOT(ISBLANK(E313))),VLOOKUP(E313,Race!A$1:B$9,2,),"")</f>
        <v/>
      </c>
      <c r="AM313" t="str">
        <f t="shared" si="189"/>
        <v xml:space="preserve">  0</v>
      </c>
      <c r="AN313" t="str">
        <f t="shared" si="190"/>
        <v xml:space="preserve">["SUBTYPE"] =   0; </v>
      </c>
      <c r="AO313" t="str">
        <f>IF(NOT(ISBLANK(G313)),VLOOKUP(G313,Type!D$2:E$6,2,FALSE),"")</f>
        <v/>
      </c>
      <c r="AP313" t="str">
        <f t="shared" si="191"/>
        <v xml:space="preserve">            </v>
      </c>
      <c r="AQ313" t="str">
        <f t="shared" si="192"/>
        <v xml:space="preserve">["LEGENDARY"] = true; </v>
      </c>
      <c r="AR313" t="str">
        <f t="shared" si="193"/>
        <v/>
      </c>
      <c r="AS313" t="str">
        <f t="shared" si="194"/>
        <v>3000</v>
      </c>
      <c r="AT313" t="str">
        <f t="shared" si="195"/>
        <v xml:space="preserve">["VXP"] = 3000; </v>
      </c>
      <c r="AU313" t="str">
        <f t="shared" si="196"/>
        <v>0</v>
      </c>
      <c r="AV313" t="str">
        <f t="shared" si="197"/>
        <v xml:space="preserve">["LP"] =  0; </v>
      </c>
      <c r="AW313" t="str">
        <f t="shared" si="198"/>
        <v>0</v>
      </c>
      <c r="AX313" t="str">
        <f t="shared" si="199"/>
        <v xml:space="preserve">["REP"] =     0; </v>
      </c>
      <c r="AY313">
        <f>IF(LEN(P313)&gt;0,VLOOKUP(P313,Faction!A$2:B$77,2,FALSE),1)</f>
        <v>1</v>
      </c>
      <c r="AZ313" t="str">
        <f t="shared" si="200"/>
        <v xml:space="preserve">["FACTION"] =  1; </v>
      </c>
      <c r="BA313" t="str">
        <f t="shared" si="179"/>
        <v/>
      </c>
      <c r="BB313" t="str">
        <f t="shared" si="201"/>
        <v xml:space="preserve">["MIN_LVL"] =  "95"; </v>
      </c>
      <c r="BC313" t="str">
        <f t="shared" si="202"/>
        <v xml:space="preserve">                  </v>
      </c>
      <c r="BD313" t="str">
        <f t="shared" si="203"/>
        <v xml:space="preserve">["NAME"] = { ["EN"] = "Ashes and Stars"; }; </v>
      </c>
      <c r="BE313" t="str">
        <f t="shared" si="204"/>
        <v xml:space="preserve">["LORE"] = { ["EN"] = "This deed is for Legendary Servers."; }; </v>
      </c>
      <c r="BF313" t="str">
        <f t="shared" si="205"/>
        <v xml:space="preserve">["SUMMARY"] = { ["EN"] = "Complete Ashes and Stars, Chapter 7 on a legendary server."; }; </v>
      </c>
      <c r="BG313" t="str">
        <f t="shared" si="206"/>
        <v xml:space="preserve">["TITLE"] = { ["EN"] = "Legend of Gondor"; }; </v>
      </c>
      <c r="BH313" t="str">
        <f t="shared" si="207"/>
        <v/>
      </c>
      <c r="BI313" t="str">
        <f t="shared" si="208"/>
        <v/>
      </c>
      <c r="BJ313" t="str">
        <f t="shared" si="210"/>
        <v>};</v>
      </c>
    </row>
    <row r="314" spans="1:62" x14ac:dyDescent="0.25">
      <c r="A314">
        <v>1879413850</v>
      </c>
      <c r="B314">
        <v>321</v>
      </c>
      <c r="C314" t="s">
        <v>2689</v>
      </c>
      <c r="D314" t="s">
        <v>26</v>
      </c>
      <c r="I314" t="s">
        <v>2656</v>
      </c>
      <c r="L314">
        <v>1000</v>
      </c>
      <c r="M314" t="s">
        <v>2731</v>
      </c>
      <c r="Q314" t="s">
        <v>2730</v>
      </c>
      <c r="R314" t="s">
        <v>2694</v>
      </c>
      <c r="S314">
        <v>0</v>
      </c>
      <c r="T314">
        <v>99</v>
      </c>
      <c r="X314" t="str">
        <f t="shared" si="178"/>
        <v>[313] = {["ID"] = 1879413850; }; -- A Glimmering in the Dark</v>
      </c>
      <c r="Y314" s="1" t="str">
        <f t="shared" si="180"/>
        <v>[313]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4">
        <f t="shared" si="209"/>
        <v>313</v>
      </c>
      <c r="AA314" t="str">
        <f t="shared" si="181"/>
        <v>[313] = {</v>
      </c>
      <c r="AB314" t="str">
        <f t="shared" si="182"/>
        <v xml:space="preserve">["ID"] = 1879413850; </v>
      </c>
      <c r="AC314" t="str">
        <f t="shared" si="183"/>
        <v xml:space="preserve">["ID"] = 1879413850; </v>
      </c>
      <c r="AD314" t="str">
        <f t="shared" si="184"/>
        <v/>
      </c>
      <c r="AE314" t="str">
        <f t="shared" si="185"/>
        <v/>
      </c>
      <c r="AF314" s="1" t="str">
        <f t="shared" si="186"/>
        <v xml:space="preserve">["SAVE_INDEX"] = 321; </v>
      </c>
      <c r="AG314">
        <f>VLOOKUP(D314,Type!A$2:B$16,2,FALSE)</f>
        <v>6</v>
      </c>
      <c r="AH314" t="str">
        <f t="shared" si="187"/>
        <v xml:space="preserve">["TYPE"] =  6; </v>
      </c>
      <c r="AI314" t="str">
        <f t="shared" si="188"/>
        <v xml:space="preserve">                      </v>
      </c>
      <c r="AJ314" t="str">
        <f>IF(AND(F314="Class",NOT(ISBLANK(E314))),VLOOKUP(E314,Class!A$1:B$12,2,FALSE),"")</f>
        <v/>
      </c>
      <c r="AK314" t="str">
        <f>IF(AND(F314="Vocation",NOT(ISBLANK(E314))),VLOOKUP(E314,Vocation!A$1:B$8,2,FALSE),"")</f>
        <v/>
      </c>
      <c r="AL314" t="str">
        <f>IF(AND(F314="Race",NOT(ISBLANK(E314))),VLOOKUP(E314,Race!A$1:B$9,2,),"")</f>
        <v/>
      </c>
      <c r="AM314" t="str">
        <f t="shared" si="189"/>
        <v xml:space="preserve">  0</v>
      </c>
      <c r="AN314" t="str">
        <f t="shared" si="190"/>
        <v xml:space="preserve">["SUBTYPE"] =   0; </v>
      </c>
      <c r="AO314" t="str">
        <f>IF(NOT(ISBLANK(G314)),VLOOKUP(G314,Type!D$2:E$6,2,FALSE),"")</f>
        <v/>
      </c>
      <c r="AP314" t="str">
        <f t="shared" si="191"/>
        <v xml:space="preserve">            </v>
      </c>
      <c r="AQ314" t="str">
        <f t="shared" si="192"/>
        <v xml:space="preserve">["LEGENDARY"] = true; </v>
      </c>
      <c r="AR314" t="str">
        <f t="shared" si="193"/>
        <v/>
      </c>
      <c r="AS314" t="str">
        <f t="shared" si="194"/>
        <v>1000</v>
      </c>
      <c r="AT314" t="str">
        <f t="shared" si="195"/>
        <v xml:space="preserve">["VXP"] = 1000; </v>
      </c>
      <c r="AU314" t="str">
        <f t="shared" si="196"/>
        <v>0</v>
      </c>
      <c r="AV314" t="str">
        <f t="shared" si="197"/>
        <v xml:space="preserve">["LP"] =  0; </v>
      </c>
      <c r="AW314" t="str">
        <f t="shared" si="198"/>
        <v>0</v>
      </c>
      <c r="AX314" t="str">
        <f t="shared" si="199"/>
        <v xml:space="preserve">["REP"] =     0; </v>
      </c>
      <c r="AY314">
        <f>IF(LEN(P314)&gt;0,VLOOKUP(P314,Faction!A$2:B$77,2,FALSE),1)</f>
        <v>1</v>
      </c>
      <c r="AZ314" t="str">
        <f t="shared" si="200"/>
        <v xml:space="preserve">["FACTION"] =  1; </v>
      </c>
      <c r="BA314" t="str">
        <f t="shared" si="179"/>
        <v/>
      </c>
      <c r="BB314" t="str">
        <f t="shared" si="201"/>
        <v xml:space="preserve">["MIN_LVL"] =  "99"; </v>
      </c>
      <c r="BC314" t="str">
        <f t="shared" si="202"/>
        <v xml:space="preserve">                  </v>
      </c>
      <c r="BD314" t="str">
        <f t="shared" si="203"/>
        <v xml:space="preserve">["NAME"] = { ["EN"] = "A Glimmering in the Dark"; }; </v>
      </c>
      <c r="BE314" t="str">
        <f t="shared" si="204"/>
        <v xml:space="preserve">["LORE"] = { ["EN"] = "This deed is for Legendary Servers."; }; </v>
      </c>
      <c r="BF314" t="str">
        <f t="shared" si="205"/>
        <v xml:space="preserve">["SUMMARY"] = { ["EN"] = "Adventure to Level 100 on a legendary server."; }; </v>
      </c>
      <c r="BG314" t="str">
        <f t="shared" si="206"/>
        <v xml:space="preserve">["TITLE"] = { ["EN"] = "of One Hundred"; }; </v>
      </c>
      <c r="BH314" t="str">
        <f t="shared" si="207"/>
        <v/>
      </c>
      <c r="BI314" t="str">
        <f t="shared" si="208"/>
        <v/>
      </c>
      <c r="BJ314" t="str">
        <f t="shared" si="210"/>
        <v>};</v>
      </c>
    </row>
    <row r="315" spans="1:62" x14ac:dyDescent="0.25">
      <c r="A315">
        <v>1879418558</v>
      </c>
      <c r="B315">
        <v>327</v>
      </c>
      <c r="C315" t="s">
        <v>2859</v>
      </c>
      <c r="D315" t="s">
        <v>26</v>
      </c>
      <c r="I315" t="s">
        <v>2656</v>
      </c>
      <c r="L315">
        <v>2000</v>
      </c>
      <c r="M315" t="s">
        <v>2861</v>
      </c>
      <c r="Q315" t="s">
        <v>2895</v>
      </c>
      <c r="R315" t="s">
        <v>2694</v>
      </c>
      <c r="S315">
        <v>0</v>
      </c>
      <c r="T315">
        <v>100</v>
      </c>
      <c r="X315" t="str">
        <f t="shared" si="178"/>
        <v>[314] = {["ID"] = 1879418558; }; -- The Black Gate</v>
      </c>
      <c r="Y315" s="1" t="str">
        <f t="shared" si="180"/>
        <v>[314]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5">
        <f t="shared" si="209"/>
        <v>314</v>
      </c>
      <c r="AA315" t="str">
        <f t="shared" si="181"/>
        <v>[314] = {</v>
      </c>
      <c r="AB315" t="str">
        <f t="shared" si="182"/>
        <v xml:space="preserve">["ID"] = 1879418558; </v>
      </c>
      <c r="AC315" t="str">
        <f t="shared" si="183"/>
        <v xml:space="preserve">["ID"] = 1879418558; </v>
      </c>
      <c r="AD315" t="str">
        <f t="shared" si="184"/>
        <v/>
      </c>
      <c r="AE315" t="str">
        <f t="shared" si="185"/>
        <v/>
      </c>
      <c r="AF315" s="1" t="str">
        <f t="shared" si="186"/>
        <v xml:space="preserve">["SAVE_INDEX"] = 327; </v>
      </c>
      <c r="AG315">
        <f>VLOOKUP(D315,Type!A$2:B$16,2,FALSE)</f>
        <v>6</v>
      </c>
      <c r="AH315" t="str">
        <f t="shared" si="187"/>
        <v xml:space="preserve">["TYPE"] =  6; </v>
      </c>
      <c r="AI315" t="str">
        <f t="shared" si="188"/>
        <v xml:space="preserve">                      </v>
      </c>
      <c r="AJ315" t="str">
        <f>IF(AND(F315="Class",NOT(ISBLANK(E315))),VLOOKUP(E315,Class!A$1:B$12,2,FALSE),"")</f>
        <v/>
      </c>
      <c r="AK315" t="str">
        <f>IF(AND(F315="Vocation",NOT(ISBLANK(E315))),VLOOKUP(E315,Vocation!A$1:B$8,2,FALSE),"")</f>
        <v/>
      </c>
      <c r="AL315" t="str">
        <f>IF(AND(F315="Race",NOT(ISBLANK(E315))),VLOOKUP(E315,Race!A$1:B$9,2,),"")</f>
        <v/>
      </c>
      <c r="AM315" t="str">
        <f t="shared" si="189"/>
        <v xml:space="preserve">  0</v>
      </c>
      <c r="AN315" t="str">
        <f t="shared" si="190"/>
        <v xml:space="preserve">["SUBTYPE"] =   0; </v>
      </c>
      <c r="AO315" t="str">
        <f>IF(NOT(ISBLANK(G315)),VLOOKUP(G315,Type!D$2:E$6,2,FALSE),"")</f>
        <v/>
      </c>
      <c r="AP315" t="str">
        <f t="shared" si="191"/>
        <v xml:space="preserve">            </v>
      </c>
      <c r="AQ315" t="str">
        <f t="shared" si="192"/>
        <v xml:space="preserve">["LEGENDARY"] = true; </v>
      </c>
      <c r="AR315" t="str">
        <f t="shared" si="193"/>
        <v/>
      </c>
      <c r="AS315" t="str">
        <f t="shared" si="194"/>
        <v>2000</v>
      </c>
      <c r="AT315" t="str">
        <f t="shared" si="195"/>
        <v xml:space="preserve">["VXP"] = 2000; </v>
      </c>
      <c r="AU315" t="str">
        <f t="shared" si="196"/>
        <v>0</v>
      </c>
      <c r="AV315" t="str">
        <f t="shared" si="197"/>
        <v xml:space="preserve">["LP"] =  0; </v>
      </c>
      <c r="AW315" t="str">
        <f t="shared" si="198"/>
        <v>0</v>
      </c>
      <c r="AX315" t="str">
        <f t="shared" si="199"/>
        <v xml:space="preserve">["REP"] =     0; </v>
      </c>
      <c r="AY315">
        <f>IF(LEN(P315)&gt;0,VLOOKUP(P315,Faction!A$2:B$77,2,FALSE),1)</f>
        <v>1</v>
      </c>
      <c r="AZ315" t="str">
        <f t="shared" si="200"/>
        <v xml:space="preserve">["FACTION"] =  1; </v>
      </c>
      <c r="BA315" t="str">
        <f t="shared" si="179"/>
        <v/>
      </c>
      <c r="BB315" t="str">
        <f t="shared" si="201"/>
        <v xml:space="preserve">["MIN_LVL"] = "100"; </v>
      </c>
      <c r="BC315" t="str">
        <f t="shared" si="202"/>
        <v xml:space="preserve">                  </v>
      </c>
      <c r="BD315" t="str">
        <f t="shared" si="203"/>
        <v xml:space="preserve">["NAME"] = { ["EN"] = "The Black Gate"; }; </v>
      </c>
      <c r="BE315" t="str">
        <f t="shared" si="204"/>
        <v xml:space="preserve">["LORE"] = { ["EN"] = "This deed is for Legendary Servers."; }; </v>
      </c>
      <c r="BF315" t="str">
        <f t="shared" si="205"/>
        <v xml:space="preserve">["SUMMARY"] = { ["EN"] = "Complete Volume IV, Book 8: The Black Gate"; }; </v>
      </c>
      <c r="BG315" t="str">
        <f t="shared" si="206"/>
        <v xml:space="preserve">["TITLE"] = { ["EN"] = "the End of the Road"; }; </v>
      </c>
      <c r="BH315" t="str">
        <f t="shared" si="207"/>
        <v/>
      </c>
      <c r="BI315" t="str">
        <f t="shared" si="208"/>
        <v/>
      </c>
      <c r="BJ315" t="str">
        <f t="shared" si="210"/>
        <v>};</v>
      </c>
    </row>
    <row r="316" spans="1:62" x14ac:dyDescent="0.25">
      <c r="A316">
        <v>1879418565</v>
      </c>
      <c r="B316">
        <v>328</v>
      </c>
      <c r="C316" t="s">
        <v>2858</v>
      </c>
      <c r="D316" t="s">
        <v>26</v>
      </c>
      <c r="I316" t="s">
        <v>2656</v>
      </c>
      <c r="L316">
        <v>3000</v>
      </c>
      <c r="M316" t="s">
        <v>2858</v>
      </c>
      <c r="Q316" t="s">
        <v>2862</v>
      </c>
      <c r="R316" t="s">
        <v>2694</v>
      </c>
      <c r="S316">
        <v>0</v>
      </c>
      <c r="T316">
        <v>100</v>
      </c>
      <c r="X316" t="str">
        <f t="shared" si="178"/>
        <v>[315] = {["ID"] = 1879418565; }; -- Unbowed and Unbroken</v>
      </c>
      <c r="Y316" s="1" t="str">
        <f t="shared" si="180"/>
        <v>[315]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6">
        <f t="shared" si="209"/>
        <v>315</v>
      </c>
      <c r="AA316" t="str">
        <f t="shared" si="181"/>
        <v>[315] = {</v>
      </c>
      <c r="AB316" t="str">
        <f t="shared" si="182"/>
        <v xml:space="preserve">["ID"] = 1879418565; </v>
      </c>
      <c r="AC316" t="str">
        <f t="shared" si="183"/>
        <v xml:space="preserve">["ID"] = 1879418565; </v>
      </c>
      <c r="AD316" t="str">
        <f t="shared" si="184"/>
        <v/>
      </c>
      <c r="AE316" t="str">
        <f t="shared" si="185"/>
        <v/>
      </c>
      <c r="AF316" s="1" t="str">
        <f t="shared" si="186"/>
        <v xml:space="preserve">["SAVE_INDEX"] = 328; </v>
      </c>
      <c r="AG316">
        <f>VLOOKUP(D316,Type!A$2:B$16,2,FALSE)</f>
        <v>6</v>
      </c>
      <c r="AH316" t="str">
        <f t="shared" si="187"/>
        <v xml:space="preserve">["TYPE"] =  6; </v>
      </c>
      <c r="AI316" t="str">
        <f t="shared" si="188"/>
        <v xml:space="preserve">                      </v>
      </c>
      <c r="AJ316" t="str">
        <f>IF(AND(F316="Class",NOT(ISBLANK(E316))),VLOOKUP(E316,Class!A$1:B$12,2,FALSE),"")</f>
        <v/>
      </c>
      <c r="AK316" t="str">
        <f>IF(AND(F316="Vocation",NOT(ISBLANK(E316))),VLOOKUP(E316,Vocation!A$1:B$8,2,FALSE),"")</f>
        <v/>
      </c>
      <c r="AL316" t="str">
        <f>IF(AND(F316="Race",NOT(ISBLANK(E316))),VLOOKUP(E316,Race!A$1:B$9,2,),"")</f>
        <v/>
      </c>
      <c r="AM316" t="str">
        <f t="shared" si="189"/>
        <v xml:space="preserve">  0</v>
      </c>
      <c r="AN316" t="str">
        <f t="shared" si="190"/>
        <v xml:space="preserve">["SUBTYPE"] =   0; </v>
      </c>
      <c r="AO316" t="str">
        <f>IF(NOT(ISBLANK(G316)),VLOOKUP(G316,Type!D$2:E$6,2,FALSE),"")</f>
        <v/>
      </c>
      <c r="AP316" t="str">
        <f t="shared" si="191"/>
        <v xml:space="preserve">            </v>
      </c>
      <c r="AQ316" t="str">
        <f t="shared" si="192"/>
        <v xml:space="preserve">["LEGENDARY"] = true; </v>
      </c>
      <c r="AR316" t="str">
        <f t="shared" si="193"/>
        <v/>
      </c>
      <c r="AS316" t="str">
        <f t="shared" si="194"/>
        <v>3000</v>
      </c>
      <c r="AT316" t="str">
        <f t="shared" si="195"/>
        <v xml:space="preserve">["VXP"] = 3000; </v>
      </c>
      <c r="AU316" t="str">
        <f t="shared" si="196"/>
        <v>0</v>
      </c>
      <c r="AV316" t="str">
        <f t="shared" si="197"/>
        <v xml:space="preserve">["LP"] =  0; </v>
      </c>
      <c r="AW316" t="str">
        <f t="shared" si="198"/>
        <v>0</v>
      </c>
      <c r="AX316" t="str">
        <f t="shared" si="199"/>
        <v xml:space="preserve">["REP"] =     0; </v>
      </c>
      <c r="AY316">
        <f>IF(LEN(P316)&gt;0,VLOOKUP(P316,Faction!A$2:B$77,2,FALSE),1)</f>
        <v>1</v>
      </c>
      <c r="AZ316" t="str">
        <f t="shared" si="200"/>
        <v xml:space="preserve">["FACTION"] =  1; </v>
      </c>
      <c r="BA316" t="str">
        <f t="shared" si="179"/>
        <v/>
      </c>
      <c r="BB316" t="str">
        <f t="shared" si="201"/>
        <v xml:space="preserve">["MIN_LVL"] = "100"; </v>
      </c>
      <c r="BC316" t="str">
        <f t="shared" si="202"/>
        <v xml:space="preserve">                  </v>
      </c>
      <c r="BD316" t="str">
        <f t="shared" si="203"/>
        <v xml:space="preserve">["NAME"] = { ["EN"] = "Unbowed and Unbroken"; }; </v>
      </c>
      <c r="BE316" t="str">
        <f t="shared" si="204"/>
        <v xml:space="preserve">["LORE"] = { ["EN"] = "This deed is for Legendary Servers."; }; </v>
      </c>
      <c r="BF316" t="str">
        <f t="shared" si="205"/>
        <v xml:space="preserve">["SUMMARY"] = { ["EN"] = "Complete Warbands: Far Anórien's Roaming Enemies, Wrath and Ruin, Chapter 6, Sifting for Survivors, and Assisting the Herbalists: North Ithilien"; }; </v>
      </c>
      <c r="BG316" t="str">
        <f t="shared" si="206"/>
        <v xml:space="preserve">["TITLE"] = { ["EN"] = "Unbowed and Unbroken"; }; </v>
      </c>
      <c r="BH316" t="str">
        <f t="shared" si="207"/>
        <v/>
      </c>
      <c r="BI316" t="str">
        <f t="shared" si="208"/>
        <v/>
      </c>
      <c r="BJ316" t="str">
        <f t="shared" si="210"/>
        <v>};</v>
      </c>
    </row>
    <row r="317" spans="1:62" x14ac:dyDescent="0.25">
      <c r="A317">
        <v>1879418566</v>
      </c>
      <c r="B317">
        <v>329</v>
      </c>
      <c r="C317" t="s">
        <v>2857</v>
      </c>
      <c r="D317" t="s">
        <v>26</v>
      </c>
      <c r="I317" t="s">
        <v>2656</v>
      </c>
      <c r="L317">
        <v>1000</v>
      </c>
      <c r="M317" t="s">
        <v>2857</v>
      </c>
      <c r="Q317" t="s">
        <v>2863</v>
      </c>
      <c r="R317" t="s">
        <v>2694</v>
      </c>
      <c r="S317">
        <v>0</v>
      </c>
      <c r="T317">
        <v>104</v>
      </c>
      <c r="X317" t="str">
        <f t="shared" si="178"/>
        <v>[316] = {["ID"] = 1879418566; }; -- Waste Not</v>
      </c>
      <c r="Y317" s="1" t="str">
        <f t="shared" si="180"/>
        <v>[316] = {["ID"] = 1879418566; ["SAVE_INDEX"] = 329; ["TYPE"] =  6;                       ["SUBTYPE"] =   0;             ["LEGENDARY"] = true; ["VXP"] = 1000; ["LP"] =  0; ["REP"] =     0; ["FACTION"] =  1; ["MIN_LVL"] = "104";                   ["NAME"] = { ["EN"] = "Waste Not"; }; ["LORE"] = { ["EN"] = "This deed is for Legendary Servers."; }; ["SUMMARY"] = { ["EN"] = "Adventure to Level 105"; }; ["TITLE"] = { ["EN"] = "Waste Not"; }; };</v>
      </c>
      <c r="Z317">
        <f t="shared" si="209"/>
        <v>316</v>
      </c>
      <c r="AA317" t="str">
        <f t="shared" si="181"/>
        <v>[316] = {</v>
      </c>
      <c r="AB317" t="str">
        <f t="shared" si="182"/>
        <v xml:space="preserve">["ID"] = 1879418566; </v>
      </c>
      <c r="AC317" t="str">
        <f t="shared" si="183"/>
        <v xml:space="preserve">["ID"] = 1879418566; </v>
      </c>
      <c r="AD317" t="str">
        <f t="shared" si="184"/>
        <v/>
      </c>
      <c r="AE317" t="str">
        <f t="shared" si="185"/>
        <v/>
      </c>
      <c r="AF317" s="1" t="str">
        <f t="shared" si="186"/>
        <v xml:space="preserve">["SAVE_INDEX"] = 329; </v>
      </c>
      <c r="AG317">
        <f>VLOOKUP(D317,Type!A$2:B$16,2,FALSE)</f>
        <v>6</v>
      </c>
      <c r="AH317" t="str">
        <f t="shared" si="187"/>
        <v xml:space="preserve">["TYPE"] =  6; </v>
      </c>
      <c r="AI317" t="str">
        <f t="shared" si="188"/>
        <v xml:space="preserve">                      </v>
      </c>
      <c r="AJ317" t="str">
        <f>IF(AND(F317="Class",NOT(ISBLANK(E317))),VLOOKUP(E317,Class!A$1:B$12,2,FALSE),"")</f>
        <v/>
      </c>
      <c r="AK317" t="str">
        <f>IF(AND(F317="Vocation",NOT(ISBLANK(E317))),VLOOKUP(E317,Vocation!A$1:B$8,2,FALSE),"")</f>
        <v/>
      </c>
      <c r="AL317" t="str">
        <f>IF(AND(F317="Race",NOT(ISBLANK(E317))),VLOOKUP(E317,Race!A$1:B$9,2,),"")</f>
        <v/>
      </c>
      <c r="AM317" t="str">
        <f t="shared" si="189"/>
        <v xml:space="preserve">  0</v>
      </c>
      <c r="AN317" t="str">
        <f t="shared" si="190"/>
        <v xml:space="preserve">["SUBTYPE"] =   0; </v>
      </c>
      <c r="AO317" t="str">
        <f>IF(NOT(ISBLANK(G317)),VLOOKUP(G317,Type!D$2:E$6,2,FALSE),"")</f>
        <v/>
      </c>
      <c r="AP317" t="str">
        <f t="shared" si="191"/>
        <v xml:space="preserve">            </v>
      </c>
      <c r="AQ317" t="str">
        <f t="shared" si="192"/>
        <v xml:space="preserve">["LEGENDARY"] = true; </v>
      </c>
      <c r="AR317" t="str">
        <f t="shared" si="193"/>
        <v/>
      </c>
      <c r="AS317" t="str">
        <f t="shared" si="194"/>
        <v>1000</v>
      </c>
      <c r="AT317" t="str">
        <f t="shared" si="195"/>
        <v xml:space="preserve">["VXP"] = 1000; </v>
      </c>
      <c r="AU317" t="str">
        <f t="shared" si="196"/>
        <v>0</v>
      </c>
      <c r="AV317" t="str">
        <f t="shared" si="197"/>
        <v xml:space="preserve">["LP"] =  0; </v>
      </c>
      <c r="AW317" t="str">
        <f t="shared" si="198"/>
        <v>0</v>
      </c>
      <c r="AX317" t="str">
        <f t="shared" si="199"/>
        <v xml:space="preserve">["REP"] =     0; </v>
      </c>
      <c r="AY317">
        <f>IF(LEN(P317)&gt;0,VLOOKUP(P317,Faction!A$2:B$77,2,FALSE),1)</f>
        <v>1</v>
      </c>
      <c r="AZ317" t="str">
        <f t="shared" si="200"/>
        <v xml:space="preserve">["FACTION"] =  1; </v>
      </c>
      <c r="BA317" t="str">
        <f t="shared" si="179"/>
        <v/>
      </c>
      <c r="BB317" t="str">
        <f t="shared" si="201"/>
        <v xml:space="preserve">["MIN_LVL"] = "104"; </v>
      </c>
      <c r="BC317" t="str">
        <f t="shared" si="202"/>
        <v xml:space="preserve">                  </v>
      </c>
      <c r="BD317" t="str">
        <f t="shared" si="203"/>
        <v xml:space="preserve">["NAME"] = { ["EN"] = "Waste Not"; }; </v>
      </c>
      <c r="BE317" t="str">
        <f t="shared" si="204"/>
        <v xml:space="preserve">["LORE"] = { ["EN"] = "This deed is for Legendary Servers."; }; </v>
      </c>
      <c r="BF317" t="str">
        <f t="shared" si="205"/>
        <v xml:space="preserve">["SUMMARY"] = { ["EN"] = "Adventure to Level 105"; }; </v>
      </c>
      <c r="BG317" t="str">
        <f t="shared" si="206"/>
        <v xml:space="preserve">["TITLE"] = { ["EN"] = "Waste Not"; }; </v>
      </c>
      <c r="BH317" t="str">
        <f t="shared" si="207"/>
        <v/>
      </c>
      <c r="BI317" t="str">
        <f t="shared" si="208"/>
        <v/>
      </c>
      <c r="BJ317" t="str">
        <f t="shared" si="210"/>
        <v>};</v>
      </c>
    </row>
    <row r="318" spans="1:62" x14ac:dyDescent="0.25">
      <c r="A318">
        <v>1879418568</v>
      </c>
      <c r="B318">
        <v>330</v>
      </c>
      <c r="C318" t="s">
        <v>2856</v>
      </c>
      <c r="D318" t="s">
        <v>26</v>
      </c>
      <c r="I318" t="s">
        <v>2656</v>
      </c>
      <c r="L318">
        <v>2000</v>
      </c>
      <c r="M318" t="s">
        <v>2860</v>
      </c>
      <c r="Q318" t="s">
        <v>2864</v>
      </c>
      <c r="R318" t="s">
        <v>2694</v>
      </c>
      <c r="S318">
        <v>0</v>
      </c>
      <c r="T318">
        <v>100</v>
      </c>
      <c r="X318" t="str">
        <f t="shared" si="178"/>
        <v>[317] = {["ID"] = 1879418568; }; -- Survey the Slag-hills</v>
      </c>
      <c r="Y318" s="1" t="str">
        <f t="shared" si="180"/>
        <v>[317]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18">
        <f t="shared" si="209"/>
        <v>317</v>
      </c>
      <c r="AA318" t="str">
        <f t="shared" si="181"/>
        <v>[317] = {</v>
      </c>
      <c r="AB318" t="str">
        <f t="shared" si="182"/>
        <v xml:space="preserve">["ID"] = 1879418568; </v>
      </c>
      <c r="AC318" t="str">
        <f t="shared" si="183"/>
        <v xml:space="preserve">["ID"] = 1879418568; </v>
      </c>
      <c r="AD318" t="str">
        <f t="shared" si="184"/>
        <v/>
      </c>
      <c r="AE318" t="str">
        <f t="shared" si="185"/>
        <v/>
      </c>
      <c r="AF318" s="1" t="str">
        <f t="shared" si="186"/>
        <v xml:space="preserve">["SAVE_INDEX"] = 330; </v>
      </c>
      <c r="AG318">
        <f>VLOOKUP(D318,Type!A$2:B$16,2,FALSE)</f>
        <v>6</v>
      </c>
      <c r="AH318" t="str">
        <f t="shared" si="187"/>
        <v xml:space="preserve">["TYPE"] =  6; </v>
      </c>
      <c r="AI318" t="str">
        <f t="shared" si="188"/>
        <v xml:space="preserve">                      </v>
      </c>
      <c r="AJ318" t="str">
        <f>IF(AND(F318="Class",NOT(ISBLANK(E318))),VLOOKUP(E318,Class!A$1:B$12,2,FALSE),"")</f>
        <v/>
      </c>
      <c r="AK318" t="str">
        <f>IF(AND(F318="Vocation",NOT(ISBLANK(E318))),VLOOKUP(E318,Vocation!A$1:B$8,2,FALSE),"")</f>
        <v/>
      </c>
      <c r="AL318" t="str">
        <f>IF(AND(F318="Race",NOT(ISBLANK(E318))),VLOOKUP(E318,Race!A$1:B$9,2,),"")</f>
        <v/>
      </c>
      <c r="AM318" t="str">
        <f t="shared" si="189"/>
        <v xml:space="preserve">  0</v>
      </c>
      <c r="AN318" t="str">
        <f t="shared" si="190"/>
        <v xml:space="preserve">["SUBTYPE"] =   0; </v>
      </c>
      <c r="AO318" t="str">
        <f>IF(NOT(ISBLANK(G318)),VLOOKUP(G318,Type!D$2:E$6,2,FALSE),"")</f>
        <v/>
      </c>
      <c r="AP318" t="str">
        <f t="shared" si="191"/>
        <v xml:space="preserve">            </v>
      </c>
      <c r="AQ318" t="str">
        <f t="shared" si="192"/>
        <v xml:space="preserve">["LEGENDARY"] = true; </v>
      </c>
      <c r="AR318" t="str">
        <f t="shared" si="193"/>
        <v/>
      </c>
      <c r="AS318" t="str">
        <f t="shared" si="194"/>
        <v>2000</v>
      </c>
      <c r="AT318" t="str">
        <f t="shared" si="195"/>
        <v xml:space="preserve">["VXP"] = 2000; </v>
      </c>
      <c r="AU318" t="str">
        <f t="shared" si="196"/>
        <v>0</v>
      </c>
      <c r="AV318" t="str">
        <f t="shared" si="197"/>
        <v xml:space="preserve">["LP"] =  0; </v>
      </c>
      <c r="AW318" t="str">
        <f t="shared" si="198"/>
        <v>0</v>
      </c>
      <c r="AX318" t="str">
        <f t="shared" si="199"/>
        <v xml:space="preserve">["REP"] =     0; </v>
      </c>
      <c r="AY318">
        <f>IF(LEN(P318)&gt;0,VLOOKUP(P318,Faction!A$2:B$77,2,FALSE),1)</f>
        <v>1</v>
      </c>
      <c r="AZ318" t="str">
        <f t="shared" si="200"/>
        <v xml:space="preserve">["FACTION"] =  1; </v>
      </c>
      <c r="BA318" t="str">
        <f t="shared" si="179"/>
        <v/>
      </c>
      <c r="BB318" t="str">
        <f t="shared" si="201"/>
        <v xml:space="preserve">["MIN_LVL"] = "100"; </v>
      </c>
      <c r="BC318" t="str">
        <f t="shared" si="202"/>
        <v xml:space="preserve">                  </v>
      </c>
      <c r="BD318" t="str">
        <f t="shared" si="203"/>
        <v xml:space="preserve">["NAME"] = { ["EN"] = "Survey the Slag-hills"; }; </v>
      </c>
      <c r="BE318" t="str">
        <f t="shared" si="204"/>
        <v xml:space="preserve">["LORE"] = { ["EN"] = "This deed is for Legendary Servers."; }; </v>
      </c>
      <c r="BF318" t="str">
        <f t="shared" si="205"/>
        <v xml:space="preserve">["SUMMARY"] = { ["EN"] = "Complete Slag Hills, Quests of the Slag-hills"; }; </v>
      </c>
      <c r="BG318" t="str">
        <f t="shared" si="206"/>
        <v xml:space="preserve">["TITLE"] = { ["EN"] = "Legend of the Wastes"; }; </v>
      </c>
      <c r="BH318" t="str">
        <f t="shared" si="207"/>
        <v/>
      </c>
      <c r="BI318" t="str">
        <f t="shared" si="208"/>
        <v/>
      </c>
      <c r="BJ318" t="str">
        <f t="shared" si="210"/>
        <v>};</v>
      </c>
    </row>
    <row r="319" spans="1:62" x14ac:dyDescent="0.25">
      <c r="A319">
        <v>1879422535</v>
      </c>
      <c r="B319">
        <v>343</v>
      </c>
      <c r="C319" t="s">
        <v>3211</v>
      </c>
      <c r="D319" t="s">
        <v>26</v>
      </c>
      <c r="I319" t="s">
        <v>2656</v>
      </c>
      <c r="L319">
        <v>3000</v>
      </c>
      <c r="M319" t="s">
        <v>3215</v>
      </c>
      <c r="Q319" t="s">
        <v>3216</v>
      </c>
      <c r="R319" t="s">
        <v>2694</v>
      </c>
      <c r="S319">
        <v>0</v>
      </c>
      <c r="T319">
        <v>101</v>
      </c>
      <c r="X319" t="str">
        <f t="shared" si="178"/>
        <v>[318] = {["ID"] = 1879422535; }; -- Conquer the Plateau of Gorgoroth</v>
      </c>
      <c r="Y319" s="1" t="str">
        <f t="shared" si="180"/>
        <v>[318]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9">
        <f t="shared" si="209"/>
        <v>318</v>
      </c>
      <c r="AA319" t="str">
        <f t="shared" si="181"/>
        <v>[318] = {</v>
      </c>
      <c r="AB319" t="str">
        <f t="shared" si="182"/>
        <v xml:space="preserve">["ID"] = 1879422535; </v>
      </c>
      <c r="AC319" t="str">
        <f t="shared" si="183"/>
        <v xml:space="preserve">["ID"] = 1879422535; </v>
      </c>
      <c r="AD319" t="str">
        <f t="shared" si="184"/>
        <v/>
      </c>
      <c r="AE319" t="str">
        <f t="shared" si="185"/>
        <v/>
      </c>
      <c r="AF319" s="1" t="str">
        <f t="shared" si="186"/>
        <v xml:space="preserve">["SAVE_INDEX"] = 343; </v>
      </c>
      <c r="AG319">
        <f>VLOOKUP(D319,Type!A$2:B$16,2,FALSE)</f>
        <v>6</v>
      </c>
      <c r="AH319" t="str">
        <f t="shared" si="187"/>
        <v xml:space="preserve">["TYPE"] =  6; </v>
      </c>
      <c r="AI319" t="str">
        <f t="shared" si="188"/>
        <v xml:space="preserve">                      </v>
      </c>
      <c r="AJ319" t="str">
        <f>IF(AND(F319="Class",NOT(ISBLANK(E319))),VLOOKUP(E319,Class!A$1:B$12,2,FALSE),"")</f>
        <v/>
      </c>
      <c r="AK319" t="str">
        <f>IF(AND(F319="Vocation",NOT(ISBLANK(E319))),VLOOKUP(E319,Vocation!A$1:B$8,2,FALSE),"")</f>
        <v/>
      </c>
      <c r="AL319" t="str">
        <f>IF(AND(F319="Race",NOT(ISBLANK(E319))),VLOOKUP(E319,Race!A$1:B$9,2,),"")</f>
        <v/>
      </c>
      <c r="AM319" t="str">
        <f t="shared" si="189"/>
        <v xml:space="preserve">  0</v>
      </c>
      <c r="AN319" t="str">
        <f t="shared" si="190"/>
        <v xml:space="preserve">["SUBTYPE"] =   0; </v>
      </c>
      <c r="AO319" t="str">
        <f>IF(NOT(ISBLANK(G319)),VLOOKUP(G319,Type!D$2:E$6,2,FALSE),"")</f>
        <v/>
      </c>
      <c r="AP319" t="str">
        <f t="shared" si="191"/>
        <v xml:space="preserve">            </v>
      </c>
      <c r="AQ319" t="str">
        <f t="shared" si="192"/>
        <v xml:space="preserve">["LEGENDARY"] = true; </v>
      </c>
      <c r="AR319" t="str">
        <f t="shared" si="193"/>
        <v/>
      </c>
      <c r="AS319" t="str">
        <f t="shared" si="194"/>
        <v>3000</v>
      </c>
      <c r="AT319" t="str">
        <f t="shared" si="195"/>
        <v xml:space="preserve">["VXP"] = 3000; </v>
      </c>
      <c r="AU319" t="str">
        <f t="shared" si="196"/>
        <v>0</v>
      </c>
      <c r="AV319" t="str">
        <f t="shared" si="197"/>
        <v xml:space="preserve">["LP"] =  0; </v>
      </c>
      <c r="AW319" t="str">
        <f t="shared" si="198"/>
        <v>0</v>
      </c>
      <c r="AX319" t="str">
        <f t="shared" si="199"/>
        <v xml:space="preserve">["REP"] =     0; </v>
      </c>
      <c r="AY319">
        <f>IF(LEN(P319)&gt;0,VLOOKUP(P319,Faction!A$2:B$77,2,FALSE),1)</f>
        <v>1</v>
      </c>
      <c r="AZ319" t="str">
        <f t="shared" si="200"/>
        <v xml:space="preserve">["FACTION"] =  1; </v>
      </c>
      <c r="BA319" t="str">
        <f t="shared" si="179"/>
        <v/>
      </c>
      <c r="BB319" t="str">
        <f t="shared" si="201"/>
        <v xml:space="preserve">["MIN_LVL"] = "101"; </v>
      </c>
      <c r="BC319" t="str">
        <f t="shared" si="202"/>
        <v xml:space="preserve">                  </v>
      </c>
      <c r="BD319" t="str">
        <f t="shared" si="203"/>
        <v xml:space="preserve">["NAME"] = { ["EN"] = "Conquer the Plateau of Gorgoroth"; }; </v>
      </c>
      <c r="BE319" t="str">
        <f t="shared" si="204"/>
        <v xml:space="preserve">["LORE"] = { ["EN"] = "This deed is for Legendary Servers."; }; </v>
      </c>
      <c r="BF319" t="str">
        <f t="shared" si="205"/>
        <v xml:space="preserve">["SUMMARY"] = { ["EN"] = "Complete Weekly Conquest: Allegiance Quests, Weekly Conquest: Scourges, Weekly Conquest: Resource Instances, and Weekly Conquest: Group Instances"; }; </v>
      </c>
      <c r="BG319" t="str">
        <f t="shared" si="206"/>
        <v xml:space="preserve">["TITLE"] = { ["EN"] = "Legend of Mordor"; }; </v>
      </c>
      <c r="BH319" t="str">
        <f t="shared" si="207"/>
        <v/>
      </c>
      <c r="BI319" t="str">
        <f t="shared" si="208"/>
        <v/>
      </c>
      <c r="BJ319" t="str">
        <f t="shared" si="210"/>
        <v>};</v>
      </c>
    </row>
    <row r="320" spans="1:62" x14ac:dyDescent="0.25">
      <c r="A320">
        <v>1879422532</v>
      </c>
      <c r="B320">
        <v>344</v>
      </c>
      <c r="C320" t="s">
        <v>3212</v>
      </c>
      <c r="D320" t="s">
        <v>26</v>
      </c>
      <c r="I320" t="s">
        <v>2656</v>
      </c>
      <c r="L320">
        <v>2000</v>
      </c>
      <c r="M320" t="s">
        <v>3218</v>
      </c>
      <c r="Q320" t="s">
        <v>3217</v>
      </c>
      <c r="R320" t="s">
        <v>2694</v>
      </c>
      <c r="S320">
        <v>0</v>
      </c>
      <c r="T320">
        <v>105</v>
      </c>
      <c r="X320" t="str">
        <f t="shared" si="178"/>
        <v>[319] = {["ID"] = 1879422532; }; -- The Next Adventure - Wood, Lake, Mountain, and Stone</v>
      </c>
      <c r="Y320" s="1" t="str">
        <f t="shared" si="180"/>
        <v>[319]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0">
        <f t="shared" si="209"/>
        <v>319</v>
      </c>
      <c r="AA320" t="str">
        <f t="shared" si="181"/>
        <v>[319] = {</v>
      </c>
      <c r="AB320" t="str">
        <f t="shared" si="182"/>
        <v xml:space="preserve">["ID"] = 1879422532; </v>
      </c>
      <c r="AC320" t="str">
        <f t="shared" si="183"/>
        <v xml:space="preserve">["ID"] = 1879422532; </v>
      </c>
      <c r="AD320" t="str">
        <f t="shared" si="184"/>
        <v/>
      </c>
      <c r="AE320" t="str">
        <f t="shared" si="185"/>
        <v/>
      </c>
      <c r="AF320" s="1" t="str">
        <f t="shared" si="186"/>
        <v xml:space="preserve">["SAVE_INDEX"] = 344; </v>
      </c>
      <c r="AG320">
        <f>VLOOKUP(D320,Type!A$2:B$16,2,FALSE)</f>
        <v>6</v>
      </c>
      <c r="AH320" t="str">
        <f t="shared" si="187"/>
        <v xml:space="preserve">["TYPE"] =  6; </v>
      </c>
      <c r="AI320" t="str">
        <f t="shared" si="188"/>
        <v xml:space="preserve">                      </v>
      </c>
      <c r="AJ320" t="str">
        <f>IF(AND(F320="Class",NOT(ISBLANK(E320))),VLOOKUP(E320,Class!A$1:B$12,2,FALSE),"")</f>
        <v/>
      </c>
      <c r="AK320" t="str">
        <f>IF(AND(F320="Vocation",NOT(ISBLANK(E320))),VLOOKUP(E320,Vocation!A$1:B$8,2,FALSE),"")</f>
        <v/>
      </c>
      <c r="AL320" t="str">
        <f>IF(AND(F320="Race",NOT(ISBLANK(E320))),VLOOKUP(E320,Race!A$1:B$9,2,),"")</f>
        <v/>
      </c>
      <c r="AM320" t="str">
        <f t="shared" si="189"/>
        <v xml:space="preserve">  0</v>
      </c>
      <c r="AN320" t="str">
        <f t="shared" si="190"/>
        <v xml:space="preserve">["SUBTYPE"] =   0; </v>
      </c>
      <c r="AO320" t="str">
        <f>IF(NOT(ISBLANK(G320)),VLOOKUP(G320,Type!D$2:E$6,2,FALSE),"")</f>
        <v/>
      </c>
      <c r="AP320" t="str">
        <f t="shared" si="191"/>
        <v xml:space="preserve">            </v>
      </c>
      <c r="AQ320" t="str">
        <f t="shared" si="192"/>
        <v xml:space="preserve">["LEGENDARY"] = true; </v>
      </c>
      <c r="AR320" t="str">
        <f t="shared" si="193"/>
        <v/>
      </c>
      <c r="AS320" t="str">
        <f t="shared" si="194"/>
        <v>2000</v>
      </c>
      <c r="AT320" t="str">
        <f t="shared" si="195"/>
        <v xml:space="preserve">["VXP"] = 2000; </v>
      </c>
      <c r="AU320" t="str">
        <f t="shared" si="196"/>
        <v>0</v>
      </c>
      <c r="AV320" t="str">
        <f t="shared" si="197"/>
        <v xml:space="preserve">["LP"] =  0; </v>
      </c>
      <c r="AW320" t="str">
        <f t="shared" si="198"/>
        <v>0</v>
      </c>
      <c r="AX320" t="str">
        <f t="shared" si="199"/>
        <v xml:space="preserve">["REP"] =     0; </v>
      </c>
      <c r="AY320">
        <f>IF(LEN(P320)&gt;0,VLOOKUP(P320,Faction!A$2:B$77,2,FALSE),1)</f>
        <v>1</v>
      </c>
      <c r="AZ320" t="str">
        <f t="shared" si="200"/>
        <v xml:space="preserve">["FACTION"] =  1; </v>
      </c>
      <c r="BA320" t="str">
        <f t="shared" si="179"/>
        <v/>
      </c>
      <c r="BB320" t="str">
        <f t="shared" si="201"/>
        <v xml:space="preserve">["MIN_LVL"] = "105"; </v>
      </c>
      <c r="BC320" t="str">
        <f t="shared" si="202"/>
        <v xml:space="preserve">                  </v>
      </c>
      <c r="BD320" t="str">
        <f t="shared" si="203"/>
        <v xml:space="preserve">["NAME"] = { ["EN"] = "The Next Adventure - Wood, Lake, Mountain, and Stone"; }; </v>
      </c>
      <c r="BE320" t="str">
        <f t="shared" si="204"/>
        <v xml:space="preserve">["LORE"] = { ["EN"] = "This deed is for Legendary Servers."; }; </v>
      </c>
      <c r="BF320" t="str">
        <f t="shared" si="205"/>
        <v xml:space="preserve">["SUMMARY"] = { ["EN"] = "Complete Volume IV, Book 9: The Ring of Power and The Black Book of Mordor: Chapter 6"; }; </v>
      </c>
      <c r="BG320" t="str">
        <f t="shared" si="206"/>
        <v xml:space="preserve">["TITLE"] = { ["EN"] = "a Job Well-done"; }; </v>
      </c>
      <c r="BH320" t="str">
        <f t="shared" si="207"/>
        <v/>
      </c>
      <c r="BI320" t="str">
        <f t="shared" si="208"/>
        <v/>
      </c>
      <c r="BJ320" t="str">
        <f t="shared" si="210"/>
        <v>};</v>
      </c>
    </row>
    <row r="321" spans="1:62" x14ac:dyDescent="0.25">
      <c r="A321">
        <v>1879422533</v>
      </c>
      <c r="B321">
        <v>345</v>
      </c>
      <c r="C321" t="s">
        <v>3213</v>
      </c>
      <c r="D321" t="s">
        <v>26</v>
      </c>
      <c r="I321" t="s">
        <v>2656</v>
      </c>
      <c r="L321">
        <v>3000</v>
      </c>
      <c r="M321" t="s">
        <v>3213</v>
      </c>
      <c r="Q321" t="s">
        <v>3219</v>
      </c>
      <c r="R321" t="s">
        <v>2694</v>
      </c>
      <c r="S321">
        <v>0</v>
      </c>
      <c r="T321">
        <v>110</v>
      </c>
      <c r="X321" t="str">
        <f t="shared" si="178"/>
        <v>[320] = {["ID"] = 1879422533; }; -- Traveller of Wood, Lake, Mountain, and Stone</v>
      </c>
      <c r="Y321" s="1" t="str">
        <f t="shared" si="180"/>
        <v>[320]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1">
        <f t="shared" si="209"/>
        <v>320</v>
      </c>
      <c r="AA321" t="str">
        <f t="shared" si="181"/>
        <v>[320] = {</v>
      </c>
      <c r="AB321" t="str">
        <f t="shared" si="182"/>
        <v xml:space="preserve">["ID"] = 1879422533; </v>
      </c>
      <c r="AC321" t="str">
        <f t="shared" si="183"/>
        <v xml:space="preserve">["ID"] = 1879422533; </v>
      </c>
      <c r="AD321" t="str">
        <f t="shared" si="184"/>
        <v/>
      </c>
      <c r="AE321" t="str">
        <f t="shared" si="185"/>
        <v/>
      </c>
      <c r="AF321" s="1" t="str">
        <f t="shared" si="186"/>
        <v xml:space="preserve">["SAVE_INDEX"] = 345; </v>
      </c>
      <c r="AG321">
        <f>VLOOKUP(D321,Type!A$2:B$16,2,FALSE)</f>
        <v>6</v>
      </c>
      <c r="AH321" t="str">
        <f t="shared" si="187"/>
        <v xml:space="preserve">["TYPE"] =  6; </v>
      </c>
      <c r="AI321" t="str">
        <f t="shared" si="188"/>
        <v xml:space="preserve">                      </v>
      </c>
      <c r="AJ321" t="str">
        <f>IF(AND(F321="Class",NOT(ISBLANK(E321))),VLOOKUP(E321,Class!A$1:B$12,2,FALSE),"")</f>
        <v/>
      </c>
      <c r="AK321" t="str">
        <f>IF(AND(F321="Vocation",NOT(ISBLANK(E321))),VLOOKUP(E321,Vocation!A$1:B$8,2,FALSE),"")</f>
        <v/>
      </c>
      <c r="AL321" t="str">
        <f>IF(AND(F321="Race",NOT(ISBLANK(E321))),VLOOKUP(E321,Race!A$1:B$9,2,),"")</f>
        <v/>
      </c>
      <c r="AM321" t="str">
        <f t="shared" si="189"/>
        <v xml:space="preserve">  0</v>
      </c>
      <c r="AN321" t="str">
        <f t="shared" si="190"/>
        <v xml:space="preserve">["SUBTYPE"] =   0; </v>
      </c>
      <c r="AO321" t="str">
        <f>IF(NOT(ISBLANK(G321)),VLOOKUP(G321,Type!D$2:E$6,2,FALSE),"")</f>
        <v/>
      </c>
      <c r="AP321" t="str">
        <f t="shared" si="191"/>
        <v xml:space="preserve">            </v>
      </c>
      <c r="AQ321" t="str">
        <f t="shared" si="192"/>
        <v xml:space="preserve">["LEGENDARY"] = true; </v>
      </c>
      <c r="AR321" t="str">
        <f t="shared" si="193"/>
        <v/>
      </c>
      <c r="AS321" t="str">
        <f t="shared" si="194"/>
        <v>3000</v>
      </c>
      <c r="AT321" t="str">
        <f t="shared" si="195"/>
        <v xml:space="preserve">["VXP"] = 3000; </v>
      </c>
      <c r="AU321" t="str">
        <f t="shared" si="196"/>
        <v>0</v>
      </c>
      <c r="AV321" t="str">
        <f t="shared" si="197"/>
        <v xml:space="preserve">["LP"] =  0; </v>
      </c>
      <c r="AW321" t="str">
        <f t="shared" si="198"/>
        <v>0</v>
      </c>
      <c r="AX321" t="str">
        <f t="shared" si="199"/>
        <v xml:space="preserve">["REP"] =     0; </v>
      </c>
      <c r="AY321">
        <f>IF(LEN(P321)&gt;0,VLOOKUP(P321,Faction!A$2:B$77,2,FALSE),1)</f>
        <v>1</v>
      </c>
      <c r="AZ321" t="str">
        <f t="shared" si="200"/>
        <v xml:space="preserve">["FACTION"] =  1; </v>
      </c>
      <c r="BA321" t="str">
        <f t="shared" si="179"/>
        <v/>
      </c>
      <c r="BB321" t="str">
        <f t="shared" si="201"/>
        <v xml:space="preserve">["MIN_LVL"] = "110"; </v>
      </c>
      <c r="BC321" t="str">
        <f t="shared" si="202"/>
        <v xml:space="preserve">                  </v>
      </c>
      <c r="BD321" t="str">
        <f t="shared" si="203"/>
        <v xml:space="preserve">["NAME"] = { ["EN"] = "Traveller of Wood, Lake, Mountain, and Stone"; }; </v>
      </c>
      <c r="BE321" t="str">
        <f t="shared" si="204"/>
        <v xml:space="preserve">["LORE"] = { ["EN"] = "This deed is for Legendary Servers."; }; </v>
      </c>
      <c r="BF321" t="str">
        <f t="shared" si="205"/>
        <v xml:space="preserve">["SUMMARY"] = { ["EN"] = "Complete The Scourges of the North, The Path of the Company, Restoring the Three Kingdoms, and The Lay of Rust and Rime"; }; </v>
      </c>
      <c r="BG321" t="str">
        <f t="shared" si="206"/>
        <v xml:space="preserve">["TITLE"] = { ["EN"] = "Traveller of Wood, Lake, Mountain, and Stone"; }; </v>
      </c>
      <c r="BH321" t="str">
        <f t="shared" si="207"/>
        <v/>
      </c>
      <c r="BI321" t="str">
        <f t="shared" si="208"/>
        <v/>
      </c>
      <c r="BJ321" t="str">
        <f t="shared" si="210"/>
        <v>};</v>
      </c>
    </row>
    <row r="322" spans="1:62" x14ac:dyDescent="0.25">
      <c r="A322">
        <v>1879422534</v>
      </c>
      <c r="B322">
        <v>346</v>
      </c>
      <c r="C322" t="s">
        <v>3214</v>
      </c>
      <c r="D322" t="s">
        <v>26</v>
      </c>
      <c r="I322" t="s">
        <v>2656</v>
      </c>
      <c r="L322">
        <v>1000</v>
      </c>
      <c r="M322" t="s">
        <v>3214</v>
      </c>
      <c r="Q322" t="s">
        <v>3220</v>
      </c>
      <c r="R322" t="s">
        <v>2694</v>
      </c>
      <c r="S322">
        <v>0</v>
      </c>
      <c r="T322">
        <v>114</v>
      </c>
      <c r="X322" t="str">
        <f t="shared" si="178"/>
        <v>[321] = {["ID"] = 1879422534; }; -- Uninvited Guest</v>
      </c>
      <c r="Y322" s="1" t="str">
        <f t="shared" si="180"/>
        <v>[321] = {["ID"] = 1879422534; ["SAVE_INDEX"] = 346; ["TYPE"] =  6;                       ["SUBTYPE"] =   0;             ["LEGENDARY"] = true; ["VXP"] = 1000; ["LP"] =  0; ["REP"] =     0; ["FACTION"] =  1; ["MIN_LVL"] = "114";                   ["NAME"] = { ["EN"] = "Uninvited Guest"; }; ["LORE"] = { ["EN"] = "This deed is for Legendary Servers."; }; ["SUMMARY"] = { ["EN"] = "Adventure to Level 115"; }; ["TITLE"] = { ["EN"] = "Uninvited Guest"; }; };</v>
      </c>
      <c r="Z322">
        <f t="shared" si="209"/>
        <v>321</v>
      </c>
      <c r="AA322" t="str">
        <f t="shared" si="181"/>
        <v>[321] = {</v>
      </c>
      <c r="AB322" t="str">
        <f t="shared" si="182"/>
        <v xml:space="preserve">["ID"] = 1879422534; </v>
      </c>
      <c r="AC322" t="str">
        <f t="shared" si="183"/>
        <v xml:space="preserve">["ID"] = 1879422534; </v>
      </c>
      <c r="AD322" t="str">
        <f t="shared" si="184"/>
        <v/>
      </c>
      <c r="AE322" t="str">
        <f t="shared" si="185"/>
        <v/>
      </c>
      <c r="AF322" s="1" t="str">
        <f t="shared" si="186"/>
        <v xml:space="preserve">["SAVE_INDEX"] = 346; </v>
      </c>
      <c r="AG322">
        <f>VLOOKUP(D322,Type!A$2:B$16,2,FALSE)</f>
        <v>6</v>
      </c>
      <c r="AH322" t="str">
        <f t="shared" si="187"/>
        <v xml:space="preserve">["TYPE"] =  6; </v>
      </c>
      <c r="AI322" t="str">
        <f t="shared" si="188"/>
        <v xml:space="preserve">                      </v>
      </c>
      <c r="AJ322" t="str">
        <f>IF(AND(F322="Class",NOT(ISBLANK(E322))),VLOOKUP(E322,Class!A$1:B$12,2,FALSE),"")</f>
        <v/>
      </c>
      <c r="AK322" t="str">
        <f>IF(AND(F322="Vocation",NOT(ISBLANK(E322))),VLOOKUP(E322,Vocation!A$1:B$8,2,FALSE),"")</f>
        <v/>
      </c>
      <c r="AL322" t="str">
        <f>IF(AND(F322="Race",NOT(ISBLANK(E322))),VLOOKUP(E322,Race!A$1:B$9,2,),"")</f>
        <v/>
      </c>
      <c r="AM322" t="str">
        <f t="shared" si="189"/>
        <v xml:space="preserve">  0</v>
      </c>
      <c r="AN322" t="str">
        <f t="shared" si="190"/>
        <v xml:space="preserve">["SUBTYPE"] =   0; </v>
      </c>
      <c r="AO322" t="str">
        <f>IF(NOT(ISBLANK(G322)),VLOOKUP(G322,Type!D$2:E$6,2,FALSE),"")</f>
        <v/>
      </c>
      <c r="AP322" t="str">
        <f t="shared" si="191"/>
        <v xml:space="preserve">            </v>
      </c>
      <c r="AQ322" t="str">
        <f t="shared" si="192"/>
        <v xml:space="preserve">["LEGENDARY"] = true; </v>
      </c>
      <c r="AR322" t="str">
        <f t="shared" si="193"/>
        <v/>
      </c>
      <c r="AS322" t="str">
        <f t="shared" si="194"/>
        <v>1000</v>
      </c>
      <c r="AT322" t="str">
        <f t="shared" si="195"/>
        <v xml:space="preserve">["VXP"] = 1000; </v>
      </c>
      <c r="AU322" t="str">
        <f t="shared" si="196"/>
        <v>0</v>
      </c>
      <c r="AV322" t="str">
        <f t="shared" si="197"/>
        <v xml:space="preserve">["LP"] =  0; </v>
      </c>
      <c r="AW322" t="str">
        <f t="shared" si="198"/>
        <v>0</v>
      </c>
      <c r="AX322" t="str">
        <f t="shared" si="199"/>
        <v xml:space="preserve">["REP"] =     0; </v>
      </c>
      <c r="AY322">
        <f>IF(LEN(P322)&gt;0,VLOOKUP(P322,Faction!A$2:B$77,2,FALSE),1)</f>
        <v>1</v>
      </c>
      <c r="AZ322" t="str">
        <f t="shared" si="200"/>
        <v xml:space="preserve">["FACTION"] =  1; </v>
      </c>
      <c r="BA322" t="str">
        <f t="shared" si="179"/>
        <v/>
      </c>
      <c r="BB322" t="str">
        <f t="shared" si="201"/>
        <v xml:space="preserve">["MIN_LVL"] = "114"; </v>
      </c>
      <c r="BC322" t="str">
        <f t="shared" si="202"/>
        <v xml:space="preserve">                  </v>
      </c>
      <c r="BD322" t="str">
        <f t="shared" si="203"/>
        <v xml:space="preserve">["NAME"] = { ["EN"] = "Uninvited Guest"; }; </v>
      </c>
      <c r="BE322" t="str">
        <f t="shared" si="204"/>
        <v xml:space="preserve">["LORE"] = { ["EN"] = "This deed is for Legendary Servers."; }; </v>
      </c>
      <c r="BF322" t="str">
        <f t="shared" si="205"/>
        <v xml:space="preserve">["SUMMARY"] = { ["EN"] = "Adventure to Level 115"; }; </v>
      </c>
      <c r="BG322" t="str">
        <f t="shared" si="206"/>
        <v xml:space="preserve">["TITLE"] = { ["EN"] = "Uninvited Guest"; }; </v>
      </c>
      <c r="BH322" t="str">
        <f t="shared" si="207"/>
        <v/>
      </c>
      <c r="BI322" t="str">
        <f t="shared" si="208"/>
        <v/>
      </c>
      <c r="BJ322" t="str">
        <f t="shared" si="210"/>
        <v>};</v>
      </c>
    </row>
    <row r="323" spans="1:62" x14ac:dyDescent="0.25">
      <c r="A323">
        <v>1879442835</v>
      </c>
      <c r="B323">
        <v>348</v>
      </c>
      <c r="C323" t="s">
        <v>3382</v>
      </c>
      <c r="D323" t="s">
        <v>26</v>
      </c>
      <c r="I323" t="s">
        <v>2656</v>
      </c>
      <c r="L323">
        <v>2000</v>
      </c>
      <c r="M323" t="s">
        <v>3383</v>
      </c>
      <c r="Q323" t="s">
        <v>3384</v>
      </c>
      <c r="R323" t="s">
        <v>2694</v>
      </c>
      <c r="S323">
        <v>0</v>
      </c>
      <c r="T323">
        <v>115</v>
      </c>
      <c r="X323" t="str">
        <f t="shared" ref="X323:X386" si="211">CONCATENATE(AA323,AC323,AD323,BA323,BJ323," -- ",C323,AE323)</f>
        <v>[322] = {["ID"] = 1879442835; }; -- Arrival of the Wise</v>
      </c>
      <c r="Y323" s="1" t="str">
        <f t="shared" si="180"/>
        <v>[322]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3">
        <f t="shared" si="209"/>
        <v>322</v>
      </c>
      <c r="AA323" t="str">
        <f t="shared" si="181"/>
        <v>[322] = {</v>
      </c>
      <c r="AB323" t="str">
        <f t="shared" si="182"/>
        <v xml:space="preserve">["ID"] = 1879442835; </v>
      </c>
      <c r="AC323" t="str">
        <f t="shared" si="183"/>
        <v xml:space="preserve">["ID"] = 1879442835; </v>
      </c>
      <c r="AD323" t="str">
        <f t="shared" si="184"/>
        <v/>
      </c>
      <c r="AE323" t="str">
        <f t="shared" si="185"/>
        <v/>
      </c>
      <c r="AF323" s="1" t="str">
        <f t="shared" si="186"/>
        <v xml:space="preserve">["SAVE_INDEX"] = 348; </v>
      </c>
      <c r="AG323">
        <f>VLOOKUP(D323,Type!A$2:B$16,2,FALSE)</f>
        <v>6</v>
      </c>
      <c r="AH323" t="str">
        <f t="shared" si="187"/>
        <v xml:space="preserve">["TYPE"] =  6; </v>
      </c>
      <c r="AI323" t="str">
        <f t="shared" si="188"/>
        <v xml:space="preserve">                      </v>
      </c>
      <c r="AJ323" t="str">
        <f>IF(AND(F323="Class",NOT(ISBLANK(E323))),VLOOKUP(E323,Class!A$1:B$12,2,FALSE),"")</f>
        <v/>
      </c>
      <c r="AK323" t="str">
        <f>IF(AND(F323="Vocation",NOT(ISBLANK(E323))),VLOOKUP(E323,Vocation!A$1:B$8,2,FALSE),"")</f>
        <v/>
      </c>
      <c r="AL323" t="str">
        <f>IF(AND(F323="Race",NOT(ISBLANK(E323))),VLOOKUP(E323,Race!A$1:B$9,2,),"")</f>
        <v/>
      </c>
      <c r="AM323" t="str">
        <f t="shared" si="189"/>
        <v xml:space="preserve">  0</v>
      </c>
      <c r="AN323" t="str">
        <f t="shared" si="190"/>
        <v xml:space="preserve">["SUBTYPE"] =   0; </v>
      </c>
      <c r="AO323" t="str">
        <f>IF(NOT(ISBLANK(G323)),VLOOKUP(G323,Type!D$2:E$6,2,FALSE),"")</f>
        <v/>
      </c>
      <c r="AP323" t="str">
        <f t="shared" si="191"/>
        <v xml:space="preserve">            </v>
      </c>
      <c r="AQ323" t="str">
        <f t="shared" si="192"/>
        <v xml:space="preserve">["LEGENDARY"] = true; </v>
      </c>
      <c r="AR323" t="str">
        <f t="shared" si="193"/>
        <v/>
      </c>
      <c r="AS323" t="str">
        <f t="shared" si="194"/>
        <v>2000</v>
      </c>
      <c r="AT323" t="str">
        <f t="shared" si="195"/>
        <v xml:space="preserve">["VXP"] = 2000; </v>
      </c>
      <c r="AU323" t="str">
        <f t="shared" si="196"/>
        <v>0</v>
      </c>
      <c r="AV323" t="str">
        <f t="shared" si="197"/>
        <v xml:space="preserve">["LP"] =  0; </v>
      </c>
      <c r="AW323" t="str">
        <f t="shared" si="198"/>
        <v>0</v>
      </c>
      <c r="AX323" t="str">
        <f t="shared" si="199"/>
        <v xml:space="preserve">["REP"] =     0; </v>
      </c>
      <c r="AY323">
        <f>IF(LEN(P323)&gt;0,VLOOKUP(P323,Faction!A$2:B$77,2,FALSE),1)</f>
        <v>1</v>
      </c>
      <c r="AZ323" t="str">
        <f t="shared" si="200"/>
        <v xml:space="preserve">["FACTION"] =  1; </v>
      </c>
      <c r="BA323" t="str">
        <f t="shared" ref="BA323:BA386" si="212">IF(S323&gt;0,CONCATENATE("[""TIER""] = ",TEXT(S323,"0"),"; "),"")</f>
        <v/>
      </c>
      <c r="BB323" t="str">
        <f t="shared" si="201"/>
        <v xml:space="preserve">["MIN_LVL"] = "115"; </v>
      </c>
      <c r="BC323" t="str">
        <f t="shared" si="202"/>
        <v xml:space="preserve">                  </v>
      </c>
      <c r="BD323" t="str">
        <f t="shared" si="203"/>
        <v xml:space="preserve">["NAME"] = { ["EN"] = "Arrival of the Wise"; }; </v>
      </c>
      <c r="BE323" t="str">
        <f t="shared" si="204"/>
        <v xml:space="preserve">["LORE"] = { ["EN"] = "This deed is for Legendary Servers."; }; </v>
      </c>
      <c r="BF323" t="str">
        <f t="shared" si="205"/>
        <v xml:space="preserve">["SUMMARY"] = { ["EN"] = "Complete The Black Book of Mordor: Chapter 10"; }; </v>
      </c>
      <c r="BG323" t="str">
        <f t="shared" si="206"/>
        <v xml:space="preserve">["TITLE"] = { ["EN"] = "Lover of Wisdom"; }; </v>
      </c>
      <c r="BH323" t="str">
        <f t="shared" si="207"/>
        <v/>
      </c>
      <c r="BI323" t="str">
        <f t="shared" si="208"/>
        <v/>
      </c>
      <c r="BJ323" t="str">
        <f t="shared" si="210"/>
        <v>};</v>
      </c>
    </row>
    <row r="324" spans="1:62" x14ac:dyDescent="0.25">
      <c r="A324">
        <v>1879442838</v>
      </c>
      <c r="B324">
        <v>349</v>
      </c>
      <c r="C324" t="s">
        <v>3388</v>
      </c>
      <c r="D324" t="s">
        <v>26</v>
      </c>
      <c r="I324" t="s">
        <v>2656</v>
      </c>
      <c r="L324">
        <v>2000</v>
      </c>
      <c r="M324" t="s">
        <v>3389</v>
      </c>
      <c r="Q324" t="s">
        <v>3390</v>
      </c>
      <c r="R324" t="s">
        <v>2694</v>
      </c>
      <c r="S324">
        <v>0</v>
      </c>
      <c r="T324">
        <v>115</v>
      </c>
      <c r="X324" t="str">
        <f t="shared" si="211"/>
        <v>[323] = {["ID"] = 1879442838; }; -- Legendary Interlude: Shades in the Swamp</v>
      </c>
      <c r="Y324" s="1" t="str">
        <f t="shared" si="180"/>
        <v>[323]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4">
        <f t="shared" si="209"/>
        <v>323</v>
      </c>
      <c r="AA324" t="str">
        <f t="shared" si="181"/>
        <v>[323] = {</v>
      </c>
      <c r="AB324" t="str">
        <f t="shared" si="182"/>
        <v xml:space="preserve">["ID"] = 1879442838; </v>
      </c>
      <c r="AC324" t="str">
        <f t="shared" si="183"/>
        <v xml:space="preserve">["ID"] = 1879442838; </v>
      </c>
      <c r="AD324" t="str">
        <f t="shared" si="184"/>
        <v/>
      </c>
      <c r="AE324" t="str">
        <f t="shared" si="185"/>
        <v/>
      </c>
      <c r="AF324" s="1" t="str">
        <f t="shared" si="186"/>
        <v xml:space="preserve">["SAVE_INDEX"] = 349; </v>
      </c>
      <c r="AG324">
        <f>VLOOKUP(D324,Type!A$2:B$16,2,FALSE)</f>
        <v>6</v>
      </c>
      <c r="AH324" t="str">
        <f t="shared" si="187"/>
        <v xml:space="preserve">["TYPE"] =  6; </v>
      </c>
      <c r="AI324" t="str">
        <f t="shared" si="188"/>
        <v xml:space="preserve">                      </v>
      </c>
      <c r="AJ324" t="str">
        <f>IF(AND(F324="Class",NOT(ISBLANK(E324))),VLOOKUP(E324,Class!A$1:B$12,2,FALSE),"")</f>
        <v/>
      </c>
      <c r="AK324" t="str">
        <f>IF(AND(F324="Vocation",NOT(ISBLANK(E324))),VLOOKUP(E324,Vocation!A$1:B$8,2,FALSE),"")</f>
        <v/>
      </c>
      <c r="AL324" t="str">
        <f>IF(AND(F324="Race",NOT(ISBLANK(E324))),VLOOKUP(E324,Race!A$1:B$9,2,),"")</f>
        <v/>
      </c>
      <c r="AM324" t="str">
        <f t="shared" si="189"/>
        <v xml:space="preserve">  0</v>
      </c>
      <c r="AN324" t="str">
        <f t="shared" si="190"/>
        <v xml:space="preserve">["SUBTYPE"] =   0; </v>
      </c>
      <c r="AO324" t="str">
        <f>IF(NOT(ISBLANK(G324)),VLOOKUP(G324,Type!D$2:E$6,2,FALSE),"")</f>
        <v/>
      </c>
      <c r="AP324" t="str">
        <f t="shared" si="191"/>
        <v xml:space="preserve">            </v>
      </c>
      <c r="AQ324" t="str">
        <f t="shared" si="192"/>
        <v xml:space="preserve">["LEGENDARY"] = true; </v>
      </c>
      <c r="AR324" t="str">
        <f t="shared" si="193"/>
        <v/>
      </c>
      <c r="AS324" t="str">
        <f t="shared" si="194"/>
        <v>2000</v>
      </c>
      <c r="AT324" t="str">
        <f t="shared" si="195"/>
        <v xml:space="preserve">["VXP"] = 2000; </v>
      </c>
      <c r="AU324" t="str">
        <f t="shared" si="196"/>
        <v>0</v>
      </c>
      <c r="AV324" t="str">
        <f t="shared" si="197"/>
        <v xml:space="preserve">["LP"] =  0; </v>
      </c>
      <c r="AW324" t="str">
        <f t="shared" si="198"/>
        <v>0</v>
      </c>
      <c r="AX324" t="str">
        <f t="shared" si="199"/>
        <v xml:space="preserve">["REP"] =     0; </v>
      </c>
      <c r="AY324">
        <f>IF(LEN(P324)&gt;0,VLOOKUP(P324,Faction!A$2:B$77,2,FALSE),1)</f>
        <v>1</v>
      </c>
      <c r="AZ324" t="str">
        <f t="shared" si="200"/>
        <v xml:space="preserve">["FACTION"] =  1; </v>
      </c>
      <c r="BA324" t="str">
        <f t="shared" si="212"/>
        <v/>
      </c>
      <c r="BB324" t="str">
        <f t="shared" si="201"/>
        <v xml:space="preserve">["MIN_LVL"] = "115"; </v>
      </c>
      <c r="BC324" t="str">
        <f t="shared" si="202"/>
        <v xml:space="preserve">                  </v>
      </c>
      <c r="BD324" t="str">
        <f t="shared" si="203"/>
        <v xml:space="preserve">["NAME"] = { ["EN"] = "Legendary Interlude: Shades in the Swamp"; }; </v>
      </c>
      <c r="BE324" t="str">
        <f t="shared" si="204"/>
        <v xml:space="preserve">["LORE"] = { ["EN"] = "This deed is for Legendary Servers."; }; </v>
      </c>
      <c r="BF324" t="str">
        <f t="shared" si="205"/>
        <v xml:space="preserve">["SUMMARY"] = { ["EN"] = "Complete Interlude: Shades in the Swamp"; }; </v>
      </c>
      <c r="BG324" t="str">
        <f t="shared" si="206"/>
        <v xml:space="preserve">["TITLE"] = { ["EN"] = "Legend of Anduin"; }; </v>
      </c>
      <c r="BH324" t="str">
        <f t="shared" si="207"/>
        <v/>
      </c>
      <c r="BI324" t="str">
        <f t="shared" si="208"/>
        <v/>
      </c>
      <c r="BJ324" t="str">
        <f t="shared" si="210"/>
        <v>};</v>
      </c>
    </row>
    <row r="325" spans="1:62" x14ac:dyDescent="0.25">
      <c r="A325">
        <v>1879442837</v>
      </c>
      <c r="B325">
        <v>350</v>
      </c>
      <c r="C325" t="s">
        <v>3386</v>
      </c>
      <c r="D325" t="s">
        <v>26</v>
      </c>
      <c r="I325" t="s">
        <v>2656</v>
      </c>
      <c r="L325">
        <v>3000</v>
      </c>
      <c r="M325" t="s">
        <v>3386</v>
      </c>
      <c r="Q325" t="s">
        <v>3387</v>
      </c>
      <c r="R325" t="s">
        <v>2694</v>
      </c>
      <c r="S325">
        <v>0</v>
      </c>
      <c r="T325">
        <v>110</v>
      </c>
      <c r="X325" t="str">
        <f t="shared" si="211"/>
        <v>[324] = {["ID"] = 1879442837; }; -- Seeker of Dragons</v>
      </c>
      <c r="Y325" s="1" t="str">
        <f t="shared" ref="Y325:Y388" si="213">CONCATENATE(AA325,AB325,AF325,AH325,AI325,AN325,AP325,AQ325,AR325,AT325,AV325,AX325,AZ325,BA325,BB325,BC325,BD325,BE325,BF325,BG325,BH325,BI325,BJ325)</f>
        <v>[324]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5">
        <f t="shared" si="209"/>
        <v>324</v>
      </c>
      <c r="AA325" t="str">
        <f t="shared" ref="AA325:AA388" si="214">CONCATENATE(REPT(" ",3-LEN(Z325)),"[",Z325,"] = {")</f>
        <v>[324] = {</v>
      </c>
      <c r="AB325" t="str">
        <f t="shared" ref="AB325:AB388" si="215">IF(LEN(A325)&gt;0,CONCATENATE("[""ID""] = ",A325,"; "),"                     ")</f>
        <v xml:space="preserve">["ID"] = 1879442837; </v>
      </c>
      <c r="AC325" t="str">
        <f t="shared" ref="AC325:AC388" si="216">IF(LEN(A325)&gt;0,CONCATENATE("[""ID""] = ",A325,"; "),"")</f>
        <v xml:space="preserve">["ID"] = 1879442837; </v>
      </c>
      <c r="AD325" t="str">
        <f t="shared" ref="AD325:AD388" si="217">IF(LEN(V325)&gt;0,CONCATENATE("[""CAT_ID""] = ",V325,"; "),"")</f>
        <v/>
      </c>
      <c r="AE325" t="str">
        <f t="shared" ref="AE325:AE388" si="218">IF(LEN(E325)&gt;0,CONCATENATE(" (",E325,")"),IF(LEN(J325)&gt;0,CONCATENATE(" (",J325,")"),""))</f>
        <v/>
      </c>
      <c r="AF325" s="1" t="str">
        <f t="shared" ref="AF325:AF388" si="219">IF(LEN(B325)&gt;0,CONCATENATE("[""SAVE_INDEX""] = ",REPT(" ",3-LEN(B325)),B325,"; "),"                      ")</f>
        <v xml:space="preserve">["SAVE_INDEX"] = 350; </v>
      </c>
      <c r="AG325">
        <f>VLOOKUP(D325,Type!A$2:B$16,2,FALSE)</f>
        <v>6</v>
      </c>
      <c r="AH325" t="str">
        <f t="shared" ref="AH325:AH388" si="220">CONCATENATE("[""TYPE""] = ",REPT(" ",2-LEN(AG325)),AG325,"; ")</f>
        <v xml:space="preserve">["TYPE"] =  6; </v>
      </c>
      <c r="AI325" t="str">
        <f t="shared" ref="AI325:AI388" si="221">IF(LEN(F325)&gt;0,CONCATENATE("[""CRV""] = ","""",F325,"""; ",REPT(" ",8-LEN(F325))),REPT(" ",22))</f>
        <v xml:space="preserve">                      </v>
      </c>
      <c r="AJ325" t="str">
        <f>IF(AND(F325="Class",NOT(ISBLANK(E325))),VLOOKUP(E325,Class!A$1:B$12,2,FALSE),"")</f>
        <v/>
      </c>
      <c r="AK325" t="str">
        <f>IF(AND(F325="Vocation",NOT(ISBLANK(E325))),VLOOKUP(E325,Vocation!A$1:B$8,2,FALSE),"")</f>
        <v/>
      </c>
      <c r="AL325" t="str">
        <f>IF(AND(F325="Race",NOT(ISBLANK(E325))),VLOOKUP(E325,Race!A$1:B$9,2,),"")</f>
        <v/>
      </c>
      <c r="AM325" t="str">
        <f t="shared" ref="AM325:AM388" si="222">IF(
  LEN(AJ325)=0,
  IF(
    LEN(AK325)=0,
    IF(
      LEN(AL325)=0,
      "  0",
      CONCATENATE(REPT(" ",3-LEN(AL325)),AL325)
    ),
    CONCATENATE(REPT(" ",3-LEN(AK325)),AK325)
  ),
  CONCATENATE(REPT(" ",3-LEN(AJ325)),AJ325)
)</f>
        <v xml:space="preserve">  0</v>
      </c>
      <c r="AN325" t="str">
        <f t="shared" ref="AN325:AN388" si="223">CONCATENATE("[""SUBTYPE""] = ",AM325,"; ")</f>
        <v xml:space="preserve">["SUBTYPE"] =   0; </v>
      </c>
      <c r="AO325" t="str">
        <f>IF(NOT(ISBLANK(G325)),VLOOKUP(G325,Type!D$2:E$6,2,FALSE),"")</f>
        <v/>
      </c>
      <c r="AP325" t="str">
        <f t="shared" ref="AP325:AP388" si="224">IF(NOT(ISBLANK(G325)),CONCATENATE("[""NA""] = ",AO325,"; "),"            ")</f>
        <v xml:space="preserve">            </v>
      </c>
      <c r="AQ325" t="str">
        <f t="shared" ref="AQ325:AQ388" si="225">IF(NOT(ISBLANK(I325)),"[""LEGENDARY""] = true; ","                      ")</f>
        <v xml:space="preserve">["LEGENDARY"] = true; </v>
      </c>
      <c r="AR325" t="str">
        <f t="shared" ref="AR325:AR388" si="226">IF(LEN(J325)&gt;0,CONCATENATE("[""MOUNT""] = """,J325,"""; "),"")</f>
        <v/>
      </c>
      <c r="AS325" t="str">
        <f t="shared" ref="AS325:AS388" si="227">TEXT(L325,0)</f>
        <v>3000</v>
      </c>
      <c r="AT325" t="str">
        <f t="shared" ref="AT325:AT388" si="228">CONCATENATE("[""VXP""] = ",REPT(" ",4-LEN(AS325)),TEXT(AS325,"0"),"; ")</f>
        <v xml:space="preserve">["VXP"] = 3000; </v>
      </c>
      <c r="AU325" t="str">
        <f t="shared" ref="AU325:AU388" si="229">TEXT(N325,0)</f>
        <v>0</v>
      </c>
      <c r="AV325" t="str">
        <f t="shared" ref="AV325:AV388" si="230">CONCATENATE("[""LP""] = ",REPT(" ",2-LEN(AU325)),TEXT(AU325,"0"),"; ")</f>
        <v xml:space="preserve">["LP"] =  0; </v>
      </c>
      <c r="AW325" t="str">
        <f t="shared" ref="AW325:AW388" si="231">TEXT(O325,0)</f>
        <v>0</v>
      </c>
      <c r="AX325" t="str">
        <f t="shared" ref="AX325:AX388" si="232">CONCATENATE("[""REP""] = ",REPT(" ",5-LEN(AW325)),TEXT(AW325,"0"),"; ")</f>
        <v xml:space="preserve">["REP"] =     0; </v>
      </c>
      <c r="AY325">
        <f>IF(LEN(P325)&gt;0,VLOOKUP(P325,Faction!A$2:B$77,2,FALSE),1)</f>
        <v>1</v>
      </c>
      <c r="AZ325" t="str">
        <f t="shared" ref="AZ325:AZ388" si="233">CONCATENATE("[""FACTION""] = ",REPT(" ",2-LEN(AY325)),TEXT(AY325,"0"),"; ")</f>
        <v xml:space="preserve">["FACTION"] =  1; </v>
      </c>
      <c r="BA325" t="str">
        <f t="shared" si="212"/>
        <v/>
      </c>
      <c r="BB325" t="str">
        <f t="shared" ref="BB325:BB388" si="234">IF(LEN(T325)&gt;0,CONCATENATE("[""MIN_LVL""] = ",REPT(" ",3-LEN(T325)),"""",T325,"""; "),"                     ")</f>
        <v xml:space="preserve">["MIN_LVL"] = "110"; </v>
      </c>
      <c r="BC325" t="str">
        <f t="shared" ref="BC325:BC388" si="235">IF(LEN(U325)&gt;0,CONCATENATE("[""MAX_LVL""] = ",REPT(" ",2-LEN(U325)),U325,"; "),"                  ")</f>
        <v xml:space="preserve">                  </v>
      </c>
      <c r="BD325" t="str">
        <f t="shared" ref="BD325:BD388" si="236">CONCATENATE("[""NAME""] = { [""EN""] = """,C325,"""; }; ")</f>
        <v xml:space="preserve">["NAME"] = { ["EN"] = "Seeker of Dragons"; }; </v>
      </c>
      <c r="BE325" t="str">
        <f t="shared" ref="BE325:BE388" si="237">IF(LEN(R325)&gt;0,CONCATENATE("[""LORE""] = { [""EN""] = """,R325,"""; }; "),"")</f>
        <v xml:space="preserve">["LORE"] = { ["EN"] = "This deed is for Legendary Servers."; }; </v>
      </c>
      <c r="BF325" t="str">
        <f t="shared" ref="BF325:BF388" si="238">IF(LEN(Q325)&gt;0,CONCATENATE("[""SUMMARY""] = { [""EN""] = """,Q325,"""; }; "),"")</f>
        <v xml:space="preserve">["SUMMARY"] = { ["EN"] = "Complete Ered Mithrin Dragon-kind Slayer, Quests of the Dwarf-holds, and Friend to the Grey Mountains Expedition."; }; </v>
      </c>
      <c r="BG325" t="str">
        <f t="shared" ref="BG325:BG388" si="239">IF(LEN(M325)&gt;0,CONCATENATE("[""TITLE""] = { [""EN""] = """,M325,"""; }; "),"")</f>
        <v xml:space="preserve">["TITLE"] = { ["EN"] = "Seeker of Dragons"; }; </v>
      </c>
      <c r="BH325" t="str">
        <f t="shared" ref="BH325:BH388" si="240">IF(LEN(H325)&gt;0,CONCATENATE("[""NOTE""] = { [""EN""] = """,H325,"""; }; "),"")</f>
        <v/>
      </c>
      <c r="BI325" t="str">
        <f t="shared" ref="BI325:BI388" si="241">IF(LEN(K325)&gt;0,CONCATENATE("[""PAIRED""] = { ",K325, " }; "),"")</f>
        <v/>
      </c>
      <c r="BJ325" t="str">
        <f t="shared" si="210"/>
        <v>};</v>
      </c>
    </row>
    <row r="326" spans="1:62" x14ac:dyDescent="0.25">
      <c r="A326">
        <v>1879442836</v>
      </c>
      <c r="B326">
        <v>351</v>
      </c>
      <c r="C326" t="s">
        <v>3385</v>
      </c>
      <c r="D326" t="s">
        <v>26</v>
      </c>
      <c r="I326" t="s">
        <v>2656</v>
      </c>
      <c r="L326">
        <v>1000</v>
      </c>
      <c r="M326" t="s">
        <v>3385</v>
      </c>
      <c r="Q326" t="s">
        <v>3407</v>
      </c>
      <c r="R326" t="s">
        <v>2694</v>
      </c>
      <c r="S326">
        <v>0</v>
      </c>
      <c r="T326">
        <v>119</v>
      </c>
      <c r="X326" t="str">
        <f t="shared" si="211"/>
        <v>[325] = {["ID"] = 1879442836; }; -- Journeyer through Hills, Mountains, and Vales</v>
      </c>
      <c r="Y326" s="1" t="str">
        <f t="shared" si="213"/>
        <v>[325]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6">
        <f t="shared" si="209"/>
        <v>325</v>
      </c>
      <c r="AA326" t="str">
        <f t="shared" si="214"/>
        <v>[325] = {</v>
      </c>
      <c r="AB326" t="str">
        <f t="shared" si="215"/>
        <v xml:space="preserve">["ID"] = 1879442836; </v>
      </c>
      <c r="AC326" t="str">
        <f t="shared" si="216"/>
        <v xml:space="preserve">["ID"] = 1879442836; </v>
      </c>
      <c r="AD326" t="str">
        <f t="shared" si="217"/>
        <v/>
      </c>
      <c r="AE326" t="str">
        <f t="shared" si="218"/>
        <v/>
      </c>
      <c r="AF326" s="1" t="str">
        <f t="shared" si="219"/>
        <v xml:space="preserve">["SAVE_INDEX"] = 351; </v>
      </c>
      <c r="AG326">
        <f>VLOOKUP(D326,Type!A$2:B$16,2,FALSE)</f>
        <v>6</v>
      </c>
      <c r="AH326" t="str">
        <f t="shared" si="220"/>
        <v xml:space="preserve">["TYPE"] =  6; </v>
      </c>
      <c r="AI326" t="str">
        <f t="shared" si="221"/>
        <v xml:space="preserve">                      </v>
      </c>
      <c r="AJ326" t="str">
        <f>IF(AND(F326="Class",NOT(ISBLANK(E326))),VLOOKUP(E326,Class!A$1:B$12,2,FALSE),"")</f>
        <v/>
      </c>
      <c r="AK326" t="str">
        <f>IF(AND(F326="Vocation",NOT(ISBLANK(E326))),VLOOKUP(E326,Vocation!A$1:B$8,2,FALSE),"")</f>
        <v/>
      </c>
      <c r="AL326" t="str">
        <f>IF(AND(F326="Race",NOT(ISBLANK(E326))),VLOOKUP(E326,Race!A$1:B$9,2,),"")</f>
        <v/>
      </c>
      <c r="AM326" t="str">
        <f t="shared" si="222"/>
        <v xml:space="preserve">  0</v>
      </c>
      <c r="AN326" t="str">
        <f t="shared" si="223"/>
        <v xml:space="preserve">["SUBTYPE"] =   0; </v>
      </c>
      <c r="AO326" t="str">
        <f>IF(NOT(ISBLANK(G326)),VLOOKUP(G326,Type!D$2:E$6,2,FALSE),"")</f>
        <v/>
      </c>
      <c r="AP326" t="str">
        <f t="shared" si="224"/>
        <v xml:space="preserve">            </v>
      </c>
      <c r="AQ326" t="str">
        <f t="shared" si="225"/>
        <v xml:space="preserve">["LEGENDARY"] = true; </v>
      </c>
      <c r="AR326" t="str">
        <f t="shared" si="226"/>
        <v/>
      </c>
      <c r="AS326" t="str">
        <f t="shared" si="227"/>
        <v>1000</v>
      </c>
      <c r="AT326" t="str">
        <f t="shared" si="228"/>
        <v xml:space="preserve">["VXP"] = 1000; </v>
      </c>
      <c r="AU326" t="str">
        <f t="shared" si="229"/>
        <v>0</v>
      </c>
      <c r="AV326" t="str">
        <f t="shared" si="230"/>
        <v xml:space="preserve">["LP"] =  0; </v>
      </c>
      <c r="AW326" t="str">
        <f t="shared" si="231"/>
        <v>0</v>
      </c>
      <c r="AX326" t="str">
        <f t="shared" si="232"/>
        <v xml:space="preserve">["REP"] =     0; </v>
      </c>
      <c r="AY326">
        <f>IF(LEN(P326)&gt;0,VLOOKUP(P326,Faction!A$2:B$77,2,FALSE),1)</f>
        <v>1</v>
      </c>
      <c r="AZ326" t="str">
        <f t="shared" si="233"/>
        <v xml:space="preserve">["FACTION"] =  1; </v>
      </c>
      <c r="BA326" t="str">
        <f t="shared" si="212"/>
        <v/>
      </c>
      <c r="BB326" t="str">
        <f t="shared" si="234"/>
        <v xml:space="preserve">["MIN_LVL"] = "119"; </v>
      </c>
      <c r="BC326" t="str">
        <f t="shared" si="235"/>
        <v xml:space="preserve">                  </v>
      </c>
      <c r="BD326" t="str">
        <f t="shared" si="236"/>
        <v xml:space="preserve">["NAME"] = { ["EN"] = "Journeyer through Hills, Mountains, and Vales"; }; </v>
      </c>
      <c r="BE326" t="str">
        <f t="shared" si="237"/>
        <v xml:space="preserve">["LORE"] = { ["EN"] = "This deed is for Legendary Servers."; }; </v>
      </c>
      <c r="BF326" t="str">
        <f t="shared" si="238"/>
        <v xml:space="preserve">["SUMMARY"] = { ["EN"] = "Adventure to Level 120"; }; </v>
      </c>
      <c r="BG326" t="str">
        <f t="shared" si="239"/>
        <v xml:space="preserve">["TITLE"] = { ["EN"] = "Journeyer through Hills, Mountains, and Vales"; }; </v>
      </c>
      <c r="BH326" t="str">
        <f t="shared" si="240"/>
        <v/>
      </c>
      <c r="BI326" t="str">
        <f t="shared" si="241"/>
        <v/>
      </c>
      <c r="BJ326" t="str">
        <f t="shared" si="210"/>
        <v>};</v>
      </c>
    </row>
    <row r="327" spans="1:62" x14ac:dyDescent="0.25">
      <c r="A327">
        <v>1879446734</v>
      </c>
      <c r="B327">
        <v>354</v>
      </c>
      <c r="C327" t="s">
        <v>3410</v>
      </c>
      <c r="D327" t="s">
        <v>26</v>
      </c>
      <c r="I327" t="s">
        <v>2656</v>
      </c>
      <c r="L327">
        <v>2000</v>
      </c>
      <c r="M327" t="s">
        <v>3411</v>
      </c>
      <c r="Q327" t="s">
        <v>3412</v>
      </c>
      <c r="R327" t="s">
        <v>2694</v>
      </c>
      <c r="S327">
        <v>0</v>
      </c>
      <c r="T327">
        <v>120</v>
      </c>
      <c r="X327" t="str">
        <f t="shared" si="211"/>
        <v>[326] = {["ID"] = 1879446734; }; -- Final Escape</v>
      </c>
      <c r="Y327" s="1" t="str">
        <f t="shared" si="213"/>
        <v>[326]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7">
        <f t="shared" si="209"/>
        <v>326</v>
      </c>
      <c r="AA327" t="str">
        <f t="shared" si="214"/>
        <v>[326] = {</v>
      </c>
      <c r="AB327" t="str">
        <f t="shared" si="215"/>
        <v xml:space="preserve">["ID"] = 1879446734; </v>
      </c>
      <c r="AC327" t="str">
        <f t="shared" si="216"/>
        <v xml:space="preserve">["ID"] = 1879446734; </v>
      </c>
      <c r="AD327" t="str">
        <f t="shared" si="217"/>
        <v/>
      </c>
      <c r="AE327" t="str">
        <f t="shared" si="218"/>
        <v/>
      </c>
      <c r="AF327" s="1" t="str">
        <f t="shared" si="219"/>
        <v xml:space="preserve">["SAVE_INDEX"] = 354; </v>
      </c>
      <c r="AG327">
        <f>VLOOKUP(D327,Type!A$2:B$16,2,FALSE)</f>
        <v>6</v>
      </c>
      <c r="AH327" t="str">
        <f t="shared" si="220"/>
        <v xml:space="preserve">["TYPE"] =  6; </v>
      </c>
      <c r="AI327" t="str">
        <f t="shared" si="221"/>
        <v xml:space="preserve">                      </v>
      </c>
      <c r="AJ327" t="str">
        <f>IF(AND(F327="Class",NOT(ISBLANK(E327))),VLOOKUP(E327,Class!A$1:B$12,2,FALSE),"")</f>
        <v/>
      </c>
      <c r="AK327" t="str">
        <f>IF(AND(F327="Vocation",NOT(ISBLANK(E327))),VLOOKUP(E327,Vocation!A$1:B$8,2,FALSE),"")</f>
        <v/>
      </c>
      <c r="AL327" t="str">
        <f>IF(AND(F327="Race",NOT(ISBLANK(E327))),VLOOKUP(E327,Race!A$1:B$9,2,),"")</f>
        <v/>
      </c>
      <c r="AM327" t="str">
        <f t="shared" si="222"/>
        <v xml:space="preserve">  0</v>
      </c>
      <c r="AN327" t="str">
        <f t="shared" si="223"/>
        <v xml:space="preserve">["SUBTYPE"] =   0; </v>
      </c>
      <c r="AO327" t="str">
        <f>IF(NOT(ISBLANK(G327)),VLOOKUP(G327,Type!D$2:E$6,2,FALSE),"")</f>
        <v/>
      </c>
      <c r="AP327" t="str">
        <f t="shared" si="224"/>
        <v xml:space="preserve">            </v>
      </c>
      <c r="AQ327" t="str">
        <f t="shared" si="225"/>
        <v xml:space="preserve">["LEGENDARY"] = true; </v>
      </c>
      <c r="AR327" t="str">
        <f t="shared" si="226"/>
        <v/>
      </c>
      <c r="AS327" t="str">
        <f t="shared" si="227"/>
        <v>2000</v>
      </c>
      <c r="AT327" t="str">
        <f t="shared" si="228"/>
        <v xml:space="preserve">["VXP"] = 2000; </v>
      </c>
      <c r="AU327" t="str">
        <f t="shared" si="229"/>
        <v>0</v>
      </c>
      <c r="AV327" t="str">
        <f t="shared" si="230"/>
        <v xml:space="preserve">["LP"] =  0; </v>
      </c>
      <c r="AW327" t="str">
        <f t="shared" si="231"/>
        <v>0</v>
      </c>
      <c r="AX327" t="str">
        <f t="shared" si="232"/>
        <v xml:space="preserve">["REP"] =     0; </v>
      </c>
      <c r="AY327">
        <f>IF(LEN(P327)&gt;0,VLOOKUP(P327,Faction!A$2:B$77,2,FALSE),1)</f>
        <v>1</v>
      </c>
      <c r="AZ327" t="str">
        <f t="shared" si="233"/>
        <v xml:space="preserve">["FACTION"] =  1; </v>
      </c>
      <c r="BA327" t="str">
        <f t="shared" si="212"/>
        <v/>
      </c>
      <c r="BB327" t="str">
        <f t="shared" si="234"/>
        <v xml:space="preserve">["MIN_LVL"] = "120"; </v>
      </c>
      <c r="BC327" t="str">
        <f t="shared" si="235"/>
        <v xml:space="preserve">                  </v>
      </c>
      <c r="BD327" t="str">
        <f t="shared" si="236"/>
        <v xml:space="preserve">["NAME"] = { ["EN"] = "Final Escape"; }; </v>
      </c>
      <c r="BE327" t="str">
        <f t="shared" si="237"/>
        <v xml:space="preserve">["LORE"] = { ["EN"] = "This deed is for Legendary Servers."; }; </v>
      </c>
      <c r="BF327" t="str">
        <f t="shared" si="238"/>
        <v xml:space="preserve">["SUMMARY"] = { ["EN"] = "Complete The Black Book of Mordor: Chapter 14"; }; </v>
      </c>
      <c r="BG327" t="str">
        <f t="shared" si="239"/>
        <v xml:space="preserve">["TITLE"] = { ["EN"] = "Legend of Minas Morgul"; }; </v>
      </c>
      <c r="BH327" t="str">
        <f t="shared" si="240"/>
        <v/>
      </c>
      <c r="BI327" t="str">
        <f t="shared" si="241"/>
        <v/>
      </c>
      <c r="BJ327" t="str">
        <f t="shared" si="210"/>
        <v>};</v>
      </c>
    </row>
    <row r="328" spans="1:62" x14ac:dyDescent="0.25">
      <c r="A328">
        <v>1879446732</v>
      </c>
      <c r="B328">
        <v>355</v>
      </c>
      <c r="C328" t="s">
        <v>3413</v>
      </c>
      <c r="D328" t="s">
        <v>26</v>
      </c>
      <c r="I328" t="s">
        <v>2656</v>
      </c>
      <c r="L328">
        <v>3000</v>
      </c>
      <c r="M328" t="s">
        <v>3414</v>
      </c>
      <c r="Q328" t="s">
        <v>3415</v>
      </c>
      <c r="R328" t="s">
        <v>2694</v>
      </c>
      <c r="S328">
        <v>0</v>
      </c>
      <c r="T328">
        <v>120</v>
      </c>
      <c r="X328" t="str">
        <f t="shared" si="211"/>
        <v>[327] = {["ID"] = 1879446732; }; -- The War of Three Peaks</v>
      </c>
      <c r="Y328" s="1" t="str">
        <f t="shared" si="213"/>
        <v>[327]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28">
        <f t="shared" si="209"/>
        <v>327</v>
      </c>
      <c r="AA328" t="str">
        <f t="shared" si="214"/>
        <v>[327] = {</v>
      </c>
      <c r="AB328" t="str">
        <f t="shared" si="215"/>
        <v xml:space="preserve">["ID"] = 1879446732; </v>
      </c>
      <c r="AC328" t="str">
        <f t="shared" si="216"/>
        <v xml:space="preserve">["ID"] = 1879446732; </v>
      </c>
      <c r="AD328" t="str">
        <f t="shared" si="217"/>
        <v/>
      </c>
      <c r="AE328" t="str">
        <f t="shared" si="218"/>
        <v/>
      </c>
      <c r="AF328" s="1" t="str">
        <f t="shared" si="219"/>
        <v xml:space="preserve">["SAVE_INDEX"] = 355; </v>
      </c>
      <c r="AG328">
        <f>VLOOKUP(D328,Type!A$2:B$16,2,FALSE)</f>
        <v>6</v>
      </c>
      <c r="AH328" t="str">
        <f t="shared" si="220"/>
        <v xml:space="preserve">["TYPE"] =  6; </v>
      </c>
      <c r="AI328" t="str">
        <f t="shared" si="221"/>
        <v xml:space="preserve">                      </v>
      </c>
      <c r="AJ328" t="str">
        <f>IF(AND(F328="Class",NOT(ISBLANK(E328))),VLOOKUP(E328,Class!A$1:B$12,2,FALSE),"")</f>
        <v/>
      </c>
      <c r="AK328" t="str">
        <f>IF(AND(F328="Vocation",NOT(ISBLANK(E328))),VLOOKUP(E328,Vocation!A$1:B$8,2,FALSE),"")</f>
        <v/>
      </c>
      <c r="AL328" t="str">
        <f>IF(AND(F328="Race",NOT(ISBLANK(E328))),VLOOKUP(E328,Race!A$1:B$9,2,),"")</f>
        <v/>
      </c>
      <c r="AM328" t="str">
        <f t="shared" si="222"/>
        <v xml:space="preserve">  0</v>
      </c>
      <c r="AN328" t="str">
        <f t="shared" si="223"/>
        <v xml:space="preserve">["SUBTYPE"] =   0; </v>
      </c>
      <c r="AO328" t="str">
        <f>IF(NOT(ISBLANK(G328)),VLOOKUP(G328,Type!D$2:E$6,2,FALSE),"")</f>
        <v/>
      </c>
      <c r="AP328" t="str">
        <f t="shared" si="224"/>
        <v xml:space="preserve">            </v>
      </c>
      <c r="AQ328" t="str">
        <f t="shared" si="225"/>
        <v xml:space="preserve">["LEGENDARY"] = true; </v>
      </c>
      <c r="AR328" t="str">
        <f t="shared" si="226"/>
        <v/>
      </c>
      <c r="AS328" t="str">
        <f t="shared" si="227"/>
        <v>3000</v>
      </c>
      <c r="AT328" t="str">
        <f t="shared" si="228"/>
        <v xml:space="preserve">["VXP"] = 3000; </v>
      </c>
      <c r="AU328" t="str">
        <f t="shared" si="229"/>
        <v>0</v>
      </c>
      <c r="AV328" t="str">
        <f t="shared" si="230"/>
        <v xml:space="preserve">["LP"] =  0; </v>
      </c>
      <c r="AW328" t="str">
        <f t="shared" si="231"/>
        <v>0</v>
      </c>
      <c r="AX328" t="str">
        <f t="shared" si="232"/>
        <v xml:space="preserve">["REP"] =     0; </v>
      </c>
      <c r="AY328">
        <f>IF(LEN(P328)&gt;0,VLOOKUP(P328,Faction!A$2:B$77,2,FALSE),1)</f>
        <v>1</v>
      </c>
      <c r="AZ328" t="str">
        <f t="shared" si="233"/>
        <v xml:space="preserve">["FACTION"] =  1; </v>
      </c>
      <c r="BA328" t="str">
        <f t="shared" si="212"/>
        <v/>
      </c>
      <c r="BB328" t="str">
        <f t="shared" si="234"/>
        <v xml:space="preserve">["MIN_LVL"] = "120"; </v>
      </c>
      <c r="BC328" t="str">
        <f t="shared" si="235"/>
        <v xml:space="preserve">                  </v>
      </c>
      <c r="BD328" t="str">
        <f t="shared" si="236"/>
        <v xml:space="preserve">["NAME"] = { ["EN"] = "The War of Three Peaks"; }; </v>
      </c>
      <c r="BE328" t="str">
        <f t="shared" si="237"/>
        <v xml:space="preserve">["LORE"] = { ["EN"] = "This deed is for Legendary Servers."; }; </v>
      </c>
      <c r="BF328" t="str">
        <f t="shared" si="238"/>
        <v xml:space="preserve">["SUMMARY"] = { ["EN"] = "Complete Chapter 4 of The Legacy of Durin"; }; </v>
      </c>
      <c r="BG328" t="str">
        <f t="shared" si="239"/>
        <v xml:space="preserve">["TITLE"] = { ["EN"] = "Thinks Like a Goblin"; }; </v>
      </c>
      <c r="BH328" t="str">
        <f t="shared" si="240"/>
        <v/>
      </c>
      <c r="BI328" t="str">
        <f t="shared" si="241"/>
        <v/>
      </c>
      <c r="BJ328" t="str">
        <f t="shared" si="210"/>
        <v>};</v>
      </c>
    </row>
    <row r="329" spans="1:62" x14ac:dyDescent="0.25">
      <c r="A329">
        <v>1879446731</v>
      </c>
      <c r="B329">
        <v>356</v>
      </c>
      <c r="C329" t="s">
        <v>3416</v>
      </c>
      <c r="D329" t="s">
        <v>26</v>
      </c>
      <c r="I329" t="s">
        <v>2656</v>
      </c>
      <c r="L329">
        <v>2000</v>
      </c>
      <c r="M329" t="s">
        <v>3418</v>
      </c>
      <c r="Q329" t="s">
        <v>3417</v>
      </c>
      <c r="R329" t="s">
        <v>2694</v>
      </c>
      <c r="S329">
        <v>0</v>
      </c>
      <c r="T329">
        <v>125</v>
      </c>
      <c r="X329" t="str">
        <f t="shared" si="211"/>
        <v>[328] = {["ID"] = 1879446731; }; -- Legendary Interlude: Blood of Azog</v>
      </c>
      <c r="Y329" s="1" t="str">
        <f t="shared" si="213"/>
        <v>[328]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29">
        <f t="shared" si="209"/>
        <v>328</v>
      </c>
      <c r="AA329" t="str">
        <f t="shared" si="214"/>
        <v>[328] = {</v>
      </c>
      <c r="AB329" t="str">
        <f t="shared" si="215"/>
        <v xml:space="preserve">["ID"] = 1879446731; </v>
      </c>
      <c r="AC329" t="str">
        <f t="shared" si="216"/>
        <v xml:space="preserve">["ID"] = 1879446731; </v>
      </c>
      <c r="AD329" t="str">
        <f t="shared" si="217"/>
        <v/>
      </c>
      <c r="AE329" t="str">
        <f t="shared" si="218"/>
        <v/>
      </c>
      <c r="AF329" s="1" t="str">
        <f t="shared" si="219"/>
        <v xml:space="preserve">["SAVE_INDEX"] = 356; </v>
      </c>
      <c r="AG329">
        <f>VLOOKUP(D329,Type!A$2:B$16,2,FALSE)</f>
        <v>6</v>
      </c>
      <c r="AH329" t="str">
        <f t="shared" si="220"/>
        <v xml:space="preserve">["TYPE"] =  6; </v>
      </c>
      <c r="AI329" t="str">
        <f t="shared" si="221"/>
        <v xml:space="preserve">                      </v>
      </c>
      <c r="AJ329" t="str">
        <f>IF(AND(F329="Class",NOT(ISBLANK(E329))),VLOOKUP(E329,Class!A$1:B$12,2,FALSE),"")</f>
        <v/>
      </c>
      <c r="AK329" t="str">
        <f>IF(AND(F329="Vocation",NOT(ISBLANK(E329))),VLOOKUP(E329,Vocation!A$1:B$8,2,FALSE),"")</f>
        <v/>
      </c>
      <c r="AL329" t="str">
        <f>IF(AND(F329="Race",NOT(ISBLANK(E329))),VLOOKUP(E329,Race!A$1:B$9,2,),"")</f>
        <v/>
      </c>
      <c r="AM329" t="str">
        <f t="shared" si="222"/>
        <v xml:space="preserve">  0</v>
      </c>
      <c r="AN329" t="str">
        <f t="shared" si="223"/>
        <v xml:space="preserve">["SUBTYPE"] =   0; </v>
      </c>
      <c r="AO329" t="str">
        <f>IF(NOT(ISBLANK(G329)),VLOOKUP(G329,Type!D$2:E$6,2,FALSE),"")</f>
        <v/>
      </c>
      <c r="AP329" t="str">
        <f t="shared" si="224"/>
        <v xml:space="preserve">            </v>
      </c>
      <c r="AQ329" t="str">
        <f t="shared" si="225"/>
        <v xml:space="preserve">["LEGENDARY"] = true; </v>
      </c>
      <c r="AR329" t="str">
        <f t="shared" si="226"/>
        <v/>
      </c>
      <c r="AS329" t="str">
        <f t="shared" si="227"/>
        <v>2000</v>
      </c>
      <c r="AT329" t="str">
        <f t="shared" si="228"/>
        <v xml:space="preserve">["VXP"] = 2000; </v>
      </c>
      <c r="AU329" t="str">
        <f t="shared" si="229"/>
        <v>0</v>
      </c>
      <c r="AV329" t="str">
        <f t="shared" si="230"/>
        <v xml:space="preserve">["LP"] =  0; </v>
      </c>
      <c r="AW329" t="str">
        <f t="shared" si="231"/>
        <v>0</v>
      </c>
      <c r="AX329" t="str">
        <f t="shared" si="232"/>
        <v xml:space="preserve">["REP"] =     0; </v>
      </c>
      <c r="AY329">
        <f>IF(LEN(P329)&gt;0,VLOOKUP(P329,Faction!A$2:B$77,2,FALSE),1)</f>
        <v>1</v>
      </c>
      <c r="AZ329" t="str">
        <f t="shared" si="233"/>
        <v xml:space="preserve">["FACTION"] =  1; </v>
      </c>
      <c r="BA329" t="str">
        <f t="shared" si="212"/>
        <v/>
      </c>
      <c r="BB329" t="str">
        <f t="shared" si="234"/>
        <v xml:space="preserve">["MIN_LVL"] = "125"; </v>
      </c>
      <c r="BC329" t="str">
        <f t="shared" si="235"/>
        <v xml:space="preserve">                  </v>
      </c>
      <c r="BD329" t="str">
        <f t="shared" si="236"/>
        <v xml:space="preserve">["NAME"] = { ["EN"] = "Legendary Interlude: Blood of Azog"; }; </v>
      </c>
      <c r="BE329" t="str">
        <f t="shared" si="237"/>
        <v xml:space="preserve">["LORE"] = { ["EN"] = "This deed is for Legendary Servers."; }; </v>
      </c>
      <c r="BF329" t="str">
        <f t="shared" si="238"/>
        <v xml:space="preserve">["SUMMARY"] = { ["EN"] = "Complete Interlude: Blood of Azog"; }; </v>
      </c>
      <c r="BG329" t="str">
        <f t="shared" si="239"/>
        <v xml:space="preserve">["TITLE"] = { ["EN"] = "Reflects on War"; }; </v>
      </c>
      <c r="BH329" t="str">
        <f t="shared" si="240"/>
        <v/>
      </c>
      <c r="BI329" t="str">
        <f t="shared" si="241"/>
        <v/>
      </c>
      <c r="BJ329" t="str">
        <f t="shared" si="210"/>
        <v>};</v>
      </c>
    </row>
    <row r="330" spans="1:62" x14ac:dyDescent="0.25">
      <c r="A330">
        <v>1879446733</v>
      </c>
      <c r="B330">
        <v>357</v>
      </c>
      <c r="C330" t="s">
        <v>3408</v>
      </c>
      <c r="D330" t="s">
        <v>26</v>
      </c>
      <c r="I330" t="s">
        <v>2656</v>
      </c>
      <c r="L330">
        <v>1000</v>
      </c>
      <c r="M330" t="s">
        <v>3408</v>
      </c>
      <c r="Q330" t="s">
        <v>3409</v>
      </c>
      <c r="R330" t="s">
        <v>2694</v>
      </c>
      <c r="S330">
        <v>0</v>
      </c>
      <c r="T330">
        <v>129</v>
      </c>
      <c r="X330" t="str">
        <f t="shared" si="211"/>
        <v>[329] = {["ID"] = 1879446733; }; -- Surveyor of Dwarf-lands</v>
      </c>
      <c r="Y330" s="1" t="str">
        <f t="shared" si="213"/>
        <v>[329]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0">
        <f t="shared" si="209"/>
        <v>329</v>
      </c>
      <c r="AA330" t="str">
        <f t="shared" si="214"/>
        <v>[329] = {</v>
      </c>
      <c r="AB330" t="str">
        <f t="shared" si="215"/>
        <v xml:space="preserve">["ID"] = 1879446733; </v>
      </c>
      <c r="AC330" t="str">
        <f t="shared" si="216"/>
        <v xml:space="preserve">["ID"] = 1879446733; </v>
      </c>
      <c r="AD330" t="str">
        <f t="shared" si="217"/>
        <v/>
      </c>
      <c r="AE330" t="str">
        <f t="shared" si="218"/>
        <v/>
      </c>
      <c r="AF330" s="1" t="str">
        <f t="shared" si="219"/>
        <v xml:space="preserve">["SAVE_INDEX"] = 357; </v>
      </c>
      <c r="AG330">
        <f>VLOOKUP(D330,Type!A$2:B$16,2,FALSE)</f>
        <v>6</v>
      </c>
      <c r="AH330" t="str">
        <f t="shared" si="220"/>
        <v xml:space="preserve">["TYPE"] =  6; </v>
      </c>
      <c r="AI330" t="str">
        <f t="shared" si="221"/>
        <v xml:space="preserve">                      </v>
      </c>
      <c r="AJ330" t="str">
        <f>IF(AND(F330="Class",NOT(ISBLANK(E330))),VLOOKUP(E330,Class!A$1:B$12,2,FALSE),"")</f>
        <v/>
      </c>
      <c r="AK330" t="str">
        <f>IF(AND(F330="Vocation",NOT(ISBLANK(E330))),VLOOKUP(E330,Vocation!A$1:B$8,2,FALSE),"")</f>
        <v/>
      </c>
      <c r="AL330" t="str">
        <f>IF(AND(F330="Race",NOT(ISBLANK(E330))),VLOOKUP(E330,Race!A$1:B$9,2,),"")</f>
        <v/>
      </c>
      <c r="AM330" t="str">
        <f t="shared" si="222"/>
        <v xml:space="preserve">  0</v>
      </c>
      <c r="AN330" t="str">
        <f t="shared" si="223"/>
        <v xml:space="preserve">["SUBTYPE"] =   0; </v>
      </c>
      <c r="AO330" t="str">
        <f>IF(NOT(ISBLANK(G330)),VLOOKUP(G330,Type!D$2:E$6,2,FALSE),"")</f>
        <v/>
      </c>
      <c r="AP330" t="str">
        <f t="shared" si="224"/>
        <v xml:space="preserve">            </v>
      </c>
      <c r="AQ330" t="str">
        <f t="shared" si="225"/>
        <v xml:space="preserve">["LEGENDARY"] = true; </v>
      </c>
      <c r="AR330" t="str">
        <f t="shared" si="226"/>
        <v/>
      </c>
      <c r="AS330" t="str">
        <f t="shared" si="227"/>
        <v>1000</v>
      </c>
      <c r="AT330" t="str">
        <f t="shared" si="228"/>
        <v xml:space="preserve">["VXP"] = 1000; </v>
      </c>
      <c r="AU330" t="str">
        <f t="shared" si="229"/>
        <v>0</v>
      </c>
      <c r="AV330" t="str">
        <f t="shared" si="230"/>
        <v xml:space="preserve">["LP"] =  0; </v>
      </c>
      <c r="AW330" t="str">
        <f t="shared" si="231"/>
        <v>0</v>
      </c>
      <c r="AX330" t="str">
        <f t="shared" si="232"/>
        <v xml:space="preserve">["REP"] =     0; </v>
      </c>
      <c r="AY330">
        <f>IF(LEN(P330)&gt;0,VLOOKUP(P330,Faction!A$2:B$77,2,FALSE),1)</f>
        <v>1</v>
      </c>
      <c r="AZ330" t="str">
        <f t="shared" si="233"/>
        <v xml:space="preserve">["FACTION"] =  1; </v>
      </c>
      <c r="BA330" t="str">
        <f t="shared" si="212"/>
        <v/>
      </c>
      <c r="BB330" t="str">
        <f t="shared" si="234"/>
        <v xml:space="preserve">["MIN_LVL"] = "129"; </v>
      </c>
      <c r="BC330" t="str">
        <f t="shared" si="235"/>
        <v xml:space="preserve">                  </v>
      </c>
      <c r="BD330" t="str">
        <f t="shared" si="236"/>
        <v xml:space="preserve">["NAME"] = { ["EN"] = "Surveyor of Dwarf-lands"; }; </v>
      </c>
      <c r="BE330" t="str">
        <f t="shared" si="237"/>
        <v xml:space="preserve">["LORE"] = { ["EN"] = "This deed is for Legendary Servers."; }; </v>
      </c>
      <c r="BF330" t="str">
        <f t="shared" si="238"/>
        <v xml:space="preserve">["SUMMARY"] = { ["EN"] = "Adventure to Level 130"; }; </v>
      </c>
      <c r="BG330" t="str">
        <f t="shared" si="239"/>
        <v xml:space="preserve">["TITLE"] = { ["EN"] = "Surveyor of Dwarf-lands"; }; </v>
      </c>
      <c r="BH330" t="str">
        <f t="shared" si="240"/>
        <v/>
      </c>
      <c r="BI330" t="str">
        <f t="shared" si="241"/>
        <v/>
      </c>
      <c r="BJ330" t="str">
        <f t="shared" si="210"/>
        <v>};</v>
      </c>
    </row>
    <row r="331" spans="1:62" x14ac:dyDescent="0.25">
      <c r="C331" s="2" t="s">
        <v>2334</v>
      </c>
      <c r="D331" s="2" t="s">
        <v>812</v>
      </c>
      <c r="V331">
        <v>153</v>
      </c>
      <c r="X331" t="str">
        <f t="shared" si="211"/>
        <v>[330] = {["CAT_ID"] = 153; }; -- Not Actively Achievable</v>
      </c>
      <c r="Y331" s="1" t="str">
        <f t="shared" si="213"/>
        <v>[330] = {                                           ["TYPE"] = 14;                       ["SUBTYPE"] =   0;                                   ["VXP"] =    0; ["LP"] =  0; ["REP"] =     0; ["FACTION"] =  1;                                        ["NAME"] = { ["EN"] = "Not Actively Achievable"; }; };</v>
      </c>
      <c r="Z331">
        <f t="shared" si="209"/>
        <v>330</v>
      </c>
      <c r="AA331" t="str">
        <f t="shared" si="214"/>
        <v>[330] = {</v>
      </c>
      <c r="AB331" t="str">
        <f t="shared" si="215"/>
        <v xml:space="preserve">                     </v>
      </c>
      <c r="AC331" t="str">
        <f t="shared" si="216"/>
        <v/>
      </c>
      <c r="AD331" t="str">
        <f t="shared" si="217"/>
        <v xml:space="preserve">["CAT_ID"] = 153; </v>
      </c>
      <c r="AE331" t="str">
        <f t="shared" si="218"/>
        <v/>
      </c>
      <c r="AF331" s="1" t="str">
        <f t="shared" si="219"/>
        <v xml:space="preserve">                      </v>
      </c>
      <c r="AG331">
        <f>VLOOKUP(D331,Type!A$2:B$16,2,FALSE)</f>
        <v>14</v>
      </c>
      <c r="AH331" t="str">
        <f t="shared" si="220"/>
        <v xml:space="preserve">["TYPE"] = 14; </v>
      </c>
      <c r="AI331" t="str">
        <f t="shared" si="221"/>
        <v xml:space="preserve">                      </v>
      </c>
      <c r="AJ331" t="str">
        <f>IF(AND(F331="Class",NOT(ISBLANK(E331))),VLOOKUP(E331,Class!A$1:B$12,2,FALSE),"")</f>
        <v/>
      </c>
      <c r="AK331" t="str">
        <f>IF(AND(F331="Vocation",NOT(ISBLANK(E331))),VLOOKUP(E331,Vocation!A$1:B$8,2,FALSE),"")</f>
        <v/>
      </c>
      <c r="AL331" t="str">
        <f>IF(AND(F331="Race",NOT(ISBLANK(E331))),VLOOKUP(E331,Race!A$1:B$9,2,),"")</f>
        <v/>
      </c>
      <c r="AM331" t="str">
        <f t="shared" si="222"/>
        <v xml:space="preserve">  0</v>
      </c>
      <c r="AN331" t="str">
        <f t="shared" si="223"/>
        <v xml:space="preserve">["SUBTYPE"] =   0; </v>
      </c>
      <c r="AO331" t="str">
        <f>IF(NOT(ISBLANK(G331)),VLOOKUP(G331,Type!D$2:E$6,2,FALSE),"")</f>
        <v/>
      </c>
      <c r="AP331" t="str">
        <f t="shared" si="224"/>
        <v xml:space="preserve">            </v>
      </c>
      <c r="AQ331" t="str">
        <f t="shared" si="225"/>
        <v xml:space="preserve">                      </v>
      </c>
      <c r="AR331" t="str">
        <f t="shared" si="226"/>
        <v/>
      </c>
      <c r="AS331" t="str">
        <f t="shared" si="227"/>
        <v>0</v>
      </c>
      <c r="AT331" t="str">
        <f t="shared" si="228"/>
        <v xml:space="preserve">["VXP"] =    0; </v>
      </c>
      <c r="AU331" t="str">
        <f t="shared" si="229"/>
        <v>0</v>
      </c>
      <c r="AV331" t="str">
        <f t="shared" si="230"/>
        <v xml:space="preserve">["LP"] =  0; </v>
      </c>
      <c r="AW331" t="str">
        <f t="shared" si="231"/>
        <v>0</v>
      </c>
      <c r="AX331" t="str">
        <f t="shared" si="232"/>
        <v xml:space="preserve">["REP"] =     0; </v>
      </c>
      <c r="AY331">
        <f>IF(LEN(P331)&gt;0,VLOOKUP(P331,Faction!A$2:B$77,2,FALSE),1)</f>
        <v>1</v>
      </c>
      <c r="AZ331" t="str">
        <f t="shared" si="233"/>
        <v xml:space="preserve">["FACTION"] =  1; </v>
      </c>
      <c r="BA331" t="str">
        <f t="shared" si="212"/>
        <v/>
      </c>
      <c r="BB331" t="str">
        <f t="shared" si="234"/>
        <v xml:space="preserve">                     </v>
      </c>
      <c r="BC331" t="str">
        <f t="shared" si="235"/>
        <v xml:space="preserve">                  </v>
      </c>
      <c r="BD331" t="str">
        <f t="shared" si="236"/>
        <v xml:space="preserve">["NAME"] = { ["EN"] = "Not Actively Achievable"; }; </v>
      </c>
      <c r="BE331" t="str">
        <f t="shared" si="237"/>
        <v/>
      </c>
      <c r="BF331" t="str">
        <f t="shared" si="238"/>
        <v/>
      </c>
      <c r="BG331" t="str">
        <f t="shared" si="239"/>
        <v/>
      </c>
      <c r="BH331" t="str">
        <f t="shared" si="240"/>
        <v/>
      </c>
      <c r="BI331" t="str">
        <f t="shared" si="241"/>
        <v/>
      </c>
      <c r="BJ331" t="str">
        <f t="shared" si="210"/>
        <v>};</v>
      </c>
    </row>
    <row r="332" spans="1:62" x14ac:dyDescent="0.25">
      <c r="C332" s="2" t="s">
        <v>815</v>
      </c>
      <c r="D332" s="2" t="s">
        <v>812</v>
      </c>
      <c r="S332">
        <v>0</v>
      </c>
      <c r="U332">
        <v>20</v>
      </c>
      <c r="V332">
        <v>130</v>
      </c>
      <c r="X332" t="str">
        <f t="shared" si="211"/>
        <v>[331] = {["CAT_ID"] = 130; }; -- Avoiding Defeat</v>
      </c>
      <c r="Y332" s="1" t="str">
        <f t="shared" si="213"/>
        <v>[331] = {                                           ["TYPE"] = 14;                       ["SUBTYPE"] =   0;                                   ["VXP"] =    0; ["LP"] =  0; ["REP"] =     0; ["FACTION"] =  1;                      ["MAX_LVL"] = 20; ["NAME"] = { ["EN"] = "Avoiding Defeat"; }; };</v>
      </c>
      <c r="Z332">
        <f t="shared" si="209"/>
        <v>331</v>
      </c>
      <c r="AA332" t="str">
        <f t="shared" si="214"/>
        <v>[331] = {</v>
      </c>
      <c r="AB332" t="str">
        <f t="shared" si="215"/>
        <v xml:space="preserve">                     </v>
      </c>
      <c r="AC332" t="str">
        <f t="shared" si="216"/>
        <v/>
      </c>
      <c r="AD332" t="str">
        <f t="shared" si="217"/>
        <v xml:space="preserve">["CAT_ID"] = 130; </v>
      </c>
      <c r="AE332" t="str">
        <f t="shared" si="218"/>
        <v/>
      </c>
      <c r="AF332" s="1" t="str">
        <f t="shared" si="219"/>
        <v xml:space="preserve">                      </v>
      </c>
      <c r="AG332">
        <f>VLOOKUP(D332,Type!A$2:B$16,2,FALSE)</f>
        <v>14</v>
      </c>
      <c r="AH332" t="str">
        <f t="shared" si="220"/>
        <v xml:space="preserve">["TYPE"] = 14; </v>
      </c>
      <c r="AI332" t="str">
        <f t="shared" si="221"/>
        <v xml:space="preserve">                      </v>
      </c>
      <c r="AJ332" t="str">
        <f>IF(AND(F332="Class",NOT(ISBLANK(E332))),VLOOKUP(E332,Class!A$1:B$12,2,FALSE),"")</f>
        <v/>
      </c>
      <c r="AK332" t="str">
        <f>IF(AND(F332="Vocation",NOT(ISBLANK(E332))),VLOOKUP(E332,Vocation!A$1:B$8,2,FALSE),"")</f>
        <v/>
      </c>
      <c r="AL332" t="str">
        <f>IF(AND(F332="Race",NOT(ISBLANK(E332))),VLOOKUP(E332,Race!A$1:B$9,2,),"")</f>
        <v/>
      </c>
      <c r="AM332" t="str">
        <f t="shared" si="222"/>
        <v xml:space="preserve">  0</v>
      </c>
      <c r="AN332" t="str">
        <f t="shared" si="223"/>
        <v xml:space="preserve">["SUBTYPE"] =   0; </v>
      </c>
      <c r="AO332" t="str">
        <f>IF(NOT(ISBLANK(G332)),VLOOKUP(G332,Type!D$2:E$6,2,FALSE),"")</f>
        <v/>
      </c>
      <c r="AP332" t="str">
        <f t="shared" si="224"/>
        <v xml:space="preserve">            </v>
      </c>
      <c r="AQ332" t="str">
        <f t="shared" si="225"/>
        <v xml:space="preserve">                      </v>
      </c>
      <c r="AR332" t="str">
        <f t="shared" si="226"/>
        <v/>
      </c>
      <c r="AS332" t="str">
        <f t="shared" si="227"/>
        <v>0</v>
      </c>
      <c r="AT332" t="str">
        <f t="shared" si="228"/>
        <v xml:space="preserve">["VXP"] =    0; </v>
      </c>
      <c r="AU332" t="str">
        <f t="shared" si="229"/>
        <v>0</v>
      </c>
      <c r="AV332" t="str">
        <f t="shared" si="230"/>
        <v xml:space="preserve">["LP"] =  0; </v>
      </c>
      <c r="AW332" t="str">
        <f t="shared" si="231"/>
        <v>0</v>
      </c>
      <c r="AX332" t="str">
        <f t="shared" si="232"/>
        <v xml:space="preserve">["REP"] =     0; </v>
      </c>
      <c r="AY332">
        <f>IF(LEN(P332)&gt;0,VLOOKUP(P332,Faction!A$2:B$77,2,FALSE),1)</f>
        <v>1</v>
      </c>
      <c r="AZ332" t="str">
        <f t="shared" si="233"/>
        <v xml:space="preserve">["FACTION"] =  1; </v>
      </c>
      <c r="BA332" t="str">
        <f t="shared" si="212"/>
        <v/>
      </c>
      <c r="BB332" t="str">
        <f t="shared" si="234"/>
        <v xml:space="preserve">                     </v>
      </c>
      <c r="BC332" t="str">
        <f t="shared" si="235"/>
        <v xml:space="preserve">["MAX_LVL"] = 20; </v>
      </c>
      <c r="BD332" t="str">
        <f t="shared" si="236"/>
        <v xml:space="preserve">["NAME"] = { ["EN"] = "Avoiding Defeat"; }; </v>
      </c>
      <c r="BE332" t="str">
        <f t="shared" si="237"/>
        <v/>
      </c>
      <c r="BF332" t="str">
        <f t="shared" si="238"/>
        <v/>
      </c>
      <c r="BG332" t="str">
        <f t="shared" si="239"/>
        <v/>
      </c>
      <c r="BH332" t="str">
        <f t="shared" si="240"/>
        <v/>
      </c>
      <c r="BI332" t="str">
        <f t="shared" si="241"/>
        <v/>
      </c>
      <c r="BJ332" t="str">
        <f t="shared" si="210"/>
        <v>};</v>
      </c>
    </row>
    <row r="333" spans="1:62" x14ac:dyDescent="0.25">
      <c r="A333">
        <v>1879071650</v>
      </c>
      <c r="B333">
        <v>68</v>
      </c>
      <c r="C333" t="s">
        <v>712</v>
      </c>
      <c r="D333" t="s">
        <v>30</v>
      </c>
      <c r="G333" t="s">
        <v>2324</v>
      </c>
      <c r="M333" t="s">
        <v>722</v>
      </c>
      <c r="Q333" t="s">
        <v>717</v>
      </c>
      <c r="R333" t="s">
        <v>2138</v>
      </c>
      <c r="S333">
        <v>0</v>
      </c>
      <c r="U333">
        <v>20</v>
      </c>
      <c r="X333" t="str">
        <f t="shared" si="211"/>
        <v>[332] = {["ID"] = 1879071650; }; -- The Undying</v>
      </c>
      <c r="Y333" s="1" t="str">
        <f t="shared" si="213"/>
        <v>[332]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3">
        <f t="shared" si="209"/>
        <v>332</v>
      </c>
      <c r="AA333" t="str">
        <f t="shared" si="214"/>
        <v>[332] = {</v>
      </c>
      <c r="AB333" t="str">
        <f t="shared" si="215"/>
        <v xml:space="preserve">["ID"] = 1879071650; </v>
      </c>
      <c r="AC333" t="str">
        <f t="shared" si="216"/>
        <v xml:space="preserve">["ID"] = 1879071650; </v>
      </c>
      <c r="AD333" t="str">
        <f t="shared" si="217"/>
        <v/>
      </c>
      <c r="AE333" t="str">
        <f t="shared" si="218"/>
        <v/>
      </c>
      <c r="AF333" s="1" t="str">
        <f t="shared" si="219"/>
        <v xml:space="preserve">["SAVE_INDEX"] =  68; </v>
      </c>
      <c r="AG333">
        <f>VLOOKUP(D333,Type!A$2:B$16,2,FALSE)</f>
        <v>7</v>
      </c>
      <c r="AH333" t="str">
        <f t="shared" si="220"/>
        <v xml:space="preserve">["TYPE"] =  7; </v>
      </c>
      <c r="AI333" t="str">
        <f t="shared" si="221"/>
        <v xml:space="preserve">                      </v>
      </c>
      <c r="AJ333" t="str">
        <f>IF(AND(F333="Class",NOT(ISBLANK(E333))),VLOOKUP(E333,Class!A$1:B$12,2,FALSE),"")</f>
        <v/>
      </c>
      <c r="AK333" t="str">
        <f>IF(AND(F333="Vocation",NOT(ISBLANK(E333))),VLOOKUP(E333,Vocation!A$1:B$8,2,FALSE),"")</f>
        <v/>
      </c>
      <c r="AL333" t="str">
        <f>IF(AND(F333="Race",NOT(ISBLANK(E333))),VLOOKUP(E333,Race!A$1:B$9,2,),"")</f>
        <v/>
      </c>
      <c r="AM333" t="str">
        <f t="shared" si="222"/>
        <v xml:space="preserve">  0</v>
      </c>
      <c r="AN333" t="str">
        <f t="shared" si="223"/>
        <v xml:space="preserve">["SUBTYPE"] =   0; </v>
      </c>
      <c r="AO333">
        <f>IF(NOT(ISBLANK(G333)),VLOOKUP(G333,Type!D$2:E$6,2,FALSE),"")</f>
        <v>3</v>
      </c>
      <c r="AP333" t="str">
        <f t="shared" si="224"/>
        <v xml:space="preserve">["NA"] = 3; </v>
      </c>
      <c r="AQ333" t="str">
        <f t="shared" si="225"/>
        <v xml:space="preserve">                      </v>
      </c>
      <c r="AR333" t="str">
        <f t="shared" si="226"/>
        <v/>
      </c>
      <c r="AS333" t="str">
        <f t="shared" si="227"/>
        <v>0</v>
      </c>
      <c r="AT333" t="str">
        <f t="shared" si="228"/>
        <v xml:space="preserve">["VXP"] =    0; </v>
      </c>
      <c r="AU333" t="str">
        <f t="shared" si="229"/>
        <v>0</v>
      </c>
      <c r="AV333" t="str">
        <f t="shared" si="230"/>
        <v xml:space="preserve">["LP"] =  0; </v>
      </c>
      <c r="AW333" t="str">
        <f t="shared" si="231"/>
        <v>0</v>
      </c>
      <c r="AX333" t="str">
        <f t="shared" si="232"/>
        <v xml:space="preserve">["REP"] =     0; </v>
      </c>
      <c r="AY333">
        <f>IF(LEN(P333)&gt;0,VLOOKUP(P333,Faction!A$2:B$77,2,FALSE),1)</f>
        <v>1</v>
      </c>
      <c r="AZ333" t="str">
        <f t="shared" si="233"/>
        <v xml:space="preserve">["FACTION"] =  1; </v>
      </c>
      <c r="BA333" t="str">
        <f t="shared" si="212"/>
        <v/>
      </c>
      <c r="BB333" t="str">
        <f t="shared" si="234"/>
        <v xml:space="preserve">                     </v>
      </c>
      <c r="BC333" t="str">
        <f t="shared" si="235"/>
        <v xml:space="preserve">["MAX_LVL"] = 20; </v>
      </c>
      <c r="BD333" t="str">
        <f t="shared" si="236"/>
        <v xml:space="preserve">["NAME"] = { ["EN"] = "The Undying"; }; </v>
      </c>
      <c r="BE333" t="str">
        <f t="shared" si="237"/>
        <v xml:space="preserve">["LORE"] = { ["EN"] = "Achieve 20th level without falling in battle! Be warned - this is your final step along the path of the Survivor."; }; </v>
      </c>
      <c r="BF333" t="str">
        <f t="shared" si="238"/>
        <v xml:space="preserve">["SUMMARY"] = { ["EN"] = "Achieve 20th level without falling in battle!"; }; </v>
      </c>
      <c r="BG333" t="str">
        <f t="shared" si="239"/>
        <v xml:space="preserve">["TITLE"] = { ["EN"] = "the Undying"; }; </v>
      </c>
      <c r="BH333" t="str">
        <f t="shared" si="240"/>
        <v/>
      </c>
      <c r="BI333" t="str">
        <f t="shared" si="241"/>
        <v/>
      </c>
      <c r="BJ333" t="str">
        <f t="shared" si="210"/>
        <v>};</v>
      </c>
    </row>
    <row r="334" spans="1:62" x14ac:dyDescent="0.25">
      <c r="A334">
        <v>1879071649</v>
      </c>
      <c r="B334">
        <v>69</v>
      </c>
      <c r="C334" t="s">
        <v>711</v>
      </c>
      <c r="D334" t="s">
        <v>30</v>
      </c>
      <c r="G334" t="s">
        <v>2324</v>
      </c>
      <c r="M334" t="s">
        <v>721</v>
      </c>
      <c r="Q334" t="s">
        <v>716</v>
      </c>
      <c r="R334" t="s">
        <v>716</v>
      </c>
      <c r="S334">
        <v>1</v>
      </c>
      <c r="U334">
        <v>20</v>
      </c>
      <c r="X334" t="str">
        <f t="shared" si="211"/>
        <v>[333] = {["ID"] = 1879071649; ["TIER"] = 1; }; -- The Unscathed</v>
      </c>
      <c r="Y334" s="1" t="str">
        <f t="shared" si="213"/>
        <v>[333]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4">
        <f t="shared" si="209"/>
        <v>333</v>
      </c>
      <c r="AA334" t="str">
        <f t="shared" si="214"/>
        <v>[333] = {</v>
      </c>
      <c r="AB334" t="str">
        <f t="shared" si="215"/>
        <v xml:space="preserve">["ID"] = 1879071649; </v>
      </c>
      <c r="AC334" t="str">
        <f t="shared" si="216"/>
        <v xml:space="preserve">["ID"] = 1879071649; </v>
      </c>
      <c r="AD334" t="str">
        <f t="shared" si="217"/>
        <v/>
      </c>
      <c r="AE334" t="str">
        <f t="shared" si="218"/>
        <v/>
      </c>
      <c r="AF334" s="1" t="str">
        <f t="shared" si="219"/>
        <v xml:space="preserve">["SAVE_INDEX"] =  69; </v>
      </c>
      <c r="AG334">
        <f>VLOOKUP(D334,Type!A$2:B$16,2,FALSE)</f>
        <v>7</v>
      </c>
      <c r="AH334" t="str">
        <f t="shared" si="220"/>
        <v xml:space="preserve">["TYPE"] =  7; </v>
      </c>
      <c r="AI334" t="str">
        <f t="shared" si="221"/>
        <v xml:space="preserve">                      </v>
      </c>
      <c r="AJ334" t="str">
        <f>IF(AND(F334="Class",NOT(ISBLANK(E334))),VLOOKUP(E334,Class!A$1:B$12,2,FALSE),"")</f>
        <v/>
      </c>
      <c r="AK334" t="str">
        <f>IF(AND(F334="Vocation",NOT(ISBLANK(E334))),VLOOKUP(E334,Vocation!A$1:B$8,2,FALSE),"")</f>
        <v/>
      </c>
      <c r="AL334" t="str">
        <f>IF(AND(F334="Race",NOT(ISBLANK(E334))),VLOOKUP(E334,Race!A$1:B$9,2,),"")</f>
        <v/>
      </c>
      <c r="AM334" t="str">
        <f t="shared" si="222"/>
        <v xml:space="preserve">  0</v>
      </c>
      <c r="AN334" t="str">
        <f t="shared" si="223"/>
        <v xml:space="preserve">["SUBTYPE"] =   0; </v>
      </c>
      <c r="AO334">
        <f>IF(NOT(ISBLANK(G334)),VLOOKUP(G334,Type!D$2:E$6,2,FALSE),"")</f>
        <v>3</v>
      </c>
      <c r="AP334" t="str">
        <f t="shared" si="224"/>
        <v xml:space="preserve">["NA"] = 3; </v>
      </c>
      <c r="AQ334" t="str">
        <f t="shared" si="225"/>
        <v xml:space="preserve">                      </v>
      </c>
      <c r="AR334" t="str">
        <f t="shared" si="226"/>
        <v/>
      </c>
      <c r="AS334" t="str">
        <f t="shared" si="227"/>
        <v>0</v>
      </c>
      <c r="AT334" t="str">
        <f t="shared" si="228"/>
        <v xml:space="preserve">["VXP"] =    0; </v>
      </c>
      <c r="AU334" t="str">
        <f t="shared" si="229"/>
        <v>0</v>
      </c>
      <c r="AV334" t="str">
        <f t="shared" si="230"/>
        <v xml:space="preserve">["LP"] =  0; </v>
      </c>
      <c r="AW334" t="str">
        <f t="shared" si="231"/>
        <v>0</v>
      </c>
      <c r="AX334" t="str">
        <f t="shared" si="232"/>
        <v xml:space="preserve">["REP"] =     0; </v>
      </c>
      <c r="AY334">
        <f>IF(LEN(P334)&gt;0,VLOOKUP(P334,Faction!A$2:B$77,2,FALSE),1)</f>
        <v>1</v>
      </c>
      <c r="AZ334" t="str">
        <f t="shared" si="233"/>
        <v xml:space="preserve">["FACTION"] =  1; </v>
      </c>
      <c r="BA334" t="str">
        <f t="shared" si="212"/>
        <v xml:space="preserve">["TIER"] = 1; </v>
      </c>
      <c r="BB334" t="str">
        <f t="shared" si="234"/>
        <v xml:space="preserve">                     </v>
      </c>
      <c r="BC334" t="str">
        <f t="shared" si="235"/>
        <v xml:space="preserve">["MAX_LVL"] = 20; </v>
      </c>
      <c r="BD334" t="str">
        <f t="shared" si="236"/>
        <v xml:space="preserve">["NAME"] = { ["EN"] = "The Unscathed"; }; </v>
      </c>
      <c r="BE334" t="str">
        <f t="shared" si="237"/>
        <v xml:space="preserve">["LORE"] = { ["EN"] = "Achieve 17th level without falling in battle!"; }; </v>
      </c>
      <c r="BF334" t="str">
        <f t="shared" si="238"/>
        <v xml:space="preserve">["SUMMARY"] = { ["EN"] = "Achieve 17th level without falling in battle!"; }; </v>
      </c>
      <c r="BG334" t="str">
        <f t="shared" si="239"/>
        <v xml:space="preserve">["TITLE"] = { ["EN"] = "the Unscathed"; }; </v>
      </c>
      <c r="BH334" t="str">
        <f t="shared" si="240"/>
        <v/>
      </c>
      <c r="BI334" t="str">
        <f t="shared" si="241"/>
        <v/>
      </c>
      <c r="BJ334" t="str">
        <f t="shared" si="210"/>
        <v>};</v>
      </c>
    </row>
    <row r="335" spans="1:62" x14ac:dyDescent="0.25">
      <c r="A335">
        <v>1879071648</v>
      </c>
      <c r="B335">
        <v>70</v>
      </c>
      <c r="C335" t="s">
        <v>710</v>
      </c>
      <c r="D335" t="s">
        <v>30</v>
      </c>
      <c r="G335" t="s">
        <v>2324</v>
      </c>
      <c r="M335" t="s">
        <v>720</v>
      </c>
      <c r="Q335" t="s">
        <v>715</v>
      </c>
      <c r="R335" t="s">
        <v>715</v>
      </c>
      <c r="S335">
        <v>2</v>
      </c>
      <c r="U335">
        <v>20</v>
      </c>
      <c r="X335" t="str">
        <f t="shared" si="211"/>
        <v>[334] = {["ID"] = 1879071648; ["TIER"] = 2; }; -- The Indomitable</v>
      </c>
      <c r="Y335" s="1" t="str">
        <f t="shared" si="213"/>
        <v>[334]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5">
        <f t="shared" si="209"/>
        <v>334</v>
      </c>
      <c r="AA335" t="str">
        <f t="shared" si="214"/>
        <v>[334] = {</v>
      </c>
      <c r="AB335" t="str">
        <f t="shared" si="215"/>
        <v xml:space="preserve">["ID"] = 1879071648; </v>
      </c>
      <c r="AC335" t="str">
        <f t="shared" si="216"/>
        <v xml:space="preserve">["ID"] = 1879071648; </v>
      </c>
      <c r="AD335" t="str">
        <f t="shared" si="217"/>
        <v/>
      </c>
      <c r="AE335" t="str">
        <f t="shared" si="218"/>
        <v/>
      </c>
      <c r="AF335" s="1" t="str">
        <f t="shared" si="219"/>
        <v xml:space="preserve">["SAVE_INDEX"] =  70; </v>
      </c>
      <c r="AG335">
        <f>VLOOKUP(D335,Type!A$2:B$16,2,FALSE)</f>
        <v>7</v>
      </c>
      <c r="AH335" t="str">
        <f t="shared" si="220"/>
        <v xml:space="preserve">["TYPE"] =  7; </v>
      </c>
      <c r="AI335" t="str">
        <f t="shared" si="221"/>
        <v xml:space="preserve">                      </v>
      </c>
      <c r="AJ335" t="str">
        <f>IF(AND(F335="Class",NOT(ISBLANK(E335))),VLOOKUP(E335,Class!A$1:B$12,2,FALSE),"")</f>
        <v/>
      </c>
      <c r="AK335" t="str">
        <f>IF(AND(F335="Vocation",NOT(ISBLANK(E335))),VLOOKUP(E335,Vocation!A$1:B$8,2,FALSE),"")</f>
        <v/>
      </c>
      <c r="AL335" t="str">
        <f>IF(AND(F335="Race",NOT(ISBLANK(E335))),VLOOKUP(E335,Race!A$1:B$9,2,),"")</f>
        <v/>
      </c>
      <c r="AM335" t="str">
        <f t="shared" si="222"/>
        <v xml:space="preserve">  0</v>
      </c>
      <c r="AN335" t="str">
        <f t="shared" si="223"/>
        <v xml:space="preserve">["SUBTYPE"] =   0; </v>
      </c>
      <c r="AO335">
        <f>IF(NOT(ISBLANK(G335)),VLOOKUP(G335,Type!D$2:E$6,2,FALSE),"")</f>
        <v>3</v>
      </c>
      <c r="AP335" t="str">
        <f t="shared" si="224"/>
        <v xml:space="preserve">["NA"] = 3; </v>
      </c>
      <c r="AQ335" t="str">
        <f t="shared" si="225"/>
        <v xml:space="preserve">                      </v>
      </c>
      <c r="AR335" t="str">
        <f t="shared" si="226"/>
        <v/>
      </c>
      <c r="AS335" t="str">
        <f t="shared" si="227"/>
        <v>0</v>
      </c>
      <c r="AT335" t="str">
        <f t="shared" si="228"/>
        <v xml:space="preserve">["VXP"] =    0; </v>
      </c>
      <c r="AU335" t="str">
        <f t="shared" si="229"/>
        <v>0</v>
      </c>
      <c r="AV335" t="str">
        <f t="shared" si="230"/>
        <v xml:space="preserve">["LP"] =  0; </v>
      </c>
      <c r="AW335" t="str">
        <f t="shared" si="231"/>
        <v>0</v>
      </c>
      <c r="AX335" t="str">
        <f t="shared" si="232"/>
        <v xml:space="preserve">["REP"] =     0; </v>
      </c>
      <c r="AY335">
        <f>IF(LEN(P335)&gt;0,VLOOKUP(P335,Faction!A$2:B$77,2,FALSE),1)</f>
        <v>1</v>
      </c>
      <c r="AZ335" t="str">
        <f t="shared" si="233"/>
        <v xml:space="preserve">["FACTION"] =  1; </v>
      </c>
      <c r="BA335" t="str">
        <f t="shared" si="212"/>
        <v xml:space="preserve">["TIER"] = 2; </v>
      </c>
      <c r="BB335" t="str">
        <f t="shared" si="234"/>
        <v xml:space="preserve">                     </v>
      </c>
      <c r="BC335" t="str">
        <f t="shared" si="235"/>
        <v xml:space="preserve">["MAX_LVL"] = 20; </v>
      </c>
      <c r="BD335" t="str">
        <f t="shared" si="236"/>
        <v xml:space="preserve">["NAME"] = { ["EN"] = "The Indomitable"; }; </v>
      </c>
      <c r="BE335" t="str">
        <f t="shared" si="237"/>
        <v xml:space="preserve">["LORE"] = { ["EN"] = "Achieve 14th level without falling in battle!"; }; </v>
      </c>
      <c r="BF335" t="str">
        <f t="shared" si="238"/>
        <v xml:space="preserve">["SUMMARY"] = { ["EN"] = "Achieve 14th level without falling in battle!"; }; </v>
      </c>
      <c r="BG335" t="str">
        <f t="shared" si="239"/>
        <v xml:space="preserve">["TITLE"] = { ["EN"] = "the Indomitable"; }; </v>
      </c>
      <c r="BH335" t="str">
        <f t="shared" si="240"/>
        <v/>
      </c>
      <c r="BI335" t="str">
        <f t="shared" si="241"/>
        <v/>
      </c>
      <c r="BJ335" t="str">
        <f t="shared" si="210"/>
        <v>};</v>
      </c>
    </row>
    <row r="336" spans="1:62" x14ac:dyDescent="0.25">
      <c r="A336">
        <v>1879071647</v>
      </c>
      <c r="B336">
        <v>71</v>
      </c>
      <c r="C336" t="s">
        <v>709</v>
      </c>
      <c r="D336" t="s">
        <v>30</v>
      </c>
      <c r="G336" t="s">
        <v>2324</v>
      </c>
      <c r="M336" t="s">
        <v>719</v>
      </c>
      <c r="Q336" t="s">
        <v>714</v>
      </c>
      <c r="R336" t="s">
        <v>714</v>
      </c>
      <c r="S336">
        <v>3</v>
      </c>
      <c r="U336">
        <v>20</v>
      </c>
      <c r="X336" t="str">
        <f t="shared" si="211"/>
        <v>[335] = {["ID"] = 1879071647; ["TIER"] = 3; }; -- The Undefeated</v>
      </c>
      <c r="Y336" s="1" t="str">
        <f t="shared" si="213"/>
        <v>[335]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6">
        <f t="shared" si="209"/>
        <v>335</v>
      </c>
      <c r="AA336" t="str">
        <f t="shared" si="214"/>
        <v>[335] = {</v>
      </c>
      <c r="AB336" t="str">
        <f t="shared" si="215"/>
        <v xml:space="preserve">["ID"] = 1879071647; </v>
      </c>
      <c r="AC336" t="str">
        <f t="shared" si="216"/>
        <v xml:space="preserve">["ID"] = 1879071647; </v>
      </c>
      <c r="AD336" t="str">
        <f t="shared" si="217"/>
        <v/>
      </c>
      <c r="AE336" t="str">
        <f t="shared" si="218"/>
        <v/>
      </c>
      <c r="AF336" s="1" t="str">
        <f t="shared" si="219"/>
        <v xml:space="preserve">["SAVE_INDEX"] =  71; </v>
      </c>
      <c r="AG336">
        <f>VLOOKUP(D336,Type!A$2:B$16,2,FALSE)</f>
        <v>7</v>
      </c>
      <c r="AH336" t="str">
        <f t="shared" si="220"/>
        <v xml:space="preserve">["TYPE"] =  7; </v>
      </c>
      <c r="AI336" t="str">
        <f t="shared" si="221"/>
        <v xml:space="preserve">                      </v>
      </c>
      <c r="AJ336" t="str">
        <f>IF(AND(F336="Class",NOT(ISBLANK(E336))),VLOOKUP(E336,Class!A$1:B$12,2,FALSE),"")</f>
        <v/>
      </c>
      <c r="AK336" t="str">
        <f>IF(AND(F336="Vocation",NOT(ISBLANK(E336))),VLOOKUP(E336,Vocation!A$1:B$8,2,FALSE),"")</f>
        <v/>
      </c>
      <c r="AL336" t="str">
        <f>IF(AND(F336="Race",NOT(ISBLANK(E336))),VLOOKUP(E336,Race!A$1:B$9,2,),"")</f>
        <v/>
      </c>
      <c r="AM336" t="str">
        <f t="shared" si="222"/>
        <v xml:space="preserve">  0</v>
      </c>
      <c r="AN336" t="str">
        <f t="shared" si="223"/>
        <v xml:space="preserve">["SUBTYPE"] =   0; </v>
      </c>
      <c r="AO336">
        <f>IF(NOT(ISBLANK(G336)),VLOOKUP(G336,Type!D$2:E$6,2,FALSE),"")</f>
        <v>3</v>
      </c>
      <c r="AP336" t="str">
        <f t="shared" si="224"/>
        <v xml:space="preserve">["NA"] = 3; </v>
      </c>
      <c r="AQ336" t="str">
        <f t="shared" si="225"/>
        <v xml:space="preserve">                      </v>
      </c>
      <c r="AR336" t="str">
        <f t="shared" si="226"/>
        <v/>
      </c>
      <c r="AS336" t="str">
        <f t="shared" si="227"/>
        <v>0</v>
      </c>
      <c r="AT336" t="str">
        <f t="shared" si="228"/>
        <v xml:space="preserve">["VXP"] =    0; </v>
      </c>
      <c r="AU336" t="str">
        <f t="shared" si="229"/>
        <v>0</v>
      </c>
      <c r="AV336" t="str">
        <f t="shared" si="230"/>
        <v xml:space="preserve">["LP"] =  0; </v>
      </c>
      <c r="AW336" t="str">
        <f t="shared" si="231"/>
        <v>0</v>
      </c>
      <c r="AX336" t="str">
        <f t="shared" si="232"/>
        <v xml:space="preserve">["REP"] =     0; </v>
      </c>
      <c r="AY336">
        <f>IF(LEN(P336)&gt;0,VLOOKUP(P336,Faction!A$2:B$77,2,FALSE),1)</f>
        <v>1</v>
      </c>
      <c r="AZ336" t="str">
        <f t="shared" si="233"/>
        <v xml:space="preserve">["FACTION"] =  1; </v>
      </c>
      <c r="BA336" t="str">
        <f t="shared" si="212"/>
        <v xml:space="preserve">["TIER"] = 3; </v>
      </c>
      <c r="BB336" t="str">
        <f t="shared" si="234"/>
        <v xml:space="preserve">                     </v>
      </c>
      <c r="BC336" t="str">
        <f t="shared" si="235"/>
        <v xml:space="preserve">["MAX_LVL"] = 20; </v>
      </c>
      <c r="BD336" t="str">
        <f t="shared" si="236"/>
        <v xml:space="preserve">["NAME"] = { ["EN"] = "The Undefeated"; }; </v>
      </c>
      <c r="BE336" t="str">
        <f t="shared" si="237"/>
        <v xml:space="preserve">["LORE"] = { ["EN"] = "Achieve 10th level without falling in battle!"; }; </v>
      </c>
      <c r="BF336" t="str">
        <f t="shared" si="238"/>
        <v xml:space="preserve">["SUMMARY"] = { ["EN"] = "Achieve 10th level without falling in battle!"; }; </v>
      </c>
      <c r="BG336" t="str">
        <f t="shared" si="239"/>
        <v xml:space="preserve">["TITLE"] = { ["EN"] = "the Undefeated"; }; </v>
      </c>
      <c r="BH336" t="str">
        <f t="shared" si="240"/>
        <v/>
      </c>
      <c r="BI336" t="str">
        <f t="shared" si="241"/>
        <v/>
      </c>
      <c r="BJ336" t="str">
        <f t="shared" si="210"/>
        <v>};</v>
      </c>
    </row>
    <row r="337" spans="1:62" x14ac:dyDescent="0.25">
      <c r="A337">
        <v>1879071646</v>
      </c>
      <c r="B337">
        <v>72</v>
      </c>
      <c r="C337" t="s">
        <v>708</v>
      </c>
      <c r="D337" t="s">
        <v>30</v>
      </c>
      <c r="G337" t="s">
        <v>2324</v>
      </c>
      <c r="M337" t="s">
        <v>718</v>
      </c>
      <c r="Q337" t="s">
        <v>713</v>
      </c>
      <c r="R337" t="s">
        <v>713</v>
      </c>
      <c r="S337">
        <v>4</v>
      </c>
      <c r="U337">
        <v>20</v>
      </c>
      <c r="X337" t="str">
        <f t="shared" si="211"/>
        <v>[336] = {["ID"] = 1879071646; ["TIER"] = 4; }; -- The Wary</v>
      </c>
      <c r="Y337" s="1" t="str">
        <f t="shared" si="213"/>
        <v>[336] = {["ID"] = 1879071646; ["SAVE_INDEX"] =  72; ["TYPE"] =  7;                       ["SUBTYPE"] =   0; ["NA"] = 3;                       ["VXP"] =    0; ["LP"] =  0; ["REP"] =     0; ["FACTION"] =  1; ["TIER"] = 4;                      ["MAX_LVL"] = 20; ["NAME"] = { ["EN"] = "The Wary"; }; ["LORE"] = { ["EN"] = "Achieve 5th level without falling in battle!"; }; ["SUMMARY"] = { ["EN"] = "Achieve 5th level without falling in battle!"; }; ["TITLE"] = { ["EN"] = "the Wary"; }; };</v>
      </c>
      <c r="Z337">
        <f t="shared" si="209"/>
        <v>336</v>
      </c>
      <c r="AA337" t="str">
        <f t="shared" si="214"/>
        <v>[336] = {</v>
      </c>
      <c r="AB337" t="str">
        <f t="shared" si="215"/>
        <v xml:space="preserve">["ID"] = 1879071646; </v>
      </c>
      <c r="AC337" t="str">
        <f t="shared" si="216"/>
        <v xml:space="preserve">["ID"] = 1879071646; </v>
      </c>
      <c r="AD337" t="str">
        <f t="shared" si="217"/>
        <v/>
      </c>
      <c r="AE337" t="str">
        <f t="shared" si="218"/>
        <v/>
      </c>
      <c r="AF337" s="1" t="str">
        <f t="shared" si="219"/>
        <v xml:space="preserve">["SAVE_INDEX"] =  72; </v>
      </c>
      <c r="AG337">
        <f>VLOOKUP(D337,Type!A$2:B$16,2,FALSE)</f>
        <v>7</v>
      </c>
      <c r="AH337" t="str">
        <f t="shared" si="220"/>
        <v xml:space="preserve">["TYPE"] =  7; </v>
      </c>
      <c r="AI337" t="str">
        <f t="shared" si="221"/>
        <v xml:space="preserve">                      </v>
      </c>
      <c r="AJ337" t="str">
        <f>IF(AND(F337="Class",NOT(ISBLANK(E337))),VLOOKUP(E337,Class!A$1:B$12,2,FALSE),"")</f>
        <v/>
      </c>
      <c r="AK337" t="str">
        <f>IF(AND(F337="Vocation",NOT(ISBLANK(E337))),VLOOKUP(E337,Vocation!A$1:B$8,2,FALSE),"")</f>
        <v/>
      </c>
      <c r="AL337" t="str">
        <f>IF(AND(F337="Race",NOT(ISBLANK(E337))),VLOOKUP(E337,Race!A$1:B$9,2,),"")</f>
        <v/>
      </c>
      <c r="AM337" t="str">
        <f t="shared" si="222"/>
        <v xml:space="preserve">  0</v>
      </c>
      <c r="AN337" t="str">
        <f t="shared" si="223"/>
        <v xml:space="preserve">["SUBTYPE"] =   0; </v>
      </c>
      <c r="AO337">
        <f>IF(NOT(ISBLANK(G337)),VLOOKUP(G337,Type!D$2:E$6,2,FALSE),"")</f>
        <v>3</v>
      </c>
      <c r="AP337" t="str">
        <f t="shared" si="224"/>
        <v xml:space="preserve">["NA"] = 3; </v>
      </c>
      <c r="AQ337" t="str">
        <f t="shared" si="225"/>
        <v xml:space="preserve">                      </v>
      </c>
      <c r="AR337" t="str">
        <f t="shared" si="226"/>
        <v/>
      </c>
      <c r="AS337" t="str">
        <f t="shared" si="227"/>
        <v>0</v>
      </c>
      <c r="AT337" t="str">
        <f t="shared" si="228"/>
        <v xml:space="preserve">["VXP"] =    0; </v>
      </c>
      <c r="AU337" t="str">
        <f t="shared" si="229"/>
        <v>0</v>
      </c>
      <c r="AV337" t="str">
        <f t="shared" si="230"/>
        <v xml:space="preserve">["LP"] =  0; </v>
      </c>
      <c r="AW337" t="str">
        <f t="shared" si="231"/>
        <v>0</v>
      </c>
      <c r="AX337" t="str">
        <f t="shared" si="232"/>
        <v xml:space="preserve">["REP"] =     0; </v>
      </c>
      <c r="AY337">
        <f>IF(LEN(P337)&gt;0,VLOOKUP(P337,Faction!A$2:B$77,2,FALSE),1)</f>
        <v>1</v>
      </c>
      <c r="AZ337" t="str">
        <f t="shared" si="233"/>
        <v xml:space="preserve">["FACTION"] =  1; </v>
      </c>
      <c r="BA337" t="str">
        <f t="shared" si="212"/>
        <v xml:space="preserve">["TIER"] = 4; </v>
      </c>
      <c r="BB337" t="str">
        <f t="shared" si="234"/>
        <v xml:space="preserve">                     </v>
      </c>
      <c r="BC337" t="str">
        <f t="shared" si="235"/>
        <v xml:space="preserve">["MAX_LVL"] = 20; </v>
      </c>
      <c r="BD337" t="str">
        <f t="shared" si="236"/>
        <v xml:space="preserve">["NAME"] = { ["EN"] = "The Wary"; }; </v>
      </c>
      <c r="BE337" t="str">
        <f t="shared" si="237"/>
        <v xml:space="preserve">["LORE"] = { ["EN"] = "Achieve 5th level without falling in battle!"; }; </v>
      </c>
      <c r="BF337" t="str">
        <f t="shared" si="238"/>
        <v xml:space="preserve">["SUMMARY"] = { ["EN"] = "Achieve 5th level without falling in battle!"; }; </v>
      </c>
      <c r="BG337" t="str">
        <f t="shared" si="239"/>
        <v xml:space="preserve">["TITLE"] = { ["EN"] = "the Wary"; }; </v>
      </c>
      <c r="BH337" t="str">
        <f t="shared" si="240"/>
        <v/>
      </c>
      <c r="BI337" t="str">
        <f t="shared" si="241"/>
        <v/>
      </c>
      <c r="BJ337" t="str">
        <f t="shared" si="210"/>
        <v>};</v>
      </c>
    </row>
    <row r="338" spans="1:62" x14ac:dyDescent="0.25">
      <c r="C338" s="3" t="s">
        <v>2439</v>
      </c>
      <c r="D338" s="2" t="s">
        <v>812</v>
      </c>
      <c r="S338">
        <v>1</v>
      </c>
      <c r="V338">
        <v>154</v>
      </c>
      <c r="X338" t="str">
        <f t="shared" si="211"/>
        <v>[337] = {["CAT_ID"] = 154; ["TIER"] = 1; }; -- - Account Anniversary -</v>
      </c>
      <c r="Y338" s="1" t="str">
        <f t="shared" si="213"/>
        <v>[337] = {                                           ["TYPE"] = 14;                       ["SUBTYPE"] =   0;                                   ["VXP"] =    0; ["LP"] =  0; ["REP"] =     0; ["FACTION"] =  1; ["TIER"] = 1;                                        ["NAME"] = { ["EN"] = "- Account Anniversary -"; }; };</v>
      </c>
      <c r="Z338">
        <f t="shared" si="209"/>
        <v>337</v>
      </c>
      <c r="AA338" t="str">
        <f t="shared" si="214"/>
        <v>[337] = {</v>
      </c>
      <c r="AB338" t="str">
        <f t="shared" si="215"/>
        <v xml:space="preserve">                     </v>
      </c>
      <c r="AC338" t="str">
        <f t="shared" si="216"/>
        <v/>
      </c>
      <c r="AD338" t="str">
        <f t="shared" si="217"/>
        <v xml:space="preserve">["CAT_ID"] = 154; </v>
      </c>
      <c r="AE338" t="str">
        <f t="shared" si="218"/>
        <v/>
      </c>
      <c r="AF338" s="1" t="str">
        <f t="shared" si="219"/>
        <v xml:space="preserve">                      </v>
      </c>
      <c r="AG338">
        <f>VLOOKUP(D338,Type!A$2:B$16,2,FALSE)</f>
        <v>14</v>
      </c>
      <c r="AH338" t="str">
        <f t="shared" si="220"/>
        <v xml:space="preserve">["TYPE"] = 14; </v>
      </c>
      <c r="AI338" t="str">
        <f t="shared" si="221"/>
        <v xml:space="preserve">                      </v>
      </c>
      <c r="AJ338" t="str">
        <f>IF(AND(F338="Class",NOT(ISBLANK(E338))),VLOOKUP(E338,Class!A$1:B$12,2,FALSE),"")</f>
        <v/>
      </c>
      <c r="AK338" t="str">
        <f>IF(AND(F338="Vocation",NOT(ISBLANK(E338))),VLOOKUP(E338,Vocation!A$1:B$8,2,FALSE),"")</f>
        <v/>
      </c>
      <c r="AL338" t="str">
        <f>IF(AND(F338="Race",NOT(ISBLANK(E338))),VLOOKUP(E338,Race!A$1:B$9,2,),"")</f>
        <v/>
      </c>
      <c r="AM338" t="str">
        <f t="shared" si="222"/>
        <v xml:space="preserve">  0</v>
      </c>
      <c r="AN338" t="str">
        <f t="shared" si="223"/>
        <v xml:space="preserve">["SUBTYPE"] =   0; </v>
      </c>
      <c r="AO338" t="str">
        <f>IF(NOT(ISBLANK(G338)),VLOOKUP(G338,Type!D$2:E$6,2,FALSE),"")</f>
        <v/>
      </c>
      <c r="AP338" t="str">
        <f t="shared" si="224"/>
        <v xml:space="preserve">            </v>
      </c>
      <c r="AQ338" t="str">
        <f t="shared" si="225"/>
        <v xml:space="preserve">                      </v>
      </c>
      <c r="AR338" t="str">
        <f t="shared" si="226"/>
        <v/>
      </c>
      <c r="AS338" t="str">
        <f t="shared" si="227"/>
        <v>0</v>
      </c>
      <c r="AT338" t="str">
        <f t="shared" si="228"/>
        <v xml:space="preserve">["VXP"] =    0; </v>
      </c>
      <c r="AU338" t="str">
        <f t="shared" si="229"/>
        <v>0</v>
      </c>
      <c r="AV338" t="str">
        <f t="shared" si="230"/>
        <v xml:space="preserve">["LP"] =  0; </v>
      </c>
      <c r="AW338" t="str">
        <f t="shared" si="231"/>
        <v>0</v>
      </c>
      <c r="AX338" t="str">
        <f t="shared" si="232"/>
        <v xml:space="preserve">["REP"] =     0; </v>
      </c>
      <c r="AY338">
        <f>IF(LEN(P338)&gt;0,VLOOKUP(P338,Faction!A$2:B$77,2,FALSE),1)</f>
        <v>1</v>
      </c>
      <c r="AZ338" t="str">
        <f t="shared" si="233"/>
        <v xml:space="preserve">["FACTION"] =  1; </v>
      </c>
      <c r="BA338" t="str">
        <f t="shared" si="212"/>
        <v xml:space="preserve">["TIER"] = 1; </v>
      </c>
      <c r="BB338" t="str">
        <f t="shared" si="234"/>
        <v xml:space="preserve">                     </v>
      </c>
      <c r="BC338" t="str">
        <f t="shared" si="235"/>
        <v xml:space="preserve">                  </v>
      </c>
      <c r="BD338" t="str">
        <f t="shared" si="236"/>
        <v xml:space="preserve">["NAME"] = { ["EN"] = "- Account Anniversary -"; }; </v>
      </c>
      <c r="BE338" t="str">
        <f t="shared" si="237"/>
        <v/>
      </c>
      <c r="BF338" t="str">
        <f t="shared" si="238"/>
        <v/>
      </c>
      <c r="BG338" t="str">
        <f t="shared" si="239"/>
        <v/>
      </c>
      <c r="BH338" t="str">
        <f t="shared" si="240"/>
        <v/>
      </c>
      <c r="BI338" t="str">
        <f t="shared" si="241"/>
        <v/>
      </c>
      <c r="BJ338" t="str">
        <f t="shared" si="210"/>
        <v>};</v>
      </c>
    </row>
    <row r="339" spans="1:62" x14ac:dyDescent="0.25">
      <c r="A339">
        <v>1879303873</v>
      </c>
      <c r="B339">
        <v>241</v>
      </c>
      <c r="C339" t="s">
        <v>2327</v>
      </c>
      <c r="D339" t="s">
        <v>24</v>
      </c>
      <c r="G339" t="s">
        <v>2325</v>
      </c>
      <c r="M339" t="s">
        <v>2332</v>
      </c>
      <c r="Q339" t="s">
        <v>2333</v>
      </c>
      <c r="R339" t="s">
        <v>2331</v>
      </c>
      <c r="S339">
        <v>0</v>
      </c>
      <c r="X339" t="str">
        <f t="shared" si="211"/>
        <v>[338] = {["ID"] = 1879303873; }; -- Seven Stars Title</v>
      </c>
      <c r="Y339" s="1" t="str">
        <f t="shared" si="213"/>
        <v>[338]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39">
        <f t="shared" si="209"/>
        <v>338</v>
      </c>
      <c r="AA339" t="str">
        <f t="shared" si="214"/>
        <v>[338] = {</v>
      </c>
      <c r="AB339" t="str">
        <f t="shared" si="215"/>
        <v xml:space="preserve">["ID"] = 1879303873; </v>
      </c>
      <c r="AC339" t="str">
        <f t="shared" si="216"/>
        <v xml:space="preserve">["ID"] = 1879303873; </v>
      </c>
      <c r="AD339" t="str">
        <f t="shared" si="217"/>
        <v/>
      </c>
      <c r="AE339" t="str">
        <f t="shared" si="218"/>
        <v/>
      </c>
      <c r="AF339" s="1" t="str">
        <f t="shared" si="219"/>
        <v xml:space="preserve">["SAVE_INDEX"] = 241; </v>
      </c>
      <c r="AG339">
        <f>VLOOKUP(D339,Type!A$2:B$16,2,FALSE)</f>
        <v>12</v>
      </c>
      <c r="AH339" t="str">
        <f t="shared" si="220"/>
        <v xml:space="preserve">["TYPE"] = 12; </v>
      </c>
      <c r="AI339" t="str">
        <f t="shared" si="221"/>
        <v xml:space="preserve">                      </v>
      </c>
      <c r="AJ339" t="str">
        <f>IF(AND(F339="Class",NOT(ISBLANK(E339))),VLOOKUP(E339,Class!A$1:B$12,2,FALSE),"")</f>
        <v/>
      </c>
      <c r="AK339" t="str">
        <f>IF(AND(F339="Vocation",NOT(ISBLANK(E339))),VLOOKUP(E339,Vocation!A$1:B$8,2,FALSE),"")</f>
        <v/>
      </c>
      <c r="AL339" t="str">
        <f>IF(AND(F339="Race",NOT(ISBLANK(E339))),VLOOKUP(E339,Race!A$1:B$9,2,),"")</f>
        <v/>
      </c>
      <c r="AM339" t="str">
        <f t="shared" si="222"/>
        <v xml:space="preserve">  0</v>
      </c>
      <c r="AN339" t="str">
        <f t="shared" si="223"/>
        <v xml:space="preserve">["SUBTYPE"] =   0; </v>
      </c>
      <c r="AO339">
        <f>IF(NOT(ISBLANK(G339)),VLOOKUP(G339,Type!D$2:E$6,2,FALSE),"")</f>
        <v>4</v>
      </c>
      <c r="AP339" t="str">
        <f t="shared" si="224"/>
        <v xml:space="preserve">["NA"] = 4; </v>
      </c>
      <c r="AQ339" t="str">
        <f t="shared" si="225"/>
        <v xml:space="preserve">                      </v>
      </c>
      <c r="AR339" t="str">
        <f t="shared" si="226"/>
        <v/>
      </c>
      <c r="AS339" t="str">
        <f t="shared" si="227"/>
        <v>0</v>
      </c>
      <c r="AT339" t="str">
        <f t="shared" si="228"/>
        <v xml:space="preserve">["VXP"] =    0; </v>
      </c>
      <c r="AU339" t="str">
        <f t="shared" si="229"/>
        <v>0</v>
      </c>
      <c r="AV339" t="str">
        <f t="shared" si="230"/>
        <v xml:space="preserve">["LP"] =  0; </v>
      </c>
      <c r="AW339" t="str">
        <f t="shared" si="231"/>
        <v>0</v>
      </c>
      <c r="AX339" t="str">
        <f t="shared" si="232"/>
        <v xml:space="preserve">["REP"] =     0; </v>
      </c>
      <c r="AY339">
        <f>IF(LEN(P339)&gt;0,VLOOKUP(P339,Faction!A$2:B$77,2,FALSE),1)</f>
        <v>1</v>
      </c>
      <c r="AZ339" t="str">
        <f t="shared" si="233"/>
        <v xml:space="preserve">["FACTION"] =  1; </v>
      </c>
      <c r="BA339" t="str">
        <f t="shared" si="212"/>
        <v/>
      </c>
      <c r="BB339" t="str">
        <f t="shared" si="234"/>
        <v xml:space="preserve">                     </v>
      </c>
      <c r="BC339" t="str">
        <f t="shared" si="235"/>
        <v xml:space="preserve">                  </v>
      </c>
      <c r="BD339" t="str">
        <f t="shared" si="236"/>
        <v xml:space="preserve">["NAME"] = { ["EN"] = "Seven Stars Title"; }; </v>
      </c>
      <c r="BE339" t="str">
        <f t="shared" si="237"/>
        <v xml:space="preserve">["LORE"] = { ["EN"] = "You have earned the Seven Stars title."; }; </v>
      </c>
      <c r="BF339" t="str">
        <f t="shared" si="238"/>
        <v xml:space="preserve">["SUMMARY"] = { ["EN"] = "Use Title Writ - Seven Stars, a gift for seven years of play."; }; </v>
      </c>
      <c r="BG339" t="str">
        <f t="shared" si="239"/>
        <v xml:space="preserve">["TITLE"] = { ["EN"] = "of the Seven Stars"; }; </v>
      </c>
      <c r="BH339" t="str">
        <f t="shared" si="240"/>
        <v/>
      </c>
      <c r="BI339" t="str">
        <f t="shared" si="241"/>
        <v/>
      </c>
      <c r="BJ339" t="str">
        <f t="shared" si="210"/>
        <v>};</v>
      </c>
    </row>
    <row r="340" spans="1:62" x14ac:dyDescent="0.25">
      <c r="C340" s="3" t="s">
        <v>2581</v>
      </c>
      <c r="D340" s="2" t="s">
        <v>812</v>
      </c>
      <c r="S340">
        <v>1</v>
      </c>
      <c r="V340">
        <v>155</v>
      </c>
      <c r="X340" t="str">
        <f t="shared" si="211"/>
        <v>[339] = {["CAT_ID"] = 155; ["TIER"] = 1; }; -- - Festivals -</v>
      </c>
      <c r="Y340" s="1" t="str">
        <f t="shared" si="213"/>
        <v>[339] = {                                           ["TYPE"] = 14;                       ["SUBTYPE"] =   0;                                   ["VXP"] =    0; ["LP"] =  0; ["REP"] =     0; ["FACTION"] =  1; ["TIER"] = 1;                                        ["NAME"] = { ["EN"] = "- Festivals -"; }; };</v>
      </c>
      <c r="Z340">
        <f t="shared" ref="Z340:Z403" si="242">ROW()-1</f>
        <v>339</v>
      </c>
      <c r="AA340" t="str">
        <f t="shared" si="214"/>
        <v>[339] = {</v>
      </c>
      <c r="AB340" t="str">
        <f t="shared" si="215"/>
        <v xml:space="preserve">                     </v>
      </c>
      <c r="AC340" t="str">
        <f t="shared" si="216"/>
        <v/>
      </c>
      <c r="AD340" t="str">
        <f t="shared" si="217"/>
        <v xml:space="preserve">["CAT_ID"] = 155; </v>
      </c>
      <c r="AE340" t="str">
        <f t="shared" si="218"/>
        <v/>
      </c>
      <c r="AF340" s="1" t="str">
        <f t="shared" si="219"/>
        <v xml:space="preserve">                      </v>
      </c>
      <c r="AG340">
        <f>VLOOKUP(D340,Type!A$2:B$16,2,FALSE)</f>
        <v>14</v>
      </c>
      <c r="AH340" t="str">
        <f t="shared" si="220"/>
        <v xml:space="preserve">["TYPE"] = 14; </v>
      </c>
      <c r="AI340" t="str">
        <f t="shared" si="221"/>
        <v xml:space="preserve">                      </v>
      </c>
      <c r="AJ340" t="str">
        <f>IF(AND(F340="Class",NOT(ISBLANK(E340))),VLOOKUP(E340,Class!A$1:B$12,2,FALSE),"")</f>
        <v/>
      </c>
      <c r="AK340" t="str">
        <f>IF(AND(F340="Vocation",NOT(ISBLANK(E340))),VLOOKUP(E340,Vocation!A$1:B$8,2,FALSE),"")</f>
        <v/>
      </c>
      <c r="AL340" t="str">
        <f>IF(AND(F340="Race",NOT(ISBLANK(E340))),VLOOKUP(E340,Race!A$1:B$9,2,),"")</f>
        <v/>
      </c>
      <c r="AM340" t="str">
        <f t="shared" si="222"/>
        <v xml:space="preserve">  0</v>
      </c>
      <c r="AN340" t="str">
        <f t="shared" si="223"/>
        <v xml:space="preserve">["SUBTYPE"] =   0; </v>
      </c>
      <c r="AO340" t="str">
        <f>IF(NOT(ISBLANK(G340)),VLOOKUP(G340,Type!D$2:E$6,2,FALSE),"")</f>
        <v/>
      </c>
      <c r="AP340" t="str">
        <f t="shared" si="224"/>
        <v xml:space="preserve">            </v>
      </c>
      <c r="AQ340" t="str">
        <f t="shared" si="225"/>
        <v xml:space="preserve">                      </v>
      </c>
      <c r="AR340" t="str">
        <f t="shared" si="226"/>
        <v/>
      </c>
      <c r="AS340" t="str">
        <f t="shared" si="227"/>
        <v>0</v>
      </c>
      <c r="AT340" t="str">
        <f t="shared" si="228"/>
        <v xml:space="preserve">["VXP"] =    0; </v>
      </c>
      <c r="AU340" t="str">
        <f t="shared" si="229"/>
        <v>0</v>
      </c>
      <c r="AV340" t="str">
        <f t="shared" si="230"/>
        <v xml:space="preserve">["LP"] =  0; </v>
      </c>
      <c r="AW340" t="str">
        <f t="shared" si="231"/>
        <v>0</v>
      </c>
      <c r="AX340" t="str">
        <f t="shared" si="232"/>
        <v xml:space="preserve">["REP"] =     0; </v>
      </c>
      <c r="AY340">
        <f>IF(LEN(P340)&gt;0,VLOOKUP(P340,Faction!A$2:B$77,2,FALSE),1)</f>
        <v>1</v>
      </c>
      <c r="AZ340" t="str">
        <f t="shared" si="233"/>
        <v xml:space="preserve">["FACTION"] =  1; </v>
      </c>
      <c r="BA340" t="str">
        <f t="shared" si="212"/>
        <v xml:space="preserve">["TIER"] = 1; </v>
      </c>
      <c r="BB340" t="str">
        <f t="shared" si="234"/>
        <v xml:space="preserve">                     </v>
      </c>
      <c r="BC340" t="str">
        <f t="shared" si="235"/>
        <v xml:space="preserve">                  </v>
      </c>
      <c r="BD340" t="str">
        <f t="shared" si="236"/>
        <v xml:space="preserve">["NAME"] = { ["EN"] = "- Festivals -"; }; </v>
      </c>
      <c r="BE340" t="str">
        <f t="shared" si="237"/>
        <v/>
      </c>
      <c r="BF340" t="str">
        <f t="shared" si="238"/>
        <v/>
      </c>
      <c r="BG340" t="str">
        <f t="shared" si="239"/>
        <v/>
      </c>
      <c r="BH340" t="str">
        <f t="shared" si="240"/>
        <v/>
      </c>
      <c r="BI340" t="str">
        <f t="shared" si="241"/>
        <v/>
      </c>
      <c r="BJ340" t="str">
        <f t="shared" ref="BJ340:BJ403" si="243">CONCATENATE("};")</f>
        <v>};</v>
      </c>
    </row>
    <row r="341" spans="1:62" x14ac:dyDescent="0.25">
      <c r="A341">
        <v>1879153304</v>
      </c>
      <c r="B341">
        <v>242</v>
      </c>
      <c r="C341" t="s">
        <v>2582</v>
      </c>
      <c r="D341" t="s">
        <v>24</v>
      </c>
      <c r="G341" t="s">
        <v>2324</v>
      </c>
      <c r="M341" t="s">
        <v>2584</v>
      </c>
      <c r="Q341" s="4" t="s">
        <v>2585</v>
      </c>
      <c r="R341" t="s">
        <v>2583</v>
      </c>
      <c r="S341">
        <v>0</v>
      </c>
      <c r="X341" t="str">
        <f t="shared" si="211"/>
        <v>[340] = {["ID"] = 1879153304; }; -- A Day of Pranks</v>
      </c>
      <c r="Y341" s="1" t="str">
        <f t="shared" si="213"/>
        <v>[340] = {["ID"] = 1879153304; ["SAVE_INDEX"] = 242; ["TYPE"] = 12;                       ["SUBTYPE"] =   0; ["NA"] = 3;                       ["VXP"] =    0; ["LP"] =  0; ["REP"] =     0; ["FACTION"] =  1;                                        ["NAME"] = { ["EN"] = "A Day of Pranks"; }; ["LORE"] = { ["EN"] = "A day of fun and running afoul of foolish antics."; }; ["SUMMARY"] = { ["EN"] = "An April 1 deed from many years ago."; }; ["TITLE"] = { ["EN"] = "April Observer"; }; };</v>
      </c>
      <c r="Z341">
        <f t="shared" si="242"/>
        <v>340</v>
      </c>
      <c r="AA341" t="str">
        <f t="shared" si="214"/>
        <v>[340] = {</v>
      </c>
      <c r="AB341" t="str">
        <f t="shared" si="215"/>
        <v xml:space="preserve">["ID"] = 1879153304; </v>
      </c>
      <c r="AC341" t="str">
        <f t="shared" si="216"/>
        <v xml:space="preserve">["ID"] = 1879153304; </v>
      </c>
      <c r="AD341" t="str">
        <f t="shared" si="217"/>
        <v/>
      </c>
      <c r="AE341" t="str">
        <f t="shared" si="218"/>
        <v/>
      </c>
      <c r="AF341" s="1" t="str">
        <f t="shared" si="219"/>
        <v xml:space="preserve">["SAVE_INDEX"] = 242; </v>
      </c>
      <c r="AG341">
        <f>VLOOKUP(D341,Type!A$2:B$16,2,FALSE)</f>
        <v>12</v>
      </c>
      <c r="AH341" t="str">
        <f t="shared" si="220"/>
        <v xml:space="preserve">["TYPE"] = 12; </v>
      </c>
      <c r="AI341" t="str">
        <f t="shared" si="221"/>
        <v xml:space="preserve">                      </v>
      </c>
      <c r="AJ341" t="str">
        <f>IF(AND(F341="Class",NOT(ISBLANK(E341))),VLOOKUP(E341,Class!A$1:B$12,2,FALSE),"")</f>
        <v/>
      </c>
      <c r="AK341" t="str">
        <f>IF(AND(F341="Vocation",NOT(ISBLANK(E341))),VLOOKUP(E341,Vocation!A$1:B$8,2,FALSE),"")</f>
        <v/>
      </c>
      <c r="AL341" t="str">
        <f>IF(AND(F341="Race",NOT(ISBLANK(E341))),VLOOKUP(E341,Race!A$1:B$9,2,),"")</f>
        <v/>
      </c>
      <c r="AM341" t="str">
        <f t="shared" si="222"/>
        <v xml:space="preserve">  0</v>
      </c>
      <c r="AN341" t="str">
        <f t="shared" si="223"/>
        <v xml:space="preserve">["SUBTYPE"] =   0; </v>
      </c>
      <c r="AO341">
        <f>IF(NOT(ISBLANK(G341)),VLOOKUP(G341,Type!D$2:E$6,2,FALSE),"")</f>
        <v>3</v>
      </c>
      <c r="AP341" t="str">
        <f t="shared" si="224"/>
        <v xml:space="preserve">["NA"] = 3; </v>
      </c>
      <c r="AQ341" t="str">
        <f t="shared" si="225"/>
        <v xml:space="preserve">                      </v>
      </c>
      <c r="AR341" t="str">
        <f t="shared" si="226"/>
        <v/>
      </c>
      <c r="AS341" t="str">
        <f t="shared" si="227"/>
        <v>0</v>
      </c>
      <c r="AT341" t="str">
        <f t="shared" si="228"/>
        <v xml:space="preserve">["VXP"] =    0; </v>
      </c>
      <c r="AU341" t="str">
        <f t="shared" si="229"/>
        <v>0</v>
      </c>
      <c r="AV341" t="str">
        <f t="shared" si="230"/>
        <v xml:space="preserve">["LP"] =  0; </v>
      </c>
      <c r="AW341" t="str">
        <f t="shared" si="231"/>
        <v>0</v>
      </c>
      <c r="AX341" t="str">
        <f t="shared" si="232"/>
        <v xml:space="preserve">["REP"] =     0; </v>
      </c>
      <c r="AY341">
        <f>IF(LEN(P341)&gt;0,VLOOKUP(P341,Faction!A$2:B$77,2,FALSE),1)</f>
        <v>1</v>
      </c>
      <c r="AZ341" t="str">
        <f t="shared" si="233"/>
        <v xml:space="preserve">["FACTION"] =  1; </v>
      </c>
      <c r="BA341" t="str">
        <f t="shared" si="212"/>
        <v/>
      </c>
      <c r="BB341" t="str">
        <f t="shared" si="234"/>
        <v xml:space="preserve">                     </v>
      </c>
      <c r="BC341" t="str">
        <f t="shared" si="235"/>
        <v xml:space="preserve">                  </v>
      </c>
      <c r="BD341" t="str">
        <f t="shared" si="236"/>
        <v xml:space="preserve">["NAME"] = { ["EN"] = "A Day of Pranks"; }; </v>
      </c>
      <c r="BE341" t="str">
        <f t="shared" si="237"/>
        <v xml:space="preserve">["LORE"] = { ["EN"] = "A day of fun and running afoul of foolish antics."; }; </v>
      </c>
      <c r="BF341" t="str">
        <f t="shared" si="238"/>
        <v xml:space="preserve">["SUMMARY"] = { ["EN"] = "An April 1 deed from many years ago."; }; </v>
      </c>
      <c r="BG341" t="str">
        <f t="shared" si="239"/>
        <v xml:space="preserve">["TITLE"] = { ["EN"] = "April Observer"; }; </v>
      </c>
      <c r="BH341" t="str">
        <f t="shared" si="240"/>
        <v/>
      </c>
      <c r="BI341" t="str">
        <f t="shared" si="241"/>
        <v/>
      </c>
      <c r="BJ341" t="str">
        <f t="shared" si="243"/>
        <v>};</v>
      </c>
    </row>
    <row r="342" spans="1:62" x14ac:dyDescent="0.25">
      <c r="A342">
        <v>1879161685</v>
      </c>
      <c r="B342">
        <v>243</v>
      </c>
      <c r="C342" t="s">
        <v>2586</v>
      </c>
      <c r="D342" t="s">
        <v>24</v>
      </c>
      <c r="G342" t="s">
        <v>2324</v>
      </c>
      <c r="M342" t="s">
        <v>2587</v>
      </c>
      <c r="Q342" s="4" t="s">
        <v>2589</v>
      </c>
      <c r="R342" t="s">
        <v>2588</v>
      </c>
      <c r="S342">
        <v>0</v>
      </c>
      <c r="X342" t="str">
        <f t="shared" si="211"/>
        <v>[341] = {["ID"] = 1879161685; }; -- Harvestmath</v>
      </c>
      <c r="Y342" s="1" t="str">
        <f t="shared" si="213"/>
        <v>[341]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2">
        <f t="shared" si="242"/>
        <v>341</v>
      </c>
      <c r="AA342" t="str">
        <f t="shared" si="214"/>
        <v>[341] = {</v>
      </c>
      <c r="AB342" t="str">
        <f t="shared" si="215"/>
        <v xml:space="preserve">["ID"] = 1879161685; </v>
      </c>
      <c r="AC342" t="str">
        <f t="shared" si="216"/>
        <v xml:space="preserve">["ID"] = 1879161685; </v>
      </c>
      <c r="AD342" t="str">
        <f t="shared" si="217"/>
        <v/>
      </c>
      <c r="AE342" t="str">
        <f t="shared" si="218"/>
        <v/>
      </c>
      <c r="AF342" s="1" t="str">
        <f t="shared" si="219"/>
        <v xml:space="preserve">["SAVE_INDEX"] = 243; </v>
      </c>
      <c r="AG342">
        <f>VLOOKUP(D342,Type!A$2:B$16,2,FALSE)</f>
        <v>12</v>
      </c>
      <c r="AH342" t="str">
        <f t="shared" si="220"/>
        <v xml:space="preserve">["TYPE"] = 12; </v>
      </c>
      <c r="AI342" t="str">
        <f t="shared" si="221"/>
        <v xml:space="preserve">                      </v>
      </c>
      <c r="AJ342" t="str">
        <f>IF(AND(F342="Class",NOT(ISBLANK(E342))),VLOOKUP(E342,Class!A$1:B$12,2,FALSE),"")</f>
        <v/>
      </c>
      <c r="AK342" t="str">
        <f>IF(AND(F342="Vocation",NOT(ISBLANK(E342))),VLOOKUP(E342,Vocation!A$1:B$8,2,FALSE),"")</f>
        <v/>
      </c>
      <c r="AL342" t="str">
        <f>IF(AND(F342="Race",NOT(ISBLANK(E342))),VLOOKUP(E342,Race!A$1:B$9,2,),"")</f>
        <v/>
      </c>
      <c r="AM342" t="str">
        <f t="shared" si="222"/>
        <v xml:space="preserve">  0</v>
      </c>
      <c r="AN342" t="str">
        <f t="shared" si="223"/>
        <v xml:space="preserve">["SUBTYPE"] =   0; </v>
      </c>
      <c r="AO342">
        <f>IF(NOT(ISBLANK(G342)),VLOOKUP(G342,Type!D$2:E$6,2,FALSE),"")</f>
        <v>3</v>
      </c>
      <c r="AP342" t="str">
        <f t="shared" si="224"/>
        <v xml:space="preserve">["NA"] = 3; </v>
      </c>
      <c r="AQ342" t="str">
        <f t="shared" si="225"/>
        <v xml:space="preserve">                      </v>
      </c>
      <c r="AR342" t="str">
        <f t="shared" si="226"/>
        <v/>
      </c>
      <c r="AS342" t="str">
        <f t="shared" si="227"/>
        <v>0</v>
      </c>
      <c r="AT342" t="str">
        <f t="shared" si="228"/>
        <v xml:space="preserve">["VXP"] =    0; </v>
      </c>
      <c r="AU342" t="str">
        <f t="shared" si="229"/>
        <v>0</v>
      </c>
      <c r="AV342" t="str">
        <f t="shared" si="230"/>
        <v xml:space="preserve">["LP"] =  0; </v>
      </c>
      <c r="AW342" t="str">
        <f t="shared" si="231"/>
        <v>0</v>
      </c>
      <c r="AX342" t="str">
        <f t="shared" si="232"/>
        <v xml:space="preserve">["REP"] =     0; </v>
      </c>
      <c r="AY342">
        <f>IF(LEN(P342)&gt;0,VLOOKUP(P342,Faction!A$2:B$77,2,FALSE),1)</f>
        <v>1</v>
      </c>
      <c r="AZ342" t="str">
        <f t="shared" si="233"/>
        <v xml:space="preserve">["FACTION"] =  1; </v>
      </c>
      <c r="BA342" t="str">
        <f t="shared" si="212"/>
        <v/>
      </c>
      <c r="BB342" t="str">
        <f t="shared" si="234"/>
        <v xml:space="preserve">                     </v>
      </c>
      <c r="BC342" t="str">
        <f t="shared" si="235"/>
        <v xml:space="preserve">                  </v>
      </c>
      <c r="BD342" t="str">
        <f t="shared" si="236"/>
        <v xml:space="preserve">["NAME"] = { ["EN"] = "Harvestmath"; }; </v>
      </c>
      <c r="BE342" t="str">
        <f t="shared" si="237"/>
        <v xml:space="preserve">["LORE"] = { ["EN"] = "Harvestmath brings yet another bountiful farming season to a close as the leaves begin to turn gold and the days grow short and cool."; }; </v>
      </c>
      <c r="BF342" t="str">
        <f t="shared" si="238"/>
        <v xml:space="preserve">["SUMMARY"] = { ["EN"] = "Log in during the Harvest Festival of 2010"; }; </v>
      </c>
      <c r="BG342" t="str">
        <f t="shared" si="239"/>
        <v xml:space="preserve">["TITLE"] = { ["EN"] = "Foliage Watcher"; }; </v>
      </c>
      <c r="BH342" t="str">
        <f t="shared" si="240"/>
        <v/>
      </c>
      <c r="BI342" t="str">
        <f t="shared" si="241"/>
        <v/>
      </c>
      <c r="BJ342" t="str">
        <f t="shared" si="243"/>
        <v>};</v>
      </c>
    </row>
    <row r="343" spans="1:62" x14ac:dyDescent="0.25">
      <c r="A343">
        <v>1879163927</v>
      </c>
      <c r="B343">
        <v>244</v>
      </c>
      <c r="C343" t="s">
        <v>2590</v>
      </c>
      <c r="D343" t="s">
        <v>24</v>
      </c>
      <c r="G343" t="s">
        <v>2324</v>
      </c>
      <c r="M343" t="s">
        <v>2591</v>
      </c>
      <c r="Q343" s="4" t="s">
        <v>2593</v>
      </c>
      <c r="R343" t="s">
        <v>2592</v>
      </c>
      <c r="S343">
        <v>0</v>
      </c>
      <c r="X343" t="str">
        <f t="shared" si="211"/>
        <v>[342] = {["ID"] = 1879163927; }; -- Yule</v>
      </c>
      <c r="Y343" s="1" t="str">
        <f t="shared" si="213"/>
        <v>[342]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3">
        <f t="shared" si="242"/>
        <v>342</v>
      </c>
      <c r="AA343" t="str">
        <f t="shared" si="214"/>
        <v>[342] = {</v>
      </c>
      <c r="AB343" t="str">
        <f t="shared" si="215"/>
        <v xml:space="preserve">["ID"] = 1879163927; </v>
      </c>
      <c r="AC343" t="str">
        <f t="shared" si="216"/>
        <v xml:space="preserve">["ID"] = 1879163927; </v>
      </c>
      <c r="AD343" t="str">
        <f t="shared" si="217"/>
        <v/>
      </c>
      <c r="AE343" t="str">
        <f t="shared" si="218"/>
        <v/>
      </c>
      <c r="AF343" s="1" t="str">
        <f t="shared" si="219"/>
        <v xml:space="preserve">["SAVE_INDEX"] = 244; </v>
      </c>
      <c r="AG343">
        <f>VLOOKUP(D343,Type!A$2:B$16,2,FALSE)</f>
        <v>12</v>
      </c>
      <c r="AH343" t="str">
        <f t="shared" si="220"/>
        <v xml:space="preserve">["TYPE"] = 12; </v>
      </c>
      <c r="AI343" t="str">
        <f t="shared" si="221"/>
        <v xml:space="preserve">                      </v>
      </c>
      <c r="AJ343" t="str">
        <f>IF(AND(F343="Class",NOT(ISBLANK(E343))),VLOOKUP(E343,Class!A$1:B$12,2,FALSE),"")</f>
        <v/>
      </c>
      <c r="AK343" t="str">
        <f>IF(AND(F343="Vocation",NOT(ISBLANK(E343))),VLOOKUP(E343,Vocation!A$1:B$8,2,FALSE),"")</f>
        <v/>
      </c>
      <c r="AL343" t="str">
        <f>IF(AND(F343="Race",NOT(ISBLANK(E343))),VLOOKUP(E343,Race!A$1:B$9,2,),"")</f>
        <v/>
      </c>
      <c r="AM343" t="str">
        <f t="shared" si="222"/>
        <v xml:space="preserve">  0</v>
      </c>
      <c r="AN343" t="str">
        <f t="shared" si="223"/>
        <v xml:space="preserve">["SUBTYPE"] =   0; </v>
      </c>
      <c r="AO343">
        <f>IF(NOT(ISBLANK(G343)),VLOOKUP(G343,Type!D$2:E$6,2,FALSE),"")</f>
        <v>3</v>
      </c>
      <c r="AP343" t="str">
        <f t="shared" si="224"/>
        <v xml:space="preserve">["NA"] = 3; </v>
      </c>
      <c r="AQ343" t="str">
        <f t="shared" si="225"/>
        <v xml:space="preserve">                      </v>
      </c>
      <c r="AR343" t="str">
        <f t="shared" si="226"/>
        <v/>
      </c>
      <c r="AS343" t="str">
        <f t="shared" si="227"/>
        <v>0</v>
      </c>
      <c r="AT343" t="str">
        <f t="shared" si="228"/>
        <v xml:space="preserve">["VXP"] =    0; </v>
      </c>
      <c r="AU343" t="str">
        <f t="shared" si="229"/>
        <v>0</v>
      </c>
      <c r="AV343" t="str">
        <f t="shared" si="230"/>
        <v xml:space="preserve">["LP"] =  0; </v>
      </c>
      <c r="AW343" t="str">
        <f t="shared" si="231"/>
        <v>0</v>
      </c>
      <c r="AX343" t="str">
        <f t="shared" si="232"/>
        <v xml:space="preserve">["REP"] =     0; </v>
      </c>
      <c r="AY343">
        <f>IF(LEN(P343)&gt;0,VLOOKUP(P343,Faction!A$2:B$77,2,FALSE),1)</f>
        <v>1</v>
      </c>
      <c r="AZ343" t="str">
        <f t="shared" si="233"/>
        <v xml:space="preserve">["FACTION"] =  1; </v>
      </c>
      <c r="BA343" t="str">
        <f t="shared" si="212"/>
        <v/>
      </c>
      <c r="BB343" t="str">
        <f t="shared" si="234"/>
        <v xml:space="preserve">                     </v>
      </c>
      <c r="BC343" t="str">
        <f t="shared" si="235"/>
        <v xml:space="preserve">                  </v>
      </c>
      <c r="BD343" t="str">
        <f t="shared" si="236"/>
        <v xml:space="preserve">["NAME"] = { ["EN"] = "Yule"; }; </v>
      </c>
      <c r="BE343" t="str">
        <f t="shared" si="237"/>
        <v xml:space="preserve">["LORE"] = { ["EN"] = "The Yule Festival is upon us! Bundle up and brave the snow, for there is much to be accomplished."; }; </v>
      </c>
      <c r="BF343" t="str">
        <f t="shared" si="238"/>
        <v xml:space="preserve">["SUMMARY"] = { ["EN"] = "Log in during Yule of ?."; }; </v>
      </c>
      <c r="BG343" t="str">
        <f t="shared" si="239"/>
        <v xml:space="preserve">["TITLE"] = { ["EN"] = "Endurer of Long Winters"; }; </v>
      </c>
      <c r="BH343" t="str">
        <f t="shared" si="240"/>
        <v/>
      </c>
      <c r="BI343" t="str">
        <f t="shared" si="241"/>
        <v/>
      </c>
      <c r="BJ343" t="str">
        <f t="shared" si="243"/>
        <v>};</v>
      </c>
    </row>
    <row r="344" spans="1:62" x14ac:dyDescent="0.25">
      <c r="A344">
        <v>1879199417</v>
      </c>
      <c r="B344">
        <v>156</v>
      </c>
      <c r="C344" t="s">
        <v>768</v>
      </c>
      <c r="D344" t="s">
        <v>24</v>
      </c>
      <c r="E344" t="s">
        <v>736</v>
      </c>
      <c r="G344" t="s">
        <v>2324</v>
      </c>
      <c r="Q344" t="s">
        <v>1660</v>
      </c>
      <c r="R344" t="s">
        <v>769</v>
      </c>
      <c r="S344">
        <v>0</v>
      </c>
      <c r="T344">
        <v>6</v>
      </c>
      <c r="X344" t="str">
        <f t="shared" si="211"/>
        <v>[343] = {["ID"] = 1879199417; }; -- Honoured Yule-friend (Yule Festival)</v>
      </c>
      <c r="Y344" s="1" t="str">
        <f t="shared" si="213"/>
        <v>[343]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4">
        <f t="shared" si="242"/>
        <v>343</v>
      </c>
      <c r="AA344" t="str">
        <f t="shared" si="214"/>
        <v>[343] = {</v>
      </c>
      <c r="AB344" t="str">
        <f t="shared" si="215"/>
        <v xml:space="preserve">["ID"] = 1879199417; </v>
      </c>
      <c r="AC344" t="str">
        <f t="shared" si="216"/>
        <v xml:space="preserve">["ID"] = 1879199417; </v>
      </c>
      <c r="AD344" t="str">
        <f t="shared" si="217"/>
        <v/>
      </c>
      <c r="AE344" t="str">
        <f t="shared" si="218"/>
        <v xml:space="preserve"> (Yule Festival)</v>
      </c>
      <c r="AF344" s="1" t="str">
        <f t="shared" si="219"/>
        <v xml:space="preserve">["SAVE_INDEX"] = 156; </v>
      </c>
      <c r="AG344">
        <f>VLOOKUP(D344,Type!A$2:B$16,2,FALSE)</f>
        <v>12</v>
      </c>
      <c r="AH344" t="str">
        <f t="shared" si="220"/>
        <v xml:space="preserve">["TYPE"] = 12; </v>
      </c>
      <c r="AI344" t="str">
        <f t="shared" si="221"/>
        <v xml:space="preserve">                      </v>
      </c>
      <c r="AJ344" t="str">
        <f>IF(AND(F344="Class",NOT(ISBLANK(E344))),VLOOKUP(E344,Class!A$1:B$12,2,FALSE),"")</f>
        <v/>
      </c>
      <c r="AK344" t="str">
        <f>IF(AND(F344="Vocation",NOT(ISBLANK(E344))),VLOOKUP(E344,Vocation!A$1:B$8,2,FALSE),"")</f>
        <v/>
      </c>
      <c r="AL344" t="str">
        <f>IF(AND(F344="Race",NOT(ISBLANK(E344))),VLOOKUP(E344,Race!A$1:B$9,2,),"")</f>
        <v/>
      </c>
      <c r="AM344" t="str">
        <f t="shared" si="222"/>
        <v xml:space="preserve">  0</v>
      </c>
      <c r="AN344" t="str">
        <f t="shared" si="223"/>
        <v xml:space="preserve">["SUBTYPE"] =   0; </v>
      </c>
      <c r="AO344">
        <f>IF(NOT(ISBLANK(G344)),VLOOKUP(G344,Type!D$2:E$6,2,FALSE),"")</f>
        <v>3</v>
      </c>
      <c r="AP344" t="str">
        <f t="shared" si="224"/>
        <v xml:space="preserve">["NA"] = 3; </v>
      </c>
      <c r="AQ344" t="str">
        <f t="shared" si="225"/>
        <v xml:space="preserve">                      </v>
      </c>
      <c r="AR344" t="str">
        <f t="shared" si="226"/>
        <v/>
      </c>
      <c r="AS344" t="str">
        <f t="shared" si="227"/>
        <v>0</v>
      </c>
      <c r="AT344" t="str">
        <f t="shared" si="228"/>
        <v xml:space="preserve">["VXP"] =    0; </v>
      </c>
      <c r="AU344" t="str">
        <f t="shared" si="229"/>
        <v>0</v>
      </c>
      <c r="AV344" t="str">
        <f t="shared" si="230"/>
        <v xml:space="preserve">["LP"] =  0; </v>
      </c>
      <c r="AW344" t="str">
        <f t="shared" si="231"/>
        <v>0</v>
      </c>
      <c r="AX344" t="str">
        <f t="shared" si="232"/>
        <v xml:space="preserve">["REP"] =     0; </v>
      </c>
      <c r="AY344">
        <f>IF(LEN(P344)&gt;0,VLOOKUP(P344,Faction!A$2:B$77,2,FALSE),1)</f>
        <v>1</v>
      </c>
      <c r="AZ344" t="str">
        <f t="shared" si="233"/>
        <v xml:space="preserve">["FACTION"] =  1; </v>
      </c>
      <c r="BA344" t="str">
        <f t="shared" si="212"/>
        <v/>
      </c>
      <c r="BB344" t="str">
        <f t="shared" si="234"/>
        <v xml:space="preserve">["MIN_LVL"] =   "6"; </v>
      </c>
      <c r="BC344" t="str">
        <f t="shared" si="235"/>
        <v xml:space="preserve">                  </v>
      </c>
      <c r="BD344" t="str">
        <f t="shared" si="236"/>
        <v xml:space="preserve">["NAME"] = { ["EN"] = "Honoured Yule-friend"; }; </v>
      </c>
      <c r="BE344" t="str">
        <f t="shared" si="237"/>
        <v xml:space="preserve">["LORE"] = { ["EN"] = "You must complete a number of quests for the people of Winter-home during the Yule Festival."; }; </v>
      </c>
      <c r="BF344" t="str">
        <f t="shared" si="238"/>
        <v xml:space="preserve">["SUMMARY"] = { ["EN"] = "Complete 30 quests in Winter-home for the Yule Festival"; }; </v>
      </c>
      <c r="BG344" t="str">
        <f t="shared" si="239"/>
        <v/>
      </c>
      <c r="BH344" t="str">
        <f t="shared" si="240"/>
        <v/>
      </c>
      <c r="BI344" t="str">
        <f t="shared" si="241"/>
        <v/>
      </c>
      <c r="BJ344" t="str">
        <f t="shared" si="243"/>
        <v>};</v>
      </c>
    </row>
    <row r="345" spans="1:62" x14ac:dyDescent="0.25">
      <c r="A345">
        <v>1879447587</v>
      </c>
      <c r="B345">
        <v>358</v>
      </c>
      <c r="C345" t="s">
        <v>3419</v>
      </c>
      <c r="D345" t="s">
        <v>24</v>
      </c>
      <c r="G345" t="s">
        <v>2324</v>
      </c>
      <c r="Q345" t="s">
        <v>3421</v>
      </c>
      <c r="R345" t="s">
        <v>3420</v>
      </c>
      <c r="S345">
        <v>0</v>
      </c>
      <c r="T345">
        <v>1</v>
      </c>
      <c r="X345" t="str">
        <f t="shared" si="211"/>
        <v>[344] = {["ID"] = 1879447587; }; -- Happy 15th Anniversary</v>
      </c>
      <c r="Y345" s="1" t="str">
        <f t="shared" si="213"/>
        <v>[344]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5">
        <f t="shared" si="242"/>
        <v>344</v>
      </c>
      <c r="AA345" t="str">
        <f t="shared" si="214"/>
        <v>[344] = {</v>
      </c>
      <c r="AB345" t="str">
        <f t="shared" si="215"/>
        <v xml:space="preserve">["ID"] = 1879447587; </v>
      </c>
      <c r="AC345" t="str">
        <f t="shared" si="216"/>
        <v xml:space="preserve">["ID"] = 1879447587; </v>
      </c>
      <c r="AD345" t="str">
        <f t="shared" si="217"/>
        <v/>
      </c>
      <c r="AE345" t="str">
        <f t="shared" si="218"/>
        <v/>
      </c>
      <c r="AF345" s="1" t="str">
        <f t="shared" si="219"/>
        <v xml:space="preserve">["SAVE_INDEX"] = 358; </v>
      </c>
      <c r="AG345">
        <f>VLOOKUP(D345,Type!A$2:B$16,2,FALSE)</f>
        <v>12</v>
      </c>
      <c r="AH345" t="str">
        <f t="shared" si="220"/>
        <v xml:space="preserve">["TYPE"] = 12; </v>
      </c>
      <c r="AI345" t="str">
        <f t="shared" si="221"/>
        <v xml:space="preserve">                      </v>
      </c>
      <c r="AJ345" t="str">
        <f>IF(AND(F345="Class",NOT(ISBLANK(E345))),VLOOKUP(E345,Class!A$1:B$12,2,FALSE),"")</f>
        <v/>
      </c>
      <c r="AK345" t="str">
        <f>IF(AND(F345="Vocation",NOT(ISBLANK(E345))),VLOOKUP(E345,Vocation!A$1:B$8,2,FALSE),"")</f>
        <v/>
      </c>
      <c r="AL345" t="str">
        <f>IF(AND(F345="Race",NOT(ISBLANK(E345))),VLOOKUP(E345,Race!A$1:B$9,2,),"")</f>
        <v/>
      </c>
      <c r="AM345" t="str">
        <f t="shared" si="222"/>
        <v xml:space="preserve">  0</v>
      </c>
      <c r="AN345" t="str">
        <f t="shared" si="223"/>
        <v xml:space="preserve">["SUBTYPE"] =   0; </v>
      </c>
      <c r="AO345">
        <f>IF(NOT(ISBLANK(G345)),VLOOKUP(G345,Type!D$2:E$6,2,FALSE),"")</f>
        <v>3</v>
      </c>
      <c r="AP345" t="str">
        <f t="shared" si="224"/>
        <v xml:space="preserve">["NA"] = 3; </v>
      </c>
      <c r="AQ345" t="str">
        <f t="shared" si="225"/>
        <v xml:space="preserve">                      </v>
      </c>
      <c r="AR345" t="str">
        <f t="shared" si="226"/>
        <v/>
      </c>
      <c r="AS345" t="str">
        <f t="shared" si="227"/>
        <v>0</v>
      </c>
      <c r="AT345" t="str">
        <f t="shared" si="228"/>
        <v xml:space="preserve">["VXP"] =    0; </v>
      </c>
      <c r="AU345" t="str">
        <f t="shared" si="229"/>
        <v>0</v>
      </c>
      <c r="AV345" t="str">
        <f t="shared" si="230"/>
        <v xml:space="preserve">["LP"] =  0; </v>
      </c>
      <c r="AW345" t="str">
        <f t="shared" si="231"/>
        <v>0</v>
      </c>
      <c r="AX345" t="str">
        <f t="shared" si="232"/>
        <v xml:space="preserve">["REP"] =     0; </v>
      </c>
      <c r="AY345">
        <f>IF(LEN(P345)&gt;0,VLOOKUP(P345,Faction!A$2:B$77,2,FALSE),1)</f>
        <v>1</v>
      </c>
      <c r="AZ345" t="str">
        <f t="shared" si="233"/>
        <v xml:space="preserve">["FACTION"] =  1; </v>
      </c>
      <c r="BA345" t="str">
        <f t="shared" si="212"/>
        <v/>
      </c>
      <c r="BB345" t="str">
        <f t="shared" si="234"/>
        <v xml:space="preserve">["MIN_LVL"] =   "1"; </v>
      </c>
      <c r="BC345" t="str">
        <f t="shared" si="235"/>
        <v xml:space="preserve">                  </v>
      </c>
      <c r="BD345" t="str">
        <f t="shared" si="236"/>
        <v xml:space="preserve">["NAME"] = { ["EN"] = "Happy 15th Anniversary"; }; </v>
      </c>
      <c r="BE345" t="str">
        <f t="shared" si="237"/>
        <v xml:space="preserve">["LORE"] = { ["EN"] = "Received Expansion Pack Collector's Edition gifts for logging in during our 15th Anniversary."; }; </v>
      </c>
      <c r="BF345" t="str">
        <f t="shared" si="238"/>
        <v xml:space="preserve">["SUMMARY"] = { ["EN"] = "Play to level 2 during the 15th Anniversary Celebration."; }; </v>
      </c>
      <c r="BG345" t="str">
        <f t="shared" si="239"/>
        <v/>
      </c>
      <c r="BH345" t="str">
        <f t="shared" si="240"/>
        <v/>
      </c>
      <c r="BI345" t="str">
        <f t="shared" si="241"/>
        <v/>
      </c>
      <c r="BJ345" t="str">
        <f t="shared" si="243"/>
        <v>};</v>
      </c>
    </row>
    <row r="346" spans="1:62" x14ac:dyDescent="0.25">
      <c r="A346">
        <v>1879200236</v>
      </c>
      <c r="C346" t="s">
        <v>746</v>
      </c>
      <c r="D346" t="s">
        <v>24</v>
      </c>
      <c r="G346" t="s">
        <v>2323</v>
      </c>
      <c r="X346" t="str">
        <f t="shared" si="211"/>
        <v>[345] = {["ID"] = 1879200236; }; -- Protagonist</v>
      </c>
      <c r="Y346" s="1" t="str">
        <f t="shared" si="213"/>
        <v>[345] = {["ID"] = 1879200236;                       ["TYPE"] = 12;                       ["SUBTYPE"] =   0; ["NA"] = 2;                       ["VXP"] =    0; ["LP"] =  0; ["REP"] =     0; ["FACTION"] =  1;                                        ["NAME"] = { ["EN"] = "Protagonist"; }; };</v>
      </c>
      <c r="Z346">
        <f t="shared" si="242"/>
        <v>345</v>
      </c>
      <c r="AA346" t="str">
        <f t="shared" si="214"/>
        <v>[345] = {</v>
      </c>
      <c r="AB346" t="str">
        <f t="shared" si="215"/>
        <v xml:space="preserve">["ID"] = 1879200236; </v>
      </c>
      <c r="AC346" t="str">
        <f t="shared" si="216"/>
        <v xml:space="preserve">["ID"] = 1879200236; </v>
      </c>
      <c r="AD346" t="str">
        <f t="shared" si="217"/>
        <v/>
      </c>
      <c r="AE346" t="str">
        <f t="shared" si="218"/>
        <v/>
      </c>
      <c r="AF346" s="1" t="str">
        <f t="shared" si="219"/>
        <v xml:space="preserve">                      </v>
      </c>
      <c r="AG346">
        <f>VLOOKUP(D346,Type!A$2:B$16,2,FALSE)</f>
        <v>12</v>
      </c>
      <c r="AH346" t="str">
        <f t="shared" si="220"/>
        <v xml:space="preserve">["TYPE"] = 12; </v>
      </c>
      <c r="AI346" t="str">
        <f t="shared" si="221"/>
        <v xml:space="preserve">                      </v>
      </c>
      <c r="AJ346" t="str">
        <f>IF(AND(F346="Class",NOT(ISBLANK(E346))),VLOOKUP(E346,Class!A$1:B$12,2,FALSE),"")</f>
        <v/>
      </c>
      <c r="AK346" t="str">
        <f>IF(AND(F346="Vocation",NOT(ISBLANK(E346))),VLOOKUP(E346,Vocation!A$1:B$8,2,FALSE),"")</f>
        <v/>
      </c>
      <c r="AL346" t="str">
        <f>IF(AND(F346="Race",NOT(ISBLANK(E346))),VLOOKUP(E346,Race!A$1:B$9,2,),"")</f>
        <v/>
      </c>
      <c r="AM346" t="str">
        <f t="shared" si="222"/>
        <v xml:space="preserve">  0</v>
      </c>
      <c r="AN346" t="str">
        <f t="shared" si="223"/>
        <v xml:space="preserve">["SUBTYPE"] =   0; </v>
      </c>
      <c r="AO346">
        <f>IF(NOT(ISBLANK(G346)),VLOOKUP(G346,Type!D$2:E$6,2,FALSE),"")</f>
        <v>2</v>
      </c>
      <c r="AP346" t="str">
        <f t="shared" si="224"/>
        <v xml:space="preserve">["NA"] = 2; </v>
      </c>
      <c r="AQ346" t="str">
        <f t="shared" si="225"/>
        <v xml:space="preserve">                      </v>
      </c>
      <c r="AR346" t="str">
        <f t="shared" si="226"/>
        <v/>
      </c>
      <c r="AS346" t="str">
        <f t="shared" si="227"/>
        <v>0</v>
      </c>
      <c r="AT346" t="str">
        <f t="shared" si="228"/>
        <v xml:space="preserve">["VXP"] =    0; </v>
      </c>
      <c r="AU346" t="str">
        <f t="shared" si="229"/>
        <v>0</v>
      </c>
      <c r="AV346" t="str">
        <f t="shared" si="230"/>
        <v xml:space="preserve">["LP"] =  0; </v>
      </c>
      <c r="AW346" t="str">
        <f t="shared" si="231"/>
        <v>0</v>
      </c>
      <c r="AX346" t="str">
        <f t="shared" si="232"/>
        <v xml:space="preserve">["REP"] =     0; </v>
      </c>
      <c r="AY346">
        <f>IF(LEN(P346)&gt;0,VLOOKUP(P346,Faction!A$2:B$77,2,FALSE),1)</f>
        <v>1</v>
      </c>
      <c r="AZ346" t="str">
        <f t="shared" si="233"/>
        <v xml:space="preserve">["FACTION"] =  1; </v>
      </c>
      <c r="BA346" t="str">
        <f t="shared" si="212"/>
        <v/>
      </c>
      <c r="BB346" t="str">
        <f t="shared" si="234"/>
        <v xml:space="preserve">                     </v>
      </c>
      <c r="BC346" t="str">
        <f t="shared" si="235"/>
        <v xml:space="preserve">                  </v>
      </c>
      <c r="BD346" t="str">
        <f t="shared" si="236"/>
        <v xml:space="preserve">["NAME"] = { ["EN"] = "Protagonist"; }; </v>
      </c>
      <c r="BE346" t="str">
        <f t="shared" si="237"/>
        <v/>
      </c>
      <c r="BF346" t="str">
        <f t="shared" si="238"/>
        <v/>
      </c>
      <c r="BG346" t="str">
        <f t="shared" si="239"/>
        <v/>
      </c>
      <c r="BH346" t="str">
        <f t="shared" si="240"/>
        <v/>
      </c>
      <c r="BI346" t="str">
        <f t="shared" si="241"/>
        <v/>
      </c>
      <c r="BJ346" t="str">
        <f t="shared" si="243"/>
        <v>};</v>
      </c>
    </row>
    <row r="347" spans="1:62" x14ac:dyDescent="0.25">
      <c r="A347">
        <v>1879200237</v>
      </c>
      <c r="C347" t="s">
        <v>751</v>
      </c>
      <c r="D347" t="s">
        <v>24</v>
      </c>
      <c r="G347" t="s">
        <v>2323</v>
      </c>
      <c r="X347" t="str">
        <f t="shared" si="211"/>
        <v>[346] = {["ID"] = 1879200237; }; -- Villain</v>
      </c>
      <c r="Y347" s="1" t="str">
        <f t="shared" si="213"/>
        <v>[346] = {["ID"] = 1879200237;                       ["TYPE"] = 12;                       ["SUBTYPE"] =   0; ["NA"] = 2;                       ["VXP"] =    0; ["LP"] =  0; ["REP"] =     0; ["FACTION"] =  1;                                        ["NAME"] = { ["EN"] = "Villain"; }; };</v>
      </c>
      <c r="Z347">
        <f t="shared" si="242"/>
        <v>346</v>
      </c>
      <c r="AA347" t="str">
        <f t="shared" si="214"/>
        <v>[346] = {</v>
      </c>
      <c r="AB347" t="str">
        <f t="shared" si="215"/>
        <v xml:space="preserve">["ID"] = 1879200237; </v>
      </c>
      <c r="AC347" t="str">
        <f t="shared" si="216"/>
        <v xml:space="preserve">["ID"] = 1879200237; </v>
      </c>
      <c r="AD347" t="str">
        <f t="shared" si="217"/>
        <v/>
      </c>
      <c r="AE347" t="str">
        <f t="shared" si="218"/>
        <v/>
      </c>
      <c r="AF347" s="1" t="str">
        <f t="shared" si="219"/>
        <v xml:space="preserve">                      </v>
      </c>
      <c r="AG347">
        <f>VLOOKUP(D347,Type!A$2:B$16,2,FALSE)</f>
        <v>12</v>
      </c>
      <c r="AH347" t="str">
        <f t="shared" si="220"/>
        <v xml:space="preserve">["TYPE"] = 12; </v>
      </c>
      <c r="AI347" t="str">
        <f t="shared" si="221"/>
        <v xml:space="preserve">                      </v>
      </c>
      <c r="AJ347" t="str">
        <f>IF(AND(F347="Class",NOT(ISBLANK(E347))),VLOOKUP(E347,Class!A$1:B$12,2,FALSE),"")</f>
        <v/>
      </c>
      <c r="AK347" t="str">
        <f>IF(AND(F347="Vocation",NOT(ISBLANK(E347))),VLOOKUP(E347,Vocation!A$1:B$8,2,FALSE),"")</f>
        <v/>
      </c>
      <c r="AL347" t="str">
        <f>IF(AND(F347="Race",NOT(ISBLANK(E347))),VLOOKUP(E347,Race!A$1:B$9,2,),"")</f>
        <v/>
      </c>
      <c r="AM347" t="str">
        <f t="shared" si="222"/>
        <v xml:space="preserve">  0</v>
      </c>
      <c r="AN347" t="str">
        <f t="shared" si="223"/>
        <v xml:space="preserve">["SUBTYPE"] =   0; </v>
      </c>
      <c r="AO347">
        <f>IF(NOT(ISBLANK(G347)),VLOOKUP(G347,Type!D$2:E$6,2,FALSE),"")</f>
        <v>2</v>
      </c>
      <c r="AP347" t="str">
        <f t="shared" si="224"/>
        <v xml:space="preserve">["NA"] = 2; </v>
      </c>
      <c r="AQ347" t="str">
        <f t="shared" si="225"/>
        <v xml:space="preserve">                      </v>
      </c>
      <c r="AR347" t="str">
        <f t="shared" si="226"/>
        <v/>
      </c>
      <c r="AS347" t="str">
        <f t="shared" si="227"/>
        <v>0</v>
      </c>
      <c r="AT347" t="str">
        <f t="shared" si="228"/>
        <v xml:space="preserve">["VXP"] =    0; </v>
      </c>
      <c r="AU347" t="str">
        <f t="shared" si="229"/>
        <v>0</v>
      </c>
      <c r="AV347" t="str">
        <f t="shared" si="230"/>
        <v xml:space="preserve">["LP"] =  0; </v>
      </c>
      <c r="AW347" t="str">
        <f t="shared" si="231"/>
        <v>0</v>
      </c>
      <c r="AX347" t="str">
        <f t="shared" si="232"/>
        <v xml:space="preserve">["REP"] =     0; </v>
      </c>
      <c r="AY347">
        <f>IF(LEN(P347)&gt;0,VLOOKUP(P347,Faction!A$2:B$77,2,FALSE),1)</f>
        <v>1</v>
      </c>
      <c r="AZ347" t="str">
        <f t="shared" si="233"/>
        <v xml:space="preserve">["FACTION"] =  1; </v>
      </c>
      <c r="BA347" t="str">
        <f t="shared" si="212"/>
        <v/>
      </c>
      <c r="BB347" t="str">
        <f t="shared" si="234"/>
        <v xml:space="preserve">                     </v>
      </c>
      <c r="BC347" t="str">
        <f t="shared" si="235"/>
        <v xml:space="preserve">                  </v>
      </c>
      <c r="BD347" t="str">
        <f t="shared" si="236"/>
        <v xml:space="preserve">["NAME"] = { ["EN"] = "Villain"; }; </v>
      </c>
      <c r="BE347" t="str">
        <f t="shared" si="237"/>
        <v/>
      </c>
      <c r="BF347" t="str">
        <f t="shared" si="238"/>
        <v/>
      </c>
      <c r="BG347" t="str">
        <f t="shared" si="239"/>
        <v/>
      </c>
      <c r="BH347" t="str">
        <f t="shared" si="240"/>
        <v/>
      </c>
      <c r="BI347" t="str">
        <f t="shared" si="241"/>
        <v/>
      </c>
      <c r="BJ347" t="str">
        <f t="shared" si="243"/>
        <v>};</v>
      </c>
    </row>
    <row r="348" spans="1:62" x14ac:dyDescent="0.25">
      <c r="A348">
        <v>1879200238</v>
      </c>
      <c r="C348" t="s">
        <v>741</v>
      </c>
      <c r="D348" t="s">
        <v>24</v>
      </c>
      <c r="G348" t="s">
        <v>2323</v>
      </c>
      <c r="X348" t="str">
        <f t="shared" si="211"/>
        <v>[347] = {["ID"] = 1879200238; }; -- Extra</v>
      </c>
      <c r="Y348" s="1" t="str">
        <f t="shared" si="213"/>
        <v>[347] = {["ID"] = 1879200238;                       ["TYPE"] = 12;                       ["SUBTYPE"] =   0; ["NA"] = 2;                       ["VXP"] =    0; ["LP"] =  0; ["REP"] =     0; ["FACTION"] =  1;                                        ["NAME"] = { ["EN"] = "Extra"; }; };</v>
      </c>
      <c r="Z348">
        <f t="shared" si="242"/>
        <v>347</v>
      </c>
      <c r="AA348" t="str">
        <f t="shared" si="214"/>
        <v>[347] = {</v>
      </c>
      <c r="AB348" t="str">
        <f t="shared" si="215"/>
        <v xml:space="preserve">["ID"] = 1879200238; </v>
      </c>
      <c r="AC348" t="str">
        <f t="shared" si="216"/>
        <v xml:space="preserve">["ID"] = 1879200238; </v>
      </c>
      <c r="AD348" t="str">
        <f t="shared" si="217"/>
        <v/>
      </c>
      <c r="AE348" t="str">
        <f t="shared" si="218"/>
        <v/>
      </c>
      <c r="AF348" s="1" t="str">
        <f t="shared" si="219"/>
        <v xml:space="preserve">                      </v>
      </c>
      <c r="AG348">
        <f>VLOOKUP(D348,Type!A$2:B$16,2,FALSE)</f>
        <v>12</v>
      </c>
      <c r="AH348" t="str">
        <f t="shared" si="220"/>
        <v xml:space="preserve">["TYPE"] = 12; </v>
      </c>
      <c r="AI348" t="str">
        <f t="shared" si="221"/>
        <v xml:space="preserve">                      </v>
      </c>
      <c r="AJ348" t="str">
        <f>IF(AND(F348="Class",NOT(ISBLANK(E348))),VLOOKUP(E348,Class!A$1:B$12,2,FALSE),"")</f>
        <v/>
      </c>
      <c r="AK348" t="str">
        <f>IF(AND(F348="Vocation",NOT(ISBLANK(E348))),VLOOKUP(E348,Vocation!A$1:B$8,2,FALSE),"")</f>
        <v/>
      </c>
      <c r="AL348" t="str">
        <f>IF(AND(F348="Race",NOT(ISBLANK(E348))),VLOOKUP(E348,Race!A$1:B$9,2,),"")</f>
        <v/>
      </c>
      <c r="AM348" t="str">
        <f t="shared" si="222"/>
        <v xml:space="preserve">  0</v>
      </c>
      <c r="AN348" t="str">
        <f t="shared" si="223"/>
        <v xml:space="preserve">["SUBTYPE"] =   0; </v>
      </c>
      <c r="AO348">
        <f>IF(NOT(ISBLANK(G348)),VLOOKUP(G348,Type!D$2:E$6,2,FALSE),"")</f>
        <v>2</v>
      </c>
      <c r="AP348" t="str">
        <f t="shared" si="224"/>
        <v xml:space="preserve">["NA"] = 2; </v>
      </c>
      <c r="AQ348" t="str">
        <f t="shared" si="225"/>
        <v xml:space="preserve">                      </v>
      </c>
      <c r="AR348" t="str">
        <f t="shared" si="226"/>
        <v/>
      </c>
      <c r="AS348" t="str">
        <f t="shared" si="227"/>
        <v>0</v>
      </c>
      <c r="AT348" t="str">
        <f t="shared" si="228"/>
        <v xml:space="preserve">["VXP"] =    0; </v>
      </c>
      <c r="AU348" t="str">
        <f t="shared" si="229"/>
        <v>0</v>
      </c>
      <c r="AV348" t="str">
        <f t="shared" si="230"/>
        <v xml:space="preserve">["LP"] =  0; </v>
      </c>
      <c r="AW348" t="str">
        <f t="shared" si="231"/>
        <v>0</v>
      </c>
      <c r="AX348" t="str">
        <f t="shared" si="232"/>
        <v xml:space="preserve">["REP"] =     0; </v>
      </c>
      <c r="AY348">
        <f>IF(LEN(P348)&gt;0,VLOOKUP(P348,Faction!A$2:B$77,2,FALSE),1)</f>
        <v>1</v>
      </c>
      <c r="AZ348" t="str">
        <f t="shared" si="233"/>
        <v xml:space="preserve">["FACTION"] =  1; </v>
      </c>
      <c r="BA348" t="str">
        <f t="shared" si="212"/>
        <v/>
      </c>
      <c r="BB348" t="str">
        <f t="shared" si="234"/>
        <v xml:space="preserve">                     </v>
      </c>
      <c r="BC348" t="str">
        <f t="shared" si="235"/>
        <v xml:space="preserve">                  </v>
      </c>
      <c r="BD348" t="str">
        <f t="shared" si="236"/>
        <v xml:space="preserve">["NAME"] = { ["EN"] = "Extra"; }; </v>
      </c>
      <c r="BE348" t="str">
        <f t="shared" si="237"/>
        <v/>
      </c>
      <c r="BF348" t="str">
        <f t="shared" si="238"/>
        <v/>
      </c>
      <c r="BG348" t="str">
        <f t="shared" si="239"/>
        <v/>
      </c>
      <c r="BH348" t="str">
        <f t="shared" si="240"/>
        <v/>
      </c>
      <c r="BI348" t="str">
        <f t="shared" si="241"/>
        <v/>
      </c>
      <c r="BJ348" t="str">
        <f t="shared" si="243"/>
        <v>};</v>
      </c>
    </row>
    <row r="349" spans="1:62" x14ac:dyDescent="0.25">
      <c r="A349">
        <v>1879182341</v>
      </c>
      <c r="C349" t="s">
        <v>3758</v>
      </c>
      <c r="D349" t="s">
        <v>24</v>
      </c>
      <c r="G349" t="s">
        <v>2323</v>
      </c>
      <c r="X349" t="str">
        <f t="shared" si="211"/>
        <v>[348] = {["ID"] = 1879182341; }; -- The Spring Festival -- Season of the Garden</v>
      </c>
      <c r="Y349" s="1" t="str">
        <f t="shared" si="213"/>
        <v>[348] = {["ID"] = 1879182341;                       ["TYPE"] = 12;                       ["SUBTYPE"] =   0; ["NA"] = 2;                       ["VXP"] =    0; ["LP"] =  0; ["REP"] =     0; ["FACTION"] =  1;                                        ["NAME"] = { ["EN"] = "The Spring Festival -- Season of the Garden"; }; };</v>
      </c>
      <c r="Z349">
        <f t="shared" si="242"/>
        <v>348</v>
      </c>
      <c r="AA349" t="str">
        <f t="shared" si="214"/>
        <v>[348] = {</v>
      </c>
      <c r="AB349" t="str">
        <f t="shared" si="215"/>
        <v xml:space="preserve">["ID"] = 1879182341; </v>
      </c>
      <c r="AC349" t="str">
        <f t="shared" si="216"/>
        <v xml:space="preserve">["ID"] = 1879182341; </v>
      </c>
      <c r="AD349" t="str">
        <f t="shared" si="217"/>
        <v/>
      </c>
      <c r="AE349" t="str">
        <f t="shared" si="218"/>
        <v/>
      </c>
      <c r="AF349" s="1" t="str">
        <f t="shared" si="219"/>
        <v xml:space="preserve">                      </v>
      </c>
      <c r="AG349">
        <f>VLOOKUP(D349,Type!A$2:B$16,2,FALSE)</f>
        <v>12</v>
      </c>
      <c r="AH349" t="str">
        <f t="shared" si="220"/>
        <v xml:space="preserve">["TYPE"] = 12; </v>
      </c>
      <c r="AI349" t="str">
        <f t="shared" si="221"/>
        <v xml:space="preserve">                      </v>
      </c>
      <c r="AJ349" t="str">
        <f>IF(AND(F349="Class",NOT(ISBLANK(E349))),VLOOKUP(E349,Class!A$1:B$12,2,FALSE),"")</f>
        <v/>
      </c>
      <c r="AK349" t="str">
        <f>IF(AND(F349="Vocation",NOT(ISBLANK(E349))),VLOOKUP(E349,Vocation!A$1:B$8,2,FALSE),"")</f>
        <v/>
      </c>
      <c r="AL349" t="str">
        <f>IF(AND(F349="Race",NOT(ISBLANK(E349))),VLOOKUP(E349,Race!A$1:B$9,2,),"")</f>
        <v/>
      </c>
      <c r="AM349" t="str">
        <f t="shared" si="222"/>
        <v xml:space="preserve">  0</v>
      </c>
      <c r="AN349" t="str">
        <f t="shared" si="223"/>
        <v xml:space="preserve">["SUBTYPE"] =   0; </v>
      </c>
      <c r="AO349">
        <f>IF(NOT(ISBLANK(G349)),VLOOKUP(G349,Type!D$2:E$6,2,FALSE),"")</f>
        <v>2</v>
      </c>
      <c r="AP349" t="str">
        <f t="shared" si="224"/>
        <v xml:space="preserve">["NA"] = 2; </v>
      </c>
      <c r="AQ349" t="str">
        <f t="shared" si="225"/>
        <v xml:space="preserve">                      </v>
      </c>
      <c r="AR349" t="str">
        <f t="shared" si="226"/>
        <v/>
      </c>
      <c r="AS349" t="str">
        <f t="shared" si="227"/>
        <v>0</v>
      </c>
      <c r="AT349" t="str">
        <f t="shared" si="228"/>
        <v xml:space="preserve">["VXP"] =    0; </v>
      </c>
      <c r="AU349" t="str">
        <f t="shared" si="229"/>
        <v>0</v>
      </c>
      <c r="AV349" t="str">
        <f t="shared" si="230"/>
        <v xml:space="preserve">["LP"] =  0; </v>
      </c>
      <c r="AW349" t="str">
        <f t="shared" si="231"/>
        <v>0</v>
      </c>
      <c r="AX349" t="str">
        <f t="shared" si="232"/>
        <v xml:space="preserve">["REP"] =     0; </v>
      </c>
      <c r="AY349">
        <f>IF(LEN(P349)&gt;0,VLOOKUP(P349,Faction!A$2:B$77,2,FALSE),1)</f>
        <v>1</v>
      </c>
      <c r="AZ349" t="str">
        <f t="shared" si="233"/>
        <v xml:space="preserve">["FACTION"] =  1; </v>
      </c>
      <c r="BA349" t="str">
        <f t="shared" si="212"/>
        <v/>
      </c>
      <c r="BB349" t="str">
        <f t="shared" si="234"/>
        <v xml:space="preserve">                     </v>
      </c>
      <c r="BC349" t="str">
        <f t="shared" si="235"/>
        <v xml:space="preserve">                  </v>
      </c>
      <c r="BD349" t="str">
        <f t="shared" si="236"/>
        <v xml:space="preserve">["NAME"] = { ["EN"] = "The Spring Festival -- Season of the Garden"; }; </v>
      </c>
      <c r="BE349" t="str">
        <f t="shared" si="237"/>
        <v/>
      </c>
      <c r="BF349" t="str">
        <f t="shared" si="238"/>
        <v/>
      </c>
      <c r="BG349" t="str">
        <f t="shared" si="239"/>
        <v/>
      </c>
      <c r="BH349" t="str">
        <f t="shared" si="240"/>
        <v/>
      </c>
      <c r="BI349" t="str">
        <f t="shared" si="241"/>
        <v/>
      </c>
      <c r="BJ349" t="str">
        <f t="shared" si="243"/>
        <v>};</v>
      </c>
    </row>
    <row r="350" spans="1:62" x14ac:dyDescent="0.25">
      <c r="A350">
        <v>1879185268</v>
      </c>
      <c r="C350" t="s">
        <v>3759</v>
      </c>
      <c r="D350" t="s">
        <v>24</v>
      </c>
      <c r="G350" t="s">
        <v>2323</v>
      </c>
      <c r="X350" t="str">
        <f t="shared" si="211"/>
        <v>[349] = {["ID"] = 1879185268; }; -- Happy Summer</v>
      </c>
      <c r="Y350" s="1" t="str">
        <f t="shared" si="213"/>
        <v>[349] = {["ID"] = 1879185268;                       ["TYPE"] = 12;                       ["SUBTYPE"] =   0; ["NA"] = 2;                       ["VXP"] =    0; ["LP"] =  0; ["REP"] =     0; ["FACTION"] =  1;                                        ["NAME"] = { ["EN"] = "Happy Summer"; }; };</v>
      </c>
      <c r="Z350">
        <f t="shared" si="242"/>
        <v>349</v>
      </c>
      <c r="AA350" t="str">
        <f t="shared" si="214"/>
        <v>[349] = {</v>
      </c>
      <c r="AB350" t="str">
        <f t="shared" si="215"/>
        <v xml:space="preserve">["ID"] = 1879185268; </v>
      </c>
      <c r="AC350" t="str">
        <f t="shared" si="216"/>
        <v xml:space="preserve">["ID"] = 1879185268; </v>
      </c>
      <c r="AD350" t="str">
        <f t="shared" si="217"/>
        <v/>
      </c>
      <c r="AE350" t="str">
        <f t="shared" si="218"/>
        <v/>
      </c>
      <c r="AF350" s="1" t="str">
        <f t="shared" si="219"/>
        <v xml:space="preserve">                      </v>
      </c>
      <c r="AG350">
        <f>VLOOKUP(D350,Type!A$2:B$16,2,FALSE)</f>
        <v>12</v>
      </c>
      <c r="AH350" t="str">
        <f t="shared" si="220"/>
        <v xml:space="preserve">["TYPE"] = 12; </v>
      </c>
      <c r="AI350" t="str">
        <f t="shared" si="221"/>
        <v xml:space="preserve">                      </v>
      </c>
      <c r="AJ350" t="str">
        <f>IF(AND(F350="Class",NOT(ISBLANK(E350))),VLOOKUP(E350,Class!A$1:B$12,2,FALSE),"")</f>
        <v/>
      </c>
      <c r="AK350" t="str">
        <f>IF(AND(F350="Vocation",NOT(ISBLANK(E350))),VLOOKUP(E350,Vocation!A$1:B$8,2,FALSE),"")</f>
        <v/>
      </c>
      <c r="AL350" t="str">
        <f>IF(AND(F350="Race",NOT(ISBLANK(E350))),VLOOKUP(E350,Race!A$1:B$9,2,),"")</f>
        <v/>
      </c>
      <c r="AM350" t="str">
        <f t="shared" si="222"/>
        <v xml:space="preserve">  0</v>
      </c>
      <c r="AN350" t="str">
        <f t="shared" si="223"/>
        <v xml:space="preserve">["SUBTYPE"] =   0; </v>
      </c>
      <c r="AO350">
        <f>IF(NOT(ISBLANK(G350)),VLOOKUP(G350,Type!D$2:E$6,2,FALSE),"")</f>
        <v>2</v>
      </c>
      <c r="AP350" t="str">
        <f t="shared" si="224"/>
        <v xml:space="preserve">["NA"] = 2; </v>
      </c>
      <c r="AQ350" t="str">
        <f t="shared" si="225"/>
        <v xml:space="preserve">                      </v>
      </c>
      <c r="AR350" t="str">
        <f t="shared" si="226"/>
        <v/>
      </c>
      <c r="AS350" t="str">
        <f t="shared" si="227"/>
        <v>0</v>
      </c>
      <c r="AT350" t="str">
        <f t="shared" si="228"/>
        <v xml:space="preserve">["VXP"] =    0; </v>
      </c>
      <c r="AU350" t="str">
        <f t="shared" si="229"/>
        <v>0</v>
      </c>
      <c r="AV350" t="str">
        <f t="shared" si="230"/>
        <v xml:space="preserve">["LP"] =  0; </v>
      </c>
      <c r="AW350" t="str">
        <f t="shared" si="231"/>
        <v>0</v>
      </c>
      <c r="AX350" t="str">
        <f t="shared" si="232"/>
        <v xml:space="preserve">["REP"] =     0; </v>
      </c>
      <c r="AY350">
        <f>IF(LEN(P350)&gt;0,VLOOKUP(P350,Faction!A$2:B$77,2,FALSE),1)</f>
        <v>1</v>
      </c>
      <c r="AZ350" t="str">
        <f t="shared" si="233"/>
        <v xml:space="preserve">["FACTION"] =  1; </v>
      </c>
      <c r="BA350" t="str">
        <f t="shared" si="212"/>
        <v/>
      </c>
      <c r="BB350" t="str">
        <f t="shared" si="234"/>
        <v xml:space="preserve">                     </v>
      </c>
      <c r="BC350" t="str">
        <f t="shared" si="235"/>
        <v xml:space="preserve">                  </v>
      </c>
      <c r="BD350" t="str">
        <f t="shared" si="236"/>
        <v xml:space="preserve">["NAME"] = { ["EN"] = "Happy Summer"; }; </v>
      </c>
      <c r="BE350" t="str">
        <f t="shared" si="237"/>
        <v/>
      </c>
      <c r="BF350" t="str">
        <f t="shared" si="238"/>
        <v/>
      </c>
      <c r="BG350" t="str">
        <f t="shared" si="239"/>
        <v/>
      </c>
      <c r="BH350" t="str">
        <f t="shared" si="240"/>
        <v/>
      </c>
      <c r="BI350" t="str">
        <f t="shared" si="241"/>
        <v/>
      </c>
      <c r="BJ350" t="str">
        <f t="shared" si="243"/>
        <v>};</v>
      </c>
    </row>
    <row r="351" spans="1:62" x14ac:dyDescent="0.25">
      <c r="C351" s="3" t="s">
        <v>2612</v>
      </c>
      <c r="D351" s="2" t="s">
        <v>812</v>
      </c>
      <c r="Q351" s="4"/>
      <c r="S351">
        <v>1</v>
      </c>
      <c r="V351">
        <v>156</v>
      </c>
      <c r="X351" t="str">
        <f t="shared" si="211"/>
        <v>[350] = {["CAT_ID"] = 156; ["TIER"] = 1; }; -- - Miscellaneous -</v>
      </c>
      <c r="Y351" s="1" t="str">
        <f t="shared" si="213"/>
        <v>[350] = {                                           ["TYPE"] = 14;                       ["SUBTYPE"] =   0;                                   ["VXP"] =    0; ["LP"] =  0; ["REP"] =     0; ["FACTION"] =  1; ["TIER"] = 1;                                        ["NAME"] = { ["EN"] = "- Miscellaneous -"; }; };</v>
      </c>
      <c r="Z351">
        <f t="shared" si="242"/>
        <v>350</v>
      </c>
      <c r="AA351" t="str">
        <f t="shared" si="214"/>
        <v>[350] = {</v>
      </c>
      <c r="AB351" t="str">
        <f t="shared" si="215"/>
        <v xml:space="preserve">                     </v>
      </c>
      <c r="AC351" t="str">
        <f t="shared" si="216"/>
        <v/>
      </c>
      <c r="AD351" t="str">
        <f t="shared" si="217"/>
        <v xml:space="preserve">["CAT_ID"] = 156; </v>
      </c>
      <c r="AE351" t="str">
        <f t="shared" si="218"/>
        <v/>
      </c>
      <c r="AF351" s="1" t="str">
        <f t="shared" si="219"/>
        <v xml:space="preserve">                      </v>
      </c>
      <c r="AG351">
        <f>VLOOKUP(D351,Type!A$2:B$16,2,FALSE)</f>
        <v>14</v>
      </c>
      <c r="AH351" t="str">
        <f t="shared" si="220"/>
        <v xml:space="preserve">["TYPE"] = 14; </v>
      </c>
      <c r="AI351" t="str">
        <f t="shared" si="221"/>
        <v xml:space="preserve">                      </v>
      </c>
      <c r="AJ351" t="str">
        <f>IF(AND(F351="Class",NOT(ISBLANK(E351))),VLOOKUP(E351,Class!A$1:B$12,2,FALSE),"")</f>
        <v/>
      </c>
      <c r="AK351" t="str">
        <f>IF(AND(F351="Vocation",NOT(ISBLANK(E351))),VLOOKUP(E351,Vocation!A$1:B$8,2,FALSE),"")</f>
        <v/>
      </c>
      <c r="AL351" t="str">
        <f>IF(AND(F351="Race",NOT(ISBLANK(E351))),VLOOKUP(E351,Race!A$1:B$9,2,),"")</f>
        <v/>
      </c>
      <c r="AM351" t="str">
        <f t="shared" si="222"/>
        <v xml:space="preserve">  0</v>
      </c>
      <c r="AN351" t="str">
        <f t="shared" si="223"/>
        <v xml:space="preserve">["SUBTYPE"] =   0; </v>
      </c>
      <c r="AO351" t="str">
        <f>IF(NOT(ISBLANK(G351)),VLOOKUP(G351,Type!D$2:E$6,2,FALSE),"")</f>
        <v/>
      </c>
      <c r="AP351" t="str">
        <f t="shared" si="224"/>
        <v xml:space="preserve">            </v>
      </c>
      <c r="AQ351" t="str">
        <f t="shared" si="225"/>
        <v xml:space="preserve">                      </v>
      </c>
      <c r="AR351" t="str">
        <f t="shared" si="226"/>
        <v/>
      </c>
      <c r="AS351" t="str">
        <f t="shared" si="227"/>
        <v>0</v>
      </c>
      <c r="AT351" t="str">
        <f t="shared" si="228"/>
        <v xml:space="preserve">["VXP"] =    0; </v>
      </c>
      <c r="AU351" t="str">
        <f t="shared" si="229"/>
        <v>0</v>
      </c>
      <c r="AV351" t="str">
        <f t="shared" si="230"/>
        <v xml:space="preserve">["LP"] =  0; </v>
      </c>
      <c r="AW351" t="str">
        <f t="shared" si="231"/>
        <v>0</v>
      </c>
      <c r="AX351" t="str">
        <f t="shared" si="232"/>
        <v xml:space="preserve">["REP"] =     0; </v>
      </c>
      <c r="AY351">
        <f>IF(LEN(P351)&gt;0,VLOOKUP(P351,Faction!A$2:B$77,2,FALSE),1)</f>
        <v>1</v>
      </c>
      <c r="AZ351" t="str">
        <f t="shared" si="233"/>
        <v xml:space="preserve">["FACTION"] =  1; </v>
      </c>
      <c r="BA351" t="str">
        <f t="shared" si="212"/>
        <v xml:space="preserve">["TIER"] = 1; </v>
      </c>
      <c r="BB351" t="str">
        <f t="shared" si="234"/>
        <v xml:space="preserve">                     </v>
      </c>
      <c r="BC351" t="str">
        <f t="shared" si="235"/>
        <v xml:space="preserve">                  </v>
      </c>
      <c r="BD351" t="str">
        <f t="shared" si="236"/>
        <v xml:space="preserve">["NAME"] = { ["EN"] = "- Miscellaneous -"; }; </v>
      </c>
      <c r="BE351" t="str">
        <f t="shared" si="237"/>
        <v/>
      </c>
      <c r="BF351" t="str">
        <f t="shared" si="238"/>
        <v/>
      </c>
      <c r="BG351" t="str">
        <f t="shared" si="239"/>
        <v/>
      </c>
      <c r="BH351" t="str">
        <f t="shared" si="240"/>
        <v/>
      </c>
      <c r="BI351" t="str">
        <f t="shared" si="241"/>
        <v/>
      </c>
      <c r="BJ351" t="str">
        <f t="shared" si="243"/>
        <v>};</v>
      </c>
    </row>
    <row r="352" spans="1:62" x14ac:dyDescent="0.25">
      <c r="A352">
        <v>1879355930</v>
      </c>
      <c r="B352">
        <v>250</v>
      </c>
      <c r="C352" t="s">
        <v>2613</v>
      </c>
      <c r="D352" t="s">
        <v>24</v>
      </c>
      <c r="G352" t="s">
        <v>2326</v>
      </c>
      <c r="Q352" s="4" t="s">
        <v>2615</v>
      </c>
      <c r="R352" t="s">
        <v>2614</v>
      </c>
      <c r="S352">
        <v>0</v>
      </c>
      <c r="X352" t="str">
        <f t="shared" si="211"/>
        <v>[351] = {["ID"] = 1879355930; }; -- Aria of Virtues</v>
      </c>
      <c r="Y352" s="1" t="str">
        <f t="shared" si="213"/>
        <v>[351] = {["ID"] = 1879355930; ["SAVE_INDEX"] = 250; ["TYPE"] = 12;                       ["SUBTYPE"] =   0; ["NA"] = 5;                       ["VXP"] =    0; ["LP"] =  0; ["REP"] =     0; ["FACTION"] =  1;                                        ["NAME"] = { ["EN"] = "Aria of Virtues"; }; ["LORE"] = { ["EN"] = "You have earned Virtues from the Aria of the Valar"; }; ["SUMMARY"] = { ["EN"] = "Receive Virtues from the Aria of the Valar."; }; };</v>
      </c>
      <c r="Z352">
        <f t="shared" si="242"/>
        <v>351</v>
      </c>
      <c r="AA352" t="str">
        <f t="shared" si="214"/>
        <v>[351] = {</v>
      </c>
      <c r="AB352" t="str">
        <f t="shared" si="215"/>
        <v xml:space="preserve">["ID"] = 1879355930; </v>
      </c>
      <c r="AC352" t="str">
        <f t="shared" si="216"/>
        <v xml:space="preserve">["ID"] = 1879355930; </v>
      </c>
      <c r="AD352" t="str">
        <f t="shared" si="217"/>
        <v/>
      </c>
      <c r="AE352" t="str">
        <f t="shared" si="218"/>
        <v/>
      </c>
      <c r="AF352" s="1" t="str">
        <f t="shared" si="219"/>
        <v xml:space="preserve">["SAVE_INDEX"] = 250; </v>
      </c>
      <c r="AG352">
        <f>VLOOKUP(D352,Type!A$2:B$16,2,FALSE)</f>
        <v>12</v>
      </c>
      <c r="AH352" t="str">
        <f t="shared" si="220"/>
        <v xml:space="preserve">["TYPE"] = 12; </v>
      </c>
      <c r="AI352" t="str">
        <f t="shared" si="221"/>
        <v xml:space="preserve">                      </v>
      </c>
      <c r="AJ352" t="str">
        <f>IF(AND(F352="Class",NOT(ISBLANK(E352))),VLOOKUP(E352,Class!A$1:B$12,2,FALSE),"")</f>
        <v/>
      </c>
      <c r="AK352" t="str">
        <f>IF(AND(F352="Vocation",NOT(ISBLANK(E352))),VLOOKUP(E352,Vocation!A$1:B$8,2,FALSE),"")</f>
        <v/>
      </c>
      <c r="AL352" t="str">
        <f>IF(AND(F352="Race",NOT(ISBLANK(E352))),VLOOKUP(E352,Race!A$1:B$9,2,),"")</f>
        <v/>
      </c>
      <c r="AM352" t="str">
        <f t="shared" si="222"/>
        <v xml:space="preserve">  0</v>
      </c>
      <c r="AN352" t="str">
        <f t="shared" si="223"/>
        <v xml:space="preserve">["SUBTYPE"] =   0; </v>
      </c>
      <c r="AO352">
        <f>IF(NOT(ISBLANK(G352)),VLOOKUP(G352,Type!D$2:E$6,2,FALSE),"")</f>
        <v>5</v>
      </c>
      <c r="AP352" t="str">
        <f t="shared" si="224"/>
        <v xml:space="preserve">["NA"] = 5; </v>
      </c>
      <c r="AQ352" t="str">
        <f t="shared" si="225"/>
        <v xml:space="preserve">                      </v>
      </c>
      <c r="AR352" t="str">
        <f t="shared" si="226"/>
        <v/>
      </c>
      <c r="AS352" t="str">
        <f t="shared" si="227"/>
        <v>0</v>
      </c>
      <c r="AT352" t="str">
        <f t="shared" si="228"/>
        <v xml:space="preserve">["VXP"] =    0; </v>
      </c>
      <c r="AU352" t="str">
        <f t="shared" si="229"/>
        <v>0</v>
      </c>
      <c r="AV352" t="str">
        <f t="shared" si="230"/>
        <v xml:space="preserve">["LP"] =  0; </v>
      </c>
      <c r="AW352" t="str">
        <f t="shared" si="231"/>
        <v>0</v>
      </c>
      <c r="AX352" t="str">
        <f t="shared" si="232"/>
        <v xml:space="preserve">["REP"] =     0; </v>
      </c>
      <c r="AY352">
        <f>IF(LEN(P352)&gt;0,VLOOKUP(P352,Faction!A$2:B$77,2,FALSE),1)</f>
        <v>1</v>
      </c>
      <c r="AZ352" t="str">
        <f t="shared" si="233"/>
        <v xml:space="preserve">["FACTION"] =  1; </v>
      </c>
      <c r="BA352" t="str">
        <f t="shared" si="212"/>
        <v/>
      </c>
      <c r="BB352" t="str">
        <f t="shared" si="234"/>
        <v xml:space="preserve">                     </v>
      </c>
      <c r="BC352" t="str">
        <f t="shared" si="235"/>
        <v xml:space="preserve">                  </v>
      </c>
      <c r="BD352" t="str">
        <f t="shared" si="236"/>
        <v xml:space="preserve">["NAME"] = { ["EN"] = "Aria of Virtues"; }; </v>
      </c>
      <c r="BE352" t="str">
        <f t="shared" si="237"/>
        <v xml:space="preserve">["LORE"] = { ["EN"] = "You have earned Virtues from the Aria of the Valar"; }; </v>
      </c>
      <c r="BF352" t="str">
        <f t="shared" si="238"/>
        <v xml:space="preserve">["SUMMARY"] = { ["EN"] = "Receive Virtues from the Aria of the Valar."; }; </v>
      </c>
      <c r="BG352" t="str">
        <f t="shared" si="239"/>
        <v/>
      </c>
      <c r="BH352" t="str">
        <f t="shared" si="240"/>
        <v/>
      </c>
      <c r="BI352" t="str">
        <f t="shared" si="241"/>
        <v/>
      </c>
      <c r="BJ352" t="str">
        <f t="shared" si="243"/>
        <v>};</v>
      </c>
    </row>
    <row r="353" spans="1:62" x14ac:dyDescent="0.25">
      <c r="A353">
        <v>1879397777</v>
      </c>
      <c r="B353">
        <v>251</v>
      </c>
      <c r="C353" t="s">
        <v>2636</v>
      </c>
      <c r="D353" t="s">
        <v>24</v>
      </c>
      <c r="G353" t="s">
        <v>2326</v>
      </c>
      <c r="Q353" s="4" t="s">
        <v>2638</v>
      </c>
      <c r="R353" t="s">
        <v>2637</v>
      </c>
      <c r="S353">
        <v>0</v>
      </c>
      <c r="X353" t="str">
        <f t="shared" si="211"/>
        <v>[352] = {["ID"] = 1879397777; }; -- Valar Trait Points - 120</v>
      </c>
      <c r="Y353" s="1" t="str">
        <f t="shared" si="213"/>
        <v>[352]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3">
        <f t="shared" si="242"/>
        <v>352</v>
      </c>
      <c r="AA353" t="str">
        <f t="shared" si="214"/>
        <v>[352] = {</v>
      </c>
      <c r="AB353" t="str">
        <f t="shared" si="215"/>
        <v xml:space="preserve">["ID"] = 1879397777; </v>
      </c>
      <c r="AC353" t="str">
        <f t="shared" si="216"/>
        <v xml:space="preserve">["ID"] = 1879397777; </v>
      </c>
      <c r="AD353" t="str">
        <f t="shared" si="217"/>
        <v/>
      </c>
      <c r="AE353" t="str">
        <f t="shared" si="218"/>
        <v/>
      </c>
      <c r="AF353" s="1" t="str">
        <f t="shared" si="219"/>
        <v xml:space="preserve">["SAVE_INDEX"] = 251; </v>
      </c>
      <c r="AG353">
        <f>VLOOKUP(D353,Type!A$2:B$16,2,FALSE)</f>
        <v>12</v>
      </c>
      <c r="AH353" t="str">
        <f t="shared" si="220"/>
        <v xml:space="preserve">["TYPE"] = 12; </v>
      </c>
      <c r="AI353" t="str">
        <f t="shared" si="221"/>
        <v xml:space="preserve">                      </v>
      </c>
      <c r="AJ353" t="str">
        <f>IF(AND(F353="Class",NOT(ISBLANK(E353))),VLOOKUP(E353,Class!A$1:B$12,2,FALSE),"")</f>
        <v/>
      </c>
      <c r="AK353" t="str">
        <f>IF(AND(F353="Vocation",NOT(ISBLANK(E353))),VLOOKUP(E353,Vocation!A$1:B$8,2,FALSE),"")</f>
        <v/>
      </c>
      <c r="AL353" t="str">
        <f>IF(AND(F353="Race",NOT(ISBLANK(E353))),VLOOKUP(E353,Race!A$1:B$9,2,),"")</f>
        <v/>
      </c>
      <c r="AM353" t="str">
        <f t="shared" si="222"/>
        <v xml:space="preserve">  0</v>
      </c>
      <c r="AN353" t="str">
        <f t="shared" si="223"/>
        <v xml:space="preserve">["SUBTYPE"] =   0; </v>
      </c>
      <c r="AO353">
        <f>IF(NOT(ISBLANK(G353)),VLOOKUP(G353,Type!D$2:E$6,2,FALSE),"")</f>
        <v>5</v>
      </c>
      <c r="AP353" t="str">
        <f t="shared" si="224"/>
        <v xml:space="preserve">["NA"] = 5; </v>
      </c>
      <c r="AQ353" t="str">
        <f t="shared" si="225"/>
        <v xml:space="preserve">                      </v>
      </c>
      <c r="AR353" t="str">
        <f t="shared" si="226"/>
        <v/>
      </c>
      <c r="AS353" t="str">
        <f t="shared" si="227"/>
        <v>0</v>
      </c>
      <c r="AT353" t="str">
        <f t="shared" si="228"/>
        <v xml:space="preserve">["VXP"] =    0; </v>
      </c>
      <c r="AU353" t="str">
        <f t="shared" si="229"/>
        <v>0</v>
      </c>
      <c r="AV353" t="str">
        <f t="shared" si="230"/>
        <v xml:space="preserve">["LP"] =  0; </v>
      </c>
      <c r="AW353" t="str">
        <f t="shared" si="231"/>
        <v>0</v>
      </c>
      <c r="AX353" t="str">
        <f t="shared" si="232"/>
        <v xml:space="preserve">["REP"] =     0; </v>
      </c>
      <c r="AY353">
        <f>IF(LEN(P353)&gt;0,VLOOKUP(P353,Faction!A$2:B$77,2,FALSE),1)</f>
        <v>1</v>
      </c>
      <c r="AZ353" t="str">
        <f t="shared" si="233"/>
        <v xml:space="preserve">["FACTION"] =  1; </v>
      </c>
      <c r="BA353" t="str">
        <f t="shared" si="212"/>
        <v/>
      </c>
      <c r="BB353" t="str">
        <f t="shared" si="234"/>
        <v xml:space="preserve">                     </v>
      </c>
      <c r="BC353" t="str">
        <f t="shared" si="235"/>
        <v xml:space="preserve">                  </v>
      </c>
      <c r="BD353" t="str">
        <f t="shared" si="236"/>
        <v xml:space="preserve">["NAME"] = { ["EN"] = "Valar Trait Points - 120"; }; </v>
      </c>
      <c r="BE353" t="str">
        <f t="shared" si="237"/>
        <v xml:space="preserve">["LORE"] = { ["EN"] = "You have earned class trait points from the Valar level boost - 120"; }; </v>
      </c>
      <c r="BF353" t="str">
        <f t="shared" si="238"/>
        <v xml:space="preserve">["SUMMARY"] = { ["EN"] = "Receive 28 trait points from the Valar level boost - 120."; }; </v>
      </c>
      <c r="BG353" t="str">
        <f t="shared" si="239"/>
        <v/>
      </c>
      <c r="BH353" t="str">
        <f t="shared" si="240"/>
        <v/>
      </c>
      <c r="BI353" t="str">
        <f t="shared" si="241"/>
        <v/>
      </c>
      <c r="BJ353" t="str">
        <f t="shared" si="243"/>
        <v>};</v>
      </c>
    </row>
    <row r="354" spans="1:62" x14ac:dyDescent="0.25">
      <c r="A354">
        <v>1879439189</v>
      </c>
      <c r="B354">
        <v>347</v>
      </c>
      <c r="C354" t="s">
        <v>3307</v>
      </c>
      <c r="D354" t="s">
        <v>24</v>
      </c>
      <c r="G354" t="s">
        <v>2326</v>
      </c>
      <c r="Q354" s="4" t="s">
        <v>3309</v>
      </c>
      <c r="R354" t="s">
        <v>3310</v>
      </c>
      <c r="S354">
        <v>0</v>
      </c>
      <c r="X354" t="str">
        <f t="shared" si="211"/>
        <v>[353] = {["ID"] = 1879439189; }; -- Valar Trait Points - 130</v>
      </c>
      <c r="Y354" s="1" t="str">
        <f t="shared" si="213"/>
        <v>[353]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4">
        <f t="shared" si="242"/>
        <v>353</v>
      </c>
      <c r="AA354" t="str">
        <f t="shared" si="214"/>
        <v>[353] = {</v>
      </c>
      <c r="AB354" t="str">
        <f t="shared" si="215"/>
        <v xml:space="preserve">["ID"] = 1879439189; </v>
      </c>
      <c r="AC354" t="str">
        <f t="shared" si="216"/>
        <v xml:space="preserve">["ID"] = 1879439189; </v>
      </c>
      <c r="AD354" t="str">
        <f t="shared" si="217"/>
        <v/>
      </c>
      <c r="AE354" t="str">
        <f t="shared" si="218"/>
        <v/>
      </c>
      <c r="AF354" s="1" t="str">
        <f t="shared" si="219"/>
        <v xml:space="preserve">["SAVE_INDEX"] = 347; </v>
      </c>
      <c r="AG354">
        <f>VLOOKUP(D354,Type!A$2:B$16,2,FALSE)</f>
        <v>12</v>
      </c>
      <c r="AH354" t="str">
        <f t="shared" si="220"/>
        <v xml:space="preserve">["TYPE"] = 12; </v>
      </c>
      <c r="AI354" t="str">
        <f t="shared" si="221"/>
        <v xml:space="preserve">                      </v>
      </c>
      <c r="AJ354" t="str">
        <f>IF(AND(F354="Class",NOT(ISBLANK(E354))),VLOOKUP(E354,Class!A$1:B$12,2,FALSE),"")</f>
        <v/>
      </c>
      <c r="AK354" t="str">
        <f>IF(AND(F354="Vocation",NOT(ISBLANK(E354))),VLOOKUP(E354,Vocation!A$1:B$8,2,FALSE),"")</f>
        <v/>
      </c>
      <c r="AL354" t="str">
        <f>IF(AND(F354="Race",NOT(ISBLANK(E354))),VLOOKUP(E354,Race!A$1:B$9,2,),"")</f>
        <v/>
      </c>
      <c r="AM354" t="str">
        <f t="shared" si="222"/>
        <v xml:space="preserve">  0</v>
      </c>
      <c r="AN354" t="str">
        <f t="shared" si="223"/>
        <v xml:space="preserve">["SUBTYPE"] =   0; </v>
      </c>
      <c r="AO354">
        <f>IF(NOT(ISBLANK(G354)),VLOOKUP(G354,Type!D$2:E$6,2,FALSE),"")</f>
        <v>5</v>
      </c>
      <c r="AP354" t="str">
        <f t="shared" si="224"/>
        <v xml:space="preserve">["NA"] = 5; </v>
      </c>
      <c r="AQ354" t="str">
        <f t="shared" si="225"/>
        <v xml:space="preserve">                      </v>
      </c>
      <c r="AR354" t="str">
        <f t="shared" si="226"/>
        <v/>
      </c>
      <c r="AS354" t="str">
        <f t="shared" si="227"/>
        <v>0</v>
      </c>
      <c r="AT354" t="str">
        <f t="shared" si="228"/>
        <v xml:space="preserve">["VXP"] =    0; </v>
      </c>
      <c r="AU354" t="str">
        <f t="shared" si="229"/>
        <v>0</v>
      </c>
      <c r="AV354" t="str">
        <f t="shared" si="230"/>
        <v xml:space="preserve">["LP"] =  0; </v>
      </c>
      <c r="AW354" t="str">
        <f t="shared" si="231"/>
        <v>0</v>
      </c>
      <c r="AX354" t="str">
        <f t="shared" si="232"/>
        <v xml:space="preserve">["REP"] =     0; </v>
      </c>
      <c r="AY354">
        <f>IF(LEN(P354)&gt;0,VLOOKUP(P354,Faction!A$2:B$77,2,FALSE),1)</f>
        <v>1</v>
      </c>
      <c r="AZ354" t="str">
        <f t="shared" si="233"/>
        <v xml:space="preserve">["FACTION"] =  1; </v>
      </c>
      <c r="BA354" t="str">
        <f t="shared" si="212"/>
        <v/>
      </c>
      <c r="BB354" t="str">
        <f t="shared" si="234"/>
        <v xml:space="preserve">                     </v>
      </c>
      <c r="BC354" t="str">
        <f t="shared" si="235"/>
        <v xml:space="preserve">                  </v>
      </c>
      <c r="BD354" t="str">
        <f t="shared" si="236"/>
        <v xml:space="preserve">["NAME"] = { ["EN"] = "Valar Trait Points - 130"; }; </v>
      </c>
      <c r="BE354" t="str">
        <f t="shared" si="237"/>
        <v xml:space="preserve">["LORE"] = { ["EN"] = "You have earned class trait points from the Valar level boost - 130"; }; </v>
      </c>
      <c r="BF354" t="str">
        <f t="shared" si="238"/>
        <v xml:space="preserve">["SUMMARY"] = { ["EN"] = "Receive 30 trait points from the Valar level boost - 130."; }; </v>
      </c>
      <c r="BG354" t="str">
        <f t="shared" si="239"/>
        <v/>
      </c>
      <c r="BH354" t="str">
        <f t="shared" si="240"/>
        <v/>
      </c>
      <c r="BI354" t="str">
        <f t="shared" si="241"/>
        <v/>
      </c>
      <c r="BJ354" t="str">
        <f t="shared" si="243"/>
        <v>};</v>
      </c>
    </row>
    <row r="355" spans="1:62" x14ac:dyDescent="0.25">
      <c r="C355" s="3" t="s">
        <v>2440</v>
      </c>
      <c r="D355" s="2" t="s">
        <v>812</v>
      </c>
      <c r="S355">
        <v>1</v>
      </c>
      <c r="V355">
        <v>157</v>
      </c>
      <c r="X355" t="str">
        <f t="shared" si="211"/>
        <v>[354] = {["CAT_ID"] = 157; ["TIER"] = 1; }; -- - Book 14 / Eregion pre-release, 2008 -</v>
      </c>
      <c r="Y355" s="1" t="str">
        <f t="shared" si="213"/>
        <v>[354] = {                                           ["TYPE"] = 14;                       ["SUBTYPE"] =   0;                                   ["VXP"] =    0; ["LP"] =  0; ["REP"] =     0; ["FACTION"] =  1; ["TIER"] = 1;                                        ["NAME"] = { ["EN"] = "- Book 14 / Eregion pre-release, 2008 -"; }; };</v>
      </c>
      <c r="Z355">
        <f t="shared" si="242"/>
        <v>354</v>
      </c>
      <c r="AA355" t="str">
        <f t="shared" si="214"/>
        <v>[354] = {</v>
      </c>
      <c r="AB355" t="str">
        <f t="shared" si="215"/>
        <v xml:space="preserve">                     </v>
      </c>
      <c r="AC355" t="str">
        <f t="shared" si="216"/>
        <v/>
      </c>
      <c r="AD355" t="str">
        <f t="shared" si="217"/>
        <v xml:space="preserve">["CAT_ID"] = 157; </v>
      </c>
      <c r="AE355" t="str">
        <f t="shared" si="218"/>
        <v/>
      </c>
      <c r="AF355" s="1" t="str">
        <f t="shared" si="219"/>
        <v xml:space="preserve">                      </v>
      </c>
      <c r="AG355">
        <f>VLOOKUP(D355,Type!A$2:B$16,2,FALSE)</f>
        <v>14</v>
      </c>
      <c r="AH355" t="str">
        <f t="shared" si="220"/>
        <v xml:space="preserve">["TYPE"] = 14; </v>
      </c>
      <c r="AI355" t="str">
        <f t="shared" si="221"/>
        <v xml:space="preserve">                      </v>
      </c>
      <c r="AJ355" t="str">
        <f>IF(AND(F355="Class",NOT(ISBLANK(E355))),VLOOKUP(E355,Class!A$1:B$12,2,FALSE),"")</f>
        <v/>
      </c>
      <c r="AK355" t="str">
        <f>IF(AND(F355="Vocation",NOT(ISBLANK(E355))),VLOOKUP(E355,Vocation!A$1:B$8,2,FALSE),"")</f>
        <v/>
      </c>
      <c r="AL355" t="str">
        <f>IF(AND(F355="Race",NOT(ISBLANK(E355))),VLOOKUP(E355,Race!A$1:B$9,2,),"")</f>
        <v/>
      </c>
      <c r="AM355" t="str">
        <f t="shared" si="222"/>
        <v xml:space="preserve">  0</v>
      </c>
      <c r="AN355" t="str">
        <f t="shared" si="223"/>
        <v xml:space="preserve">["SUBTYPE"] =   0; </v>
      </c>
      <c r="AO355" t="str">
        <f>IF(NOT(ISBLANK(G355)),VLOOKUP(G355,Type!D$2:E$6,2,FALSE),"")</f>
        <v/>
      </c>
      <c r="AP355" t="str">
        <f t="shared" si="224"/>
        <v xml:space="preserve">            </v>
      </c>
      <c r="AQ355" t="str">
        <f t="shared" si="225"/>
        <v xml:space="preserve">                      </v>
      </c>
      <c r="AR355" t="str">
        <f t="shared" si="226"/>
        <v/>
      </c>
      <c r="AS355" t="str">
        <f t="shared" si="227"/>
        <v>0</v>
      </c>
      <c r="AT355" t="str">
        <f t="shared" si="228"/>
        <v xml:space="preserve">["VXP"] =    0; </v>
      </c>
      <c r="AU355" t="str">
        <f t="shared" si="229"/>
        <v>0</v>
      </c>
      <c r="AV355" t="str">
        <f t="shared" si="230"/>
        <v xml:space="preserve">["LP"] =  0; </v>
      </c>
      <c r="AW355" t="str">
        <f t="shared" si="231"/>
        <v>0</v>
      </c>
      <c r="AX355" t="str">
        <f t="shared" si="232"/>
        <v xml:space="preserve">["REP"] =     0; </v>
      </c>
      <c r="AY355">
        <f>IF(LEN(P355)&gt;0,VLOOKUP(P355,Faction!A$2:B$77,2,FALSE),1)</f>
        <v>1</v>
      </c>
      <c r="AZ355" t="str">
        <f t="shared" si="233"/>
        <v xml:space="preserve">["FACTION"] =  1; </v>
      </c>
      <c r="BA355" t="str">
        <f t="shared" si="212"/>
        <v xml:space="preserve">["TIER"] = 1; </v>
      </c>
      <c r="BB355" t="str">
        <f t="shared" si="234"/>
        <v xml:space="preserve">                     </v>
      </c>
      <c r="BC355" t="str">
        <f t="shared" si="235"/>
        <v xml:space="preserve">                  </v>
      </c>
      <c r="BD355" t="str">
        <f t="shared" si="236"/>
        <v xml:space="preserve">["NAME"] = { ["EN"] = "- Book 14 / Eregion pre-release, 2008 -"; }; </v>
      </c>
      <c r="BE355" t="str">
        <f t="shared" si="237"/>
        <v/>
      </c>
      <c r="BF355" t="str">
        <f t="shared" si="238"/>
        <v/>
      </c>
      <c r="BG355" t="str">
        <f t="shared" si="239"/>
        <v/>
      </c>
      <c r="BH355" t="str">
        <f t="shared" si="240"/>
        <v/>
      </c>
      <c r="BI355" t="str">
        <f t="shared" si="241"/>
        <v/>
      </c>
      <c r="BJ355" t="str">
        <f t="shared" si="243"/>
        <v>};</v>
      </c>
    </row>
    <row r="356" spans="1:62" x14ac:dyDescent="0.25">
      <c r="A356">
        <v>1879114138</v>
      </c>
      <c r="B356">
        <v>252</v>
      </c>
      <c r="C356" t="s">
        <v>2442</v>
      </c>
      <c r="D356" t="s">
        <v>24</v>
      </c>
      <c r="G356" t="s">
        <v>2324</v>
      </c>
      <c r="M356" t="s">
        <v>2442</v>
      </c>
      <c r="O356">
        <v>900</v>
      </c>
      <c r="P356" t="s">
        <v>51</v>
      </c>
      <c r="Q356" t="s">
        <v>2443</v>
      </c>
      <c r="R356" t="s">
        <v>2441</v>
      </c>
      <c r="S356">
        <v>0</v>
      </c>
      <c r="T356">
        <v>21</v>
      </c>
      <c r="X356" t="str">
        <f t="shared" si="211"/>
        <v>[355] = {["ID"] = 1879114138; }; -- Master of Forgotten Lore</v>
      </c>
      <c r="Y356" s="1" t="str">
        <f t="shared" si="213"/>
        <v>[355]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6">
        <f t="shared" si="242"/>
        <v>355</v>
      </c>
      <c r="AA356" t="str">
        <f t="shared" si="214"/>
        <v>[355] = {</v>
      </c>
      <c r="AB356" t="str">
        <f t="shared" si="215"/>
        <v xml:space="preserve">["ID"] = 1879114138; </v>
      </c>
      <c r="AC356" t="str">
        <f t="shared" si="216"/>
        <v xml:space="preserve">["ID"] = 1879114138; </v>
      </c>
      <c r="AD356" t="str">
        <f t="shared" si="217"/>
        <v/>
      </c>
      <c r="AE356" t="str">
        <f t="shared" si="218"/>
        <v/>
      </c>
      <c r="AF356" s="1" t="str">
        <f t="shared" si="219"/>
        <v xml:space="preserve">["SAVE_INDEX"] = 252; </v>
      </c>
      <c r="AG356">
        <f>VLOOKUP(D356,Type!A$2:B$16,2,FALSE)</f>
        <v>12</v>
      </c>
      <c r="AH356" t="str">
        <f t="shared" si="220"/>
        <v xml:space="preserve">["TYPE"] = 12; </v>
      </c>
      <c r="AI356" t="str">
        <f t="shared" si="221"/>
        <v xml:space="preserve">                      </v>
      </c>
      <c r="AJ356" t="str">
        <f>IF(AND(F356="Class",NOT(ISBLANK(E356))),VLOOKUP(E356,Class!A$1:B$12,2,FALSE),"")</f>
        <v/>
      </c>
      <c r="AK356" t="str">
        <f>IF(AND(F356="Vocation",NOT(ISBLANK(E356))),VLOOKUP(E356,Vocation!A$1:B$8,2,FALSE),"")</f>
        <v/>
      </c>
      <c r="AL356" t="str">
        <f>IF(AND(F356="Race",NOT(ISBLANK(E356))),VLOOKUP(E356,Race!A$1:B$9,2,),"")</f>
        <v/>
      </c>
      <c r="AM356" t="str">
        <f t="shared" si="222"/>
        <v xml:space="preserve">  0</v>
      </c>
      <c r="AN356" t="str">
        <f t="shared" si="223"/>
        <v xml:space="preserve">["SUBTYPE"] =   0; </v>
      </c>
      <c r="AO356">
        <f>IF(NOT(ISBLANK(G356)),VLOOKUP(G356,Type!D$2:E$6,2,FALSE),"")</f>
        <v>3</v>
      </c>
      <c r="AP356" t="str">
        <f t="shared" si="224"/>
        <v xml:space="preserve">["NA"] = 3; </v>
      </c>
      <c r="AQ356" t="str">
        <f t="shared" si="225"/>
        <v xml:space="preserve">                      </v>
      </c>
      <c r="AR356" t="str">
        <f t="shared" si="226"/>
        <v/>
      </c>
      <c r="AS356" t="str">
        <f t="shared" si="227"/>
        <v>0</v>
      </c>
      <c r="AT356" t="str">
        <f t="shared" si="228"/>
        <v xml:space="preserve">["VXP"] =    0; </v>
      </c>
      <c r="AU356" t="str">
        <f t="shared" si="229"/>
        <v>0</v>
      </c>
      <c r="AV356" t="str">
        <f t="shared" si="230"/>
        <v xml:space="preserve">["LP"] =  0; </v>
      </c>
      <c r="AW356" t="str">
        <f t="shared" si="231"/>
        <v>900</v>
      </c>
      <c r="AX356" t="str">
        <f t="shared" si="232"/>
        <v xml:space="preserve">["REP"] =   900; </v>
      </c>
      <c r="AY356">
        <f>IF(LEN(P356)&gt;0,VLOOKUP(P356,Faction!A$2:B$77,2,FALSE),1)</f>
        <v>11</v>
      </c>
      <c r="AZ356" t="str">
        <f t="shared" si="233"/>
        <v xml:space="preserve">["FACTION"] = 11; </v>
      </c>
      <c r="BA356" t="str">
        <f t="shared" si="212"/>
        <v/>
      </c>
      <c r="BB356" t="str">
        <f t="shared" si="234"/>
        <v xml:space="preserve">["MIN_LVL"] =  "21"; </v>
      </c>
      <c r="BC356" t="str">
        <f t="shared" si="235"/>
        <v xml:space="preserve">                  </v>
      </c>
      <c r="BD356" t="str">
        <f t="shared" si="236"/>
        <v xml:space="preserve">["NAME"] = { ["EN"] = "Master of Forgotten Lore"; }; </v>
      </c>
      <c r="BE356" t="str">
        <f t="shared" si="237"/>
        <v xml:space="preserve">["LORE"] = { ["EN"] = "You have aided in the search for the lost Ring-lore of Eregion."; }; </v>
      </c>
      <c r="BF356" t="str">
        <f t="shared" si="238"/>
        <v xml:space="preserve">["SUMMARY"] = { ["EN"] = "Complete 'Fragment of Eregion's Lore' or 'Shreds of Eregion's Lore' 16 times."; }; </v>
      </c>
      <c r="BG356" t="str">
        <f t="shared" si="239"/>
        <v xml:space="preserve">["TITLE"] = { ["EN"] = "Master of Forgotten Lore"; }; </v>
      </c>
      <c r="BH356" t="str">
        <f t="shared" si="240"/>
        <v/>
      </c>
      <c r="BI356" t="str">
        <f t="shared" si="241"/>
        <v/>
      </c>
      <c r="BJ356" t="str">
        <f t="shared" si="243"/>
        <v>};</v>
      </c>
    </row>
    <row r="357" spans="1:62" x14ac:dyDescent="0.25">
      <c r="A357">
        <v>1879114137</v>
      </c>
      <c r="B357">
        <v>253</v>
      </c>
      <c r="C357" t="s">
        <v>2437</v>
      </c>
      <c r="D357" t="s">
        <v>24</v>
      </c>
      <c r="G357" t="s">
        <v>2324</v>
      </c>
      <c r="M357" t="s">
        <v>2437</v>
      </c>
      <c r="O357">
        <v>900</v>
      </c>
      <c r="P357" t="s">
        <v>51</v>
      </c>
      <c r="Q357" t="s">
        <v>2444</v>
      </c>
      <c r="R357" t="s">
        <v>2441</v>
      </c>
      <c r="S357">
        <v>1</v>
      </c>
      <c r="T357">
        <v>21</v>
      </c>
      <c r="X357" t="str">
        <f t="shared" si="211"/>
        <v>[356] = {["ID"] = 1879114137; ["TIER"] = 1; }; -- Seeker of Truth</v>
      </c>
      <c r="Y357" s="1" t="str">
        <f t="shared" si="213"/>
        <v>[356]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7">
        <f t="shared" si="242"/>
        <v>356</v>
      </c>
      <c r="AA357" t="str">
        <f t="shared" si="214"/>
        <v>[356] = {</v>
      </c>
      <c r="AB357" t="str">
        <f t="shared" si="215"/>
        <v xml:space="preserve">["ID"] = 1879114137; </v>
      </c>
      <c r="AC357" t="str">
        <f t="shared" si="216"/>
        <v xml:space="preserve">["ID"] = 1879114137; </v>
      </c>
      <c r="AD357" t="str">
        <f t="shared" si="217"/>
        <v/>
      </c>
      <c r="AE357" t="str">
        <f t="shared" si="218"/>
        <v/>
      </c>
      <c r="AF357" s="1" t="str">
        <f t="shared" si="219"/>
        <v xml:space="preserve">["SAVE_INDEX"] = 253; </v>
      </c>
      <c r="AG357">
        <f>VLOOKUP(D357,Type!A$2:B$16,2,FALSE)</f>
        <v>12</v>
      </c>
      <c r="AH357" t="str">
        <f t="shared" si="220"/>
        <v xml:space="preserve">["TYPE"] = 12; </v>
      </c>
      <c r="AI357" t="str">
        <f t="shared" si="221"/>
        <v xml:space="preserve">                      </v>
      </c>
      <c r="AJ357" t="str">
        <f>IF(AND(F357="Class",NOT(ISBLANK(E357))),VLOOKUP(E357,Class!A$1:B$12,2,FALSE),"")</f>
        <v/>
      </c>
      <c r="AK357" t="str">
        <f>IF(AND(F357="Vocation",NOT(ISBLANK(E357))),VLOOKUP(E357,Vocation!A$1:B$8,2,FALSE),"")</f>
        <v/>
      </c>
      <c r="AL357" t="str">
        <f>IF(AND(F357="Race",NOT(ISBLANK(E357))),VLOOKUP(E357,Race!A$1:B$9,2,),"")</f>
        <v/>
      </c>
      <c r="AM357" t="str">
        <f t="shared" si="222"/>
        <v xml:space="preserve">  0</v>
      </c>
      <c r="AN357" t="str">
        <f t="shared" si="223"/>
        <v xml:space="preserve">["SUBTYPE"] =   0; </v>
      </c>
      <c r="AO357">
        <f>IF(NOT(ISBLANK(G357)),VLOOKUP(G357,Type!D$2:E$6,2,FALSE),"")</f>
        <v>3</v>
      </c>
      <c r="AP357" t="str">
        <f t="shared" si="224"/>
        <v xml:space="preserve">["NA"] = 3; </v>
      </c>
      <c r="AQ357" t="str">
        <f t="shared" si="225"/>
        <v xml:space="preserve">                      </v>
      </c>
      <c r="AR357" t="str">
        <f t="shared" si="226"/>
        <v/>
      </c>
      <c r="AS357" t="str">
        <f t="shared" si="227"/>
        <v>0</v>
      </c>
      <c r="AT357" t="str">
        <f t="shared" si="228"/>
        <v xml:space="preserve">["VXP"] =    0; </v>
      </c>
      <c r="AU357" t="str">
        <f t="shared" si="229"/>
        <v>0</v>
      </c>
      <c r="AV357" t="str">
        <f t="shared" si="230"/>
        <v xml:space="preserve">["LP"] =  0; </v>
      </c>
      <c r="AW357" t="str">
        <f t="shared" si="231"/>
        <v>900</v>
      </c>
      <c r="AX357" t="str">
        <f t="shared" si="232"/>
        <v xml:space="preserve">["REP"] =   900; </v>
      </c>
      <c r="AY357">
        <f>IF(LEN(P357)&gt;0,VLOOKUP(P357,Faction!A$2:B$77,2,FALSE),1)</f>
        <v>11</v>
      </c>
      <c r="AZ357" t="str">
        <f t="shared" si="233"/>
        <v xml:space="preserve">["FACTION"] = 11; </v>
      </c>
      <c r="BA357" t="str">
        <f t="shared" si="212"/>
        <v xml:space="preserve">["TIER"] = 1; </v>
      </c>
      <c r="BB357" t="str">
        <f t="shared" si="234"/>
        <v xml:space="preserve">["MIN_LVL"] =  "21"; </v>
      </c>
      <c r="BC357" t="str">
        <f t="shared" si="235"/>
        <v xml:space="preserve">                  </v>
      </c>
      <c r="BD357" t="str">
        <f t="shared" si="236"/>
        <v xml:space="preserve">["NAME"] = { ["EN"] = "Seeker of Truth"; }; </v>
      </c>
      <c r="BE357" t="str">
        <f t="shared" si="237"/>
        <v xml:space="preserve">["LORE"] = { ["EN"] = "You have aided in the search for the lost Ring-lore of Eregion."; }; </v>
      </c>
      <c r="BF357" t="str">
        <f t="shared" si="238"/>
        <v xml:space="preserve">["SUMMARY"] = { ["EN"] = "Complete 'Fragment of Eregion's Lore' or 'Shreds of Eregion's Lore' 12 times."; }; </v>
      </c>
      <c r="BG357" t="str">
        <f t="shared" si="239"/>
        <v xml:space="preserve">["TITLE"] = { ["EN"] = "Seeker of Truth"; }; </v>
      </c>
      <c r="BH357" t="str">
        <f t="shared" si="240"/>
        <v/>
      </c>
      <c r="BI357" t="str">
        <f t="shared" si="241"/>
        <v/>
      </c>
      <c r="BJ357" t="str">
        <f t="shared" si="243"/>
        <v>};</v>
      </c>
    </row>
    <row r="358" spans="1:62" x14ac:dyDescent="0.25">
      <c r="A358">
        <v>1879114136</v>
      </c>
      <c r="B358">
        <v>254</v>
      </c>
      <c r="C358" t="s">
        <v>2438</v>
      </c>
      <c r="D358" t="s">
        <v>24</v>
      </c>
      <c r="G358" t="s">
        <v>2324</v>
      </c>
      <c r="M358" t="s">
        <v>2438</v>
      </c>
      <c r="O358">
        <v>700</v>
      </c>
      <c r="P358" t="s">
        <v>51</v>
      </c>
      <c r="Q358" t="s">
        <v>2445</v>
      </c>
      <c r="R358" t="s">
        <v>2441</v>
      </c>
      <c r="S358">
        <v>2</v>
      </c>
      <c r="T358">
        <v>21</v>
      </c>
      <c r="X358" t="str">
        <f t="shared" si="211"/>
        <v>[357] = {["ID"] = 1879114136; ["TIER"] = 2; }; -- Revealer of the Lost</v>
      </c>
      <c r="Y358" s="1" t="str">
        <f t="shared" si="213"/>
        <v>[357]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8">
        <f t="shared" si="242"/>
        <v>357</v>
      </c>
      <c r="AA358" t="str">
        <f t="shared" si="214"/>
        <v>[357] = {</v>
      </c>
      <c r="AB358" t="str">
        <f t="shared" si="215"/>
        <v xml:space="preserve">["ID"] = 1879114136; </v>
      </c>
      <c r="AC358" t="str">
        <f t="shared" si="216"/>
        <v xml:space="preserve">["ID"] = 1879114136; </v>
      </c>
      <c r="AD358" t="str">
        <f t="shared" si="217"/>
        <v/>
      </c>
      <c r="AE358" t="str">
        <f t="shared" si="218"/>
        <v/>
      </c>
      <c r="AF358" s="1" t="str">
        <f t="shared" si="219"/>
        <v xml:space="preserve">["SAVE_INDEX"] = 254; </v>
      </c>
      <c r="AG358">
        <f>VLOOKUP(D358,Type!A$2:B$16,2,FALSE)</f>
        <v>12</v>
      </c>
      <c r="AH358" t="str">
        <f t="shared" si="220"/>
        <v xml:space="preserve">["TYPE"] = 12; </v>
      </c>
      <c r="AI358" t="str">
        <f t="shared" si="221"/>
        <v xml:space="preserve">                      </v>
      </c>
      <c r="AJ358" t="str">
        <f>IF(AND(F358="Class",NOT(ISBLANK(E358))),VLOOKUP(E358,Class!A$1:B$12,2,FALSE),"")</f>
        <v/>
      </c>
      <c r="AK358" t="str">
        <f>IF(AND(F358="Vocation",NOT(ISBLANK(E358))),VLOOKUP(E358,Vocation!A$1:B$8,2,FALSE),"")</f>
        <v/>
      </c>
      <c r="AL358" t="str">
        <f>IF(AND(F358="Race",NOT(ISBLANK(E358))),VLOOKUP(E358,Race!A$1:B$9,2,),"")</f>
        <v/>
      </c>
      <c r="AM358" t="str">
        <f t="shared" si="222"/>
        <v xml:space="preserve">  0</v>
      </c>
      <c r="AN358" t="str">
        <f t="shared" si="223"/>
        <v xml:space="preserve">["SUBTYPE"] =   0; </v>
      </c>
      <c r="AO358">
        <f>IF(NOT(ISBLANK(G358)),VLOOKUP(G358,Type!D$2:E$6,2,FALSE),"")</f>
        <v>3</v>
      </c>
      <c r="AP358" t="str">
        <f t="shared" si="224"/>
        <v xml:space="preserve">["NA"] = 3; </v>
      </c>
      <c r="AQ358" t="str">
        <f t="shared" si="225"/>
        <v xml:space="preserve">                      </v>
      </c>
      <c r="AR358" t="str">
        <f t="shared" si="226"/>
        <v/>
      </c>
      <c r="AS358" t="str">
        <f t="shared" si="227"/>
        <v>0</v>
      </c>
      <c r="AT358" t="str">
        <f t="shared" si="228"/>
        <v xml:space="preserve">["VXP"] =    0; </v>
      </c>
      <c r="AU358" t="str">
        <f t="shared" si="229"/>
        <v>0</v>
      </c>
      <c r="AV358" t="str">
        <f t="shared" si="230"/>
        <v xml:space="preserve">["LP"] =  0; </v>
      </c>
      <c r="AW358" t="str">
        <f t="shared" si="231"/>
        <v>700</v>
      </c>
      <c r="AX358" t="str">
        <f t="shared" si="232"/>
        <v xml:space="preserve">["REP"] =   700; </v>
      </c>
      <c r="AY358">
        <f>IF(LEN(P358)&gt;0,VLOOKUP(P358,Faction!A$2:B$77,2,FALSE),1)</f>
        <v>11</v>
      </c>
      <c r="AZ358" t="str">
        <f t="shared" si="233"/>
        <v xml:space="preserve">["FACTION"] = 11; </v>
      </c>
      <c r="BA358" t="str">
        <f t="shared" si="212"/>
        <v xml:space="preserve">["TIER"] = 2; </v>
      </c>
      <c r="BB358" t="str">
        <f t="shared" si="234"/>
        <v xml:space="preserve">["MIN_LVL"] =  "21"; </v>
      </c>
      <c r="BC358" t="str">
        <f t="shared" si="235"/>
        <v xml:space="preserve">                  </v>
      </c>
      <c r="BD358" t="str">
        <f t="shared" si="236"/>
        <v xml:space="preserve">["NAME"] = { ["EN"] = "Revealer of the Lost"; }; </v>
      </c>
      <c r="BE358" t="str">
        <f t="shared" si="237"/>
        <v xml:space="preserve">["LORE"] = { ["EN"] = "You have aided in the search for the lost Ring-lore of Eregion."; }; </v>
      </c>
      <c r="BF358" t="str">
        <f t="shared" si="238"/>
        <v xml:space="preserve">["SUMMARY"] = { ["EN"] = "Complete 'Fragment of Eregion's Lore' or 'Shreds of Eregion's Lore' 8 times."; }; </v>
      </c>
      <c r="BG358" t="str">
        <f t="shared" si="239"/>
        <v xml:space="preserve">["TITLE"] = { ["EN"] = "Revealer of the Lost"; }; </v>
      </c>
      <c r="BH358" t="str">
        <f t="shared" si="240"/>
        <v/>
      </c>
      <c r="BI358" t="str">
        <f t="shared" si="241"/>
        <v/>
      </c>
      <c r="BJ358" t="str">
        <f t="shared" si="243"/>
        <v>};</v>
      </c>
    </row>
    <row r="359" spans="1:62" x14ac:dyDescent="0.25">
      <c r="A359">
        <v>1879114135</v>
      </c>
      <c r="B359">
        <v>255</v>
      </c>
      <c r="C359" t="s">
        <v>519</v>
      </c>
      <c r="D359" t="s">
        <v>24</v>
      </c>
      <c r="G359" t="s">
        <v>2324</v>
      </c>
      <c r="M359" t="s">
        <v>519</v>
      </c>
      <c r="O359">
        <v>700</v>
      </c>
      <c r="P359" t="s">
        <v>51</v>
      </c>
      <c r="Q359" t="s">
        <v>2446</v>
      </c>
      <c r="R359" t="s">
        <v>2441</v>
      </c>
      <c r="S359">
        <v>3</v>
      </c>
      <c r="T359">
        <v>21</v>
      </c>
      <c r="X359" t="str">
        <f t="shared" si="211"/>
        <v>[358] = {["ID"] = 1879114135; ["TIER"] = 3; }; -- Student of the Past</v>
      </c>
      <c r="Y359" s="1" t="str">
        <f t="shared" si="213"/>
        <v>[358]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9">
        <f t="shared" si="242"/>
        <v>358</v>
      </c>
      <c r="AA359" t="str">
        <f t="shared" si="214"/>
        <v>[358] = {</v>
      </c>
      <c r="AB359" t="str">
        <f t="shared" si="215"/>
        <v xml:space="preserve">["ID"] = 1879114135; </v>
      </c>
      <c r="AC359" t="str">
        <f t="shared" si="216"/>
        <v xml:space="preserve">["ID"] = 1879114135; </v>
      </c>
      <c r="AD359" t="str">
        <f t="shared" si="217"/>
        <v/>
      </c>
      <c r="AE359" t="str">
        <f t="shared" si="218"/>
        <v/>
      </c>
      <c r="AF359" s="1" t="str">
        <f t="shared" si="219"/>
        <v xml:space="preserve">["SAVE_INDEX"] = 255; </v>
      </c>
      <c r="AG359">
        <f>VLOOKUP(D359,Type!A$2:B$16,2,FALSE)</f>
        <v>12</v>
      </c>
      <c r="AH359" t="str">
        <f t="shared" si="220"/>
        <v xml:space="preserve">["TYPE"] = 12; </v>
      </c>
      <c r="AI359" t="str">
        <f t="shared" si="221"/>
        <v xml:space="preserve">                      </v>
      </c>
      <c r="AJ359" t="str">
        <f>IF(AND(F359="Class",NOT(ISBLANK(E359))),VLOOKUP(E359,Class!A$1:B$12,2,FALSE),"")</f>
        <v/>
      </c>
      <c r="AK359" t="str">
        <f>IF(AND(F359="Vocation",NOT(ISBLANK(E359))),VLOOKUP(E359,Vocation!A$1:B$8,2,FALSE),"")</f>
        <v/>
      </c>
      <c r="AL359" t="str">
        <f>IF(AND(F359="Race",NOT(ISBLANK(E359))),VLOOKUP(E359,Race!A$1:B$9,2,),"")</f>
        <v/>
      </c>
      <c r="AM359" t="str">
        <f t="shared" si="222"/>
        <v xml:space="preserve">  0</v>
      </c>
      <c r="AN359" t="str">
        <f t="shared" si="223"/>
        <v xml:space="preserve">["SUBTYPE"] =   0; </v>
      </c>
      <c r="AO359">
        <f>IF(NOT(ISBLANK(G359)),VLOOKUP(G359,Type!D$2:E$6,2,FALSE),"")</f>
        <v>3</v>
      </c>
      <c r="AP359" t="str">
        <f t="shared" si="224"/>
        <v xml:space="preserve">["NA"] = 3; </v>
      </c>
      <c r="AQ359" t="str">
        <f t="shared" si="225"/>
        <v xml:space="preserve">                      </v>
      </c>
      <c r="AR359" t="str">
        <f t="shared" si="226"/>
        <v/>
      </c>
      <c r="AS359" t="str">
        <f t="shared" si="227"/>
        <v>0</v>
      </c>
      <c r="AT359" t="str">
        <f t="shared" si="228"/>
        <v xml:space="preserve">["VXP"] =    0; </v>
      </c>
      <c r="AU359" t="str">
        <f t="shared" si="229"/>
        <v>0</v>
      </c>
      <c r="AV359" t="str">
        <f t="shared" si="230"/>
        <v xml:space="preserve">["LP"] =  0; </v>
      </c>
      <c r="AW359" t="str">
        <f t="shared" si="231"/>
        <v>700</v>
      </c>
      <c r="AX359" t="str">
        <f t="shared" si="232"/>
        <v xml:space="preserve">["REP"] =   700; </v>
      </c>
      <c r="AY359">
        <f>IF(LEN(P359)&gt;0,VLOOKUP(P359,Faction!A$2:B$77,2,FALSE),1)</f>
        <v>11</v>
      </c>
      <c r="AZ359" t="str">
        <f t="shared" si="233"/>
        <v xml:space="preserve">["FACTION"] = 11; </v>
      </c>
      <c r="BA359" t="str">
        <f t="shared" si="212"/>
        <v xml:space="preserve">["TIER"] = 3; </v>
      </c>
      <c r="BB359" t="str">
        <f t="shared" si="234"/>
        <v xml:space="preserve">["MIN_LVL"] =  "21"; </v>
      </c>
      <c r="BC359" t="str">
        <f t="shared" si="235"/>
        <v xml:space="preserve">                  </v>
      </c>
      <c r="BD359" t="str">
        <f t="shared" si="236"/>
        <v xml:space="preserve">["NAME"] = { ["EN"] = "Student of the Past"; }; </v>
      </c>
      <c r="BE359" t="str">
        <f t="shared" si="237"/>
        <v xml:space="preserve">["LORE"] = { ["EN"] = "You have aided in the search for the lost Ring-lore of Eregion."; }; </v>
      </c>
      <c r="BF359" t="str">
        <f t="shared" si="238"/>
        <v xml:space="preserve">["SUMMARY"] = { ["EN"] = "Complete 'Fragment of Eregion's Lore' or 'Shreds of Eregion's Lore' 4 times."; }; </v>
      </c>
      <c r="BG359" t="str">
        <f t="shared" si="239"/>
        <v xml:space="preserve">["TITLE"] = { ["EN"] = "Student of the Past"; }; </v>
      </c>
      <c r="BH359" t="str">
        <f t="shared" si="240"/>
        <v/>
      </c>
      <c r="BI359" t="str">
        <f t="shared" si="241"/>
        <v/>
      </c>
      <c r="BJ359" t="str">
        <f t="shared" si="243"/>
        <v>};</v>
      </c>
    </row>
    <row r="360" spans="1:62" x14ac:dyDescent="0.25">
      <c r="C360" s="3" t="s">
        <v>2594</v>
      </c>
      <c r="D360" s="2" t="s">
        <v>812</v>
      </c>
      <c r="T360" s="2"/>
      <c r="V360">
        <v>158</v>
      </c>
      <c r="X360" t="str">
        <f t="shared" si="211"/>
        <v>[359] = {["CAT_ID"] = 158; }; -- - Bounder's Bounty, 2013 -</v>
      </c>
      <c r="Y360" s="1" t="str">
        <f t="shared" si="213"/>
        <v>[359] = {                                           ["TYPE"] = 14;                       ["SUBTYPE"] =   0;                                   ["VXP"] =    0; ["LP"] =  0; ["REP"] =     0; ["FACTION"] =  1;                                        ["NAME"] = { ["EN"] = "- Bounder's Bounty, 2013 -"; }; };</v>
      </c>
      <c r="Z360">
        <f t="shared" si="242"/>
        <v>359</v>
      </c>
      <c r="AA360" t="str">
        <f t="shared" si="214"/>
        <v>[359] = {</v>
      </c>
      <c r="AB360" t="str">
        <f t="shared" si="215"/>
        <v xml:space="preserve">                     </v>
      </c>
      <c r="AC360" t="str">
        <f t="shared" si="216"/>
        <v/>
      </c>
      <c r="AD360" t="str">
        <f t="shared" si="217"/>
        <v xml:space="preserve">["CAT_ID"] = 158; </v>
      </c>
      <c r="AE360" t="str">
        <f t="shared" si="218"/>
        <v/>
      </c>
      <c r="AF360" s="1" t="str">
        <f t="shared" si="219"/>
        <v xml:space="preserve">                      </v>
      </c>
      <c r="AG360">
        <f>VLOOKUP(D360,Type!A$2:B$16,2,FALSE)</f>
        <v>14</v>
      </c>
      <c r="AH360" t="str">
        <f t="shared" si="220"/>
        <v xml:space="preserve">["TYPE"] = 14; </v>
      </c>
      <c r="AI360" t="str">
        <f t="shared" si="221"/>
        <v xml:space="preserve">                      </v>
      </c>
      <c r="AJ360" t="str">
        <f>IF(AND(F360="Class",NOT(ISBLANK(E360))),VLOOKUP(E360,Class!A$1:B$12,2,FALSE),"")</f>
        <v/>
      </c>
      <c r="AK360" t="str">
        <f>IF(AND(F360="Vocation",NOT(ISBLANK(E360))),VLOOKUP(E360,Vocation!A$1:B$8,2,FALSE),"")</f>
        <v/>
      </c>
      <c r="AL360" t="str">
        <f>IF(AND(F360="Race",NOT(ISBLANK(E360))),VLOOKUP(E360,Race!A$1:B$9,2,),"")</f>
        <v/>
      </c>
      <c r="AM360" t="str">
        <f t="shared" si="222"/>
        <v xml:space="preserve">  0</v>
      </c>
      <c r="AN360" t="str">
        <f t="shared" si="223"/>
        <v xml:space="preserve">["SUBTYPE"] =   0; </v>
      </c>
      <c r="AO360" t="str">
        <f>IF(NOT(ISBLANK(G360)),VLOOKUP(G360,Type!D$2:E$6,2,FALSE),"")</f>
        <v/>
      </c>
      <c r="AP360" t="str">
        <f t="shared" si="224"/>
        <v xml:space="preserve">            </v>
      </c>
      <c r="AQ360" t="str">
        <f t="shared" si="225"/>
        <v xml:space="preserve">                      </v>
      </c>
      <c r="AR360" t="str">
        <f t="shared" si="226"/>
        <v/>
      </c>
      <c r="AS360" t="str">
        <f t="shared" si="227"/>
        <v>0</v>
      </c>
      <c r="AT360" t="str">
        <f t="shared" si="228"/>
        <v xml:space="preserve">["VXP"] =    0; </v>
      </c>
      <c r="AU360" t="str">
        <f t="shared" si="229"/>
        <v>0</v>
      </c>
      <c r="AV360" t="str">
        <f t="shared" si="230"/>
        <v xml:space="preserve">["LP"] =  0; </v>
      </c>
      <c r="AW360" t="str">
        <f t="shared" si="231"/>
        <v>0</v>
      </c>
      <c r="AX360" t="str">
        <f t="shared" si="232"/>
        <v xml:space="preserve">["REP"] =     0; </v>
      </c>
      <c r="AY360">
        <f>IF(LEN(P360)&gt;0,VLOOKUP(P360,Faction!A$2:B$77,2,FALSE),1)</f>
        <v>1</v>
      </c>
      <c r="AZ360" t="str">
        <f t="shared" si="233"/>
        <v xml:space="preserve">["FACTION"] =  1; </v>
      </c>
      <c r="BA360" t="str">
        <f t="shared" si="212"/>
        <v/>
      </c>
      <c r="BB360" t="str">
        <f t="shared" si="234"/>
        <v xml:space="preserve">                     </v>
      </c>
      <c r="BC360" t="str">
        <f t="shared" si="235"/>
        <v xml:space="preserve">                  </v>
      </c>
      <c r="BD360" t="str">
        <f t="shared" si="236"/>
        <v xml:space="preserve">["NAME"] = { ["EN"] = "- Bounder's Bounty, 2013 -"; }; </v>
      </c>
      <c r="BE360" t="str">
        <f t="shared" si="237"/>
        <v/>
      </c>
      <c r="BF360" t="str">
        <f t="shared" si="238"/>
        <v/>
      </c>
      <c r="BG360" t="str">
        <f t="shared" si="239"/>
        <v/>
      </c>
      <c r="BH360" t="str">
        <f t="shared" si="240"/>
        <v/>
      </c>
      <c r="BI360" t="str">
        <f t="shared" si="241"/>
        <v/>
      </c>
      <c r="BJ360" t="str">
        <f t="shared" si="243"/>
        <v>};</v>
      </c>
    </row>
    <row r="361" spans="1:62" x14ac:dyDescent="0.25">
      <c r="A361">
        <v>1879279182</v>
      </c>
      <c r="B361">
        <v>256</v>
      </c>
      <c r="C361" t="s">
        <v>2595</v>
      </c>
      <c r="D361" t="s">
        <v>24</v>
      </c>
      <c r="G361" t="s">
        <v>2324</v>
      </c>
      <c r="M361" t="s">
        <v>2600</v>
      </c>
      <c r="N361">
        <v>5</v>
      </c>
      <c r="Q361" t="s">
        <v>2599</v>
      </c>
      <c r="R361" t="s">
        <v>2598</v>
      </c>
      <c r="S361">
        <v>0</v>
      </c>
      <c r="T361" s="2"/>
      <c r="X361" t="str">
        <f t="shared" si="211"/>
        <v>[360] = {["ID"] = 1879279182; }; -- Bounder's Bounty (Tier 3)</v>
      </c>
      <c r="Y361" s="1" t="str">
        <f t="shared" si="213"/>
        <v>[360]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1">
        <f t="shared" si="242"/>
        <v>360</v>
      </c>
      <c r="AA361" t="str">
        <f t="shared" si="214"/>
        <v>[360] = {</v>
      </c>
      <c r="AB361" t="str">
        <f t="shared" si="215"/>
        <v xml:space="preserve">["ID"] = 1879279182; </v>
      </c>
      <c r="AC361" t="str">
        <f t="shared" si="216"/>
        <v xml:space="preserve">["ID"] = 1879279182; </v>
      </c>
      <c r="AD361" t="str">
        <f t="shared" si="217"/>
        <v/>
      </c>
      <c r="AE361" t="str">
        <f t="shared" si="218"/>
        <v/>
      </c>
      <c r="AF361" s="1" t="str">
        <f t="shared" si="219"/>
        <v xml:space="preserve">["SAVE_INDEX"] = 256; </v>
      </c>
      <c r="AG361">
        <f>VLOOKUP(D361,Type!A$2:B$16,2,FALSE)</f>
        <v>12</v>
      </c>
      <c r="AH361" t="str">
        <f t="shared" si="220"/>
        <v xml:space="preserve">["TYPE"] = 12; </v>
      </c>
      <c r="AI361" t="str">
        <f t="shared" si="221"/>
        <v xml:space="preserve">                      </v>
      </c>
      <c r="AJ361" t="str">
        <f>IF(AND(F361="Class",NOT(ISBLANK(E361))),VLOOKUP(E361,Class!A$1:B$12,2,FALSE),"")</f>
        <v/>
      </c>
      <c r="AK361" t="str">
        <f>IF(AND(F361="Vocation",NOT(ISBLANK(E361))),VLOOKUP(E361,Vocation!A$1:B$8,2,FALSE),"")</f>
        <v/>
      </c>
      <c r="AL361" t="str">
        <f>IF(AND(F361="Race",NOT(ISBLANK(E361))),VLOOKUP(E361,Race!A$1:B$9,2,),"")</f>
        <v/>
      </c>
      <c r="AM361" t="str">
        <f t="shared" si="222"/>
        <v xml:space="preserve">  0</v>
      </c>
      <c r="AN361" t="str">
        <f t="shared" si="223"/>
        <v xml:space="preserve">["SUBTYPE"] =   0; </v>
      </c>
      <c r="AO361">
        <f>IF(NOT(ISBLANK(G361)),VLOOKUP(G361,Type!D$2:E$6,2,FALSE),"")</f>
        <v>3</v>
      </c>
      <c r="AP361" t="str">
        <f t="shared" si="224"/>
        <v xml:space="preserve">["NA"] = 3; </v>
      </c>
      <c r="AQ361" t="str">
        <f t="shared" si="225"/>
        <v xml:space="preserve">                      </v>
      </c>
      <c r="AR361" t="str">
        <f t="shared" si="226"/>
        <v/>
      </c>
      <c r="AS361" t="str">
        <f t="shared" si="227"/>
        <v>0</v>
      </c>
      <c r="AT361" t="str">
        <f t="shared" si="228"/>
        <v xml:space="preserve">["VXP"] =    0; </v>
      </c>
      <c r="AU361" t="str">
        <f t="shared" si="229"/>
        <v>5</v>
      </c>
      <c r="AV361" t="str">
        <f t="shared" si="230"/>
        <v xml:space="preserve">["LP"] =  5; </v>
      </c>
      <c r="AW361" t="str">
        <f t="shared" si="231"/>
        <v>0</v>
      </c>
      <c r="AX361" t="str">
        <f t="shared" si="232"/>
        <v xml:space="preserve">["REP"] =     0; </v>
      </c>
      <c r="AY361">
        <f>IF(LEN(P361)&gt;0,VLOOKUP(P361,Faction!A$2:B$77,2,FALSE),1)</f>
        <v>1</v>
      </c>
      <c r="AZ361" t="str">
        <f t="shared" si="233"/>
        <v xml:space="preserve">["FACTION"] =  1; </v>
      </c>
      <c r="BA361" t="str">
        <f t="shared" si="212"/>
        <v/>
      </c>
      <c r="BB361" t="str">
        <f t="shared" si="234"/>
        <v xml:space="preserve">                     </v>
      </c>
      <c r="BC361" t="str">
        <f t="shared" si="235"/>
        <v xml:space="preserve">                  </v>
      </c>
      <c r="BD361" t="str">
        <f t="shared" si="236"/>
        <v xml:space="preserve">["NAME"] = { ["EN"] = "Bounder's Bounty (Tier 3)"; }; </v>
      </c>
      <c r="BE361" t="str">
        <f t="shared" si="237"/>
        <v xml:space="preserve">["LORE"] = { ["EN"] = "Hand in Bounder's Tokens to unlock unique rewards."; }; </v>
      </c>
      <c r="BF361" t="str">
        <f t="shared" si="238"/>
        <v xml:space="preserve">["SUMMARY"] = { ["EN"] = "Complete 50 'Aiding in the Bounty' to unlock unique rewards"; }; </v>
      </c>
      <c r="BG361" t="str">
        <f t="shared" si="239"/>
        <v xml:space="preserve">["TITLE"] = { ["EN"] = "Bountiful Bounder"; }; </v>
      </c>
      <c r="BH361" t="str">
        <f t="shared" si="240"/>
        <v/>
      </c>
      <c r="BI361" t="str">
        <f t="shared" si="241"/>
        <v/>
      </c>
      <c r="BJ361" t="str">
        <f t="shared" si="243"/>
        <v>};</v>
      </c>
    </row>
    <row r="362" spans="1:62" x14ac:dyDescent="0.25">
      <c r="A362">
        <v>1879279184</v>
      </c>
      <c r="B362">
        <v>257</v>
      </c>
      <c r="C362" t="s">
        <v>2596</v>
      </c>
      <c r="D362" t="s">
        <v>24</v>
      </c>
      <c r="G362" t="s">
        <v>2324</v>
      </c>
      <c r="N362">
        <v>5</v>
      </c>
      <c r="Q362" t="s">
        <v>2602</v>
      </c>
      <c r="R362" t="s">
        <v>2598</v>
      </c>
      <c r="S362">
        <v>1</v>
      </c>
      <c r="T362" s="2"/>
      <c r="X362" t="str">
        <f t="shared" si="211"/>
        <v>[361] = {["ID"] = 1879279184; ["TIER"] = 1; }; -- Bounder's Bounty (Tier 2)</v>
      </c>
      <c r="Y362" s="1" t="str">
        <f t="shared" si="213"/>
        <v>[361] = {["ID"] = 1879279184; ["SAVE_INDEX"] = 257; ["TYPE"] = 12;                       ["SUBTYPE"] =   0; ["NA"] = 3;                       ["VXP"] =    0; ["LP"] =  5; ["REP"] =     0; ["FACTION"] =  1; ["TIER"] = 1;                                        ["NAME"] = { ["EN"] = "Bounder's Bounty (Tier 2)"; }; ["LORE"] = { ["EN"] = "Hand in Bounder's Tokens to unlock unique rewards."; }; ["SUMMARY"] = { ["EN"] = "Complete 20 'Aiding in the Bounty' to unlock unique rewards"; }; };</v>
      </c>
      <c r="Z362">
        <f t="shared" si="242"/>
        <v>361</v>
      </c>
      <c r="AA362" t="str">
        <f t="shared" si="214"/>
        <v>[361] = {</v>
      </c>
      <c r="AB362" t="str">
        <f t="shared" si="215"/>
        <v xml:space="preserve">["ID"] = 1879279184; </v>
      </c>
      <c r="AC362" t="str">
        <f t="shared" si="216"/>
        <v xml:space="preserve">["ID"] = 1879279184; </v>
      </c>
      <c r="AD362" t="str">
        <f t="shared" si="217"/>
        <v/>
      </c>
      <c r="AE362" t="str">
        <f t="shared" si="218"/>
        <v/>
      </c>
      <c r="AF362" s="1" t="str">
        <f t="shared" si="219"/>
        <v xml:space="preserve">["SAVE_INDEX"] = 257; </v>
      </c>
      <c r="AG362">
        <f>VLOOKUP(D362,Type!A$2:B$16,2,FALSE)</f>
        <v>12</v>
      </c>
      <c r="AH362" t="str">
        <f t="shared" si="220"/>
        <v xml:space="preserve">["TYPE"] = 12; </v>
      </c>
      <c r="AI362" t="str">
        <f t="shared" si="221"/>
        <v xml:space="preserve">                      </v>
      </c>
      <c r="AJ362" t="str">
        <f>IF(AND(F362="Class",NOT(ISBLANK(E362))),VLOOKUP(E362,Class!A$1:B$12,2,FALSE),"")</f>
        <v/>
      </c>
      <c r="AK362" t="str">
        <f>IF(AND(F362="Vocation",NOT(ISBLANK(E362))),VLOOKUP(E362,Vocation!A$1:B$8,2,FALSE),"")</f>
        <v/>
      </c>
      <c r="AL362" t="str">
        <f>IF(AND(F362="Race",NOT(ISBLANK(E362))),VLOOKUP(E362,Race!A$1:B$9,2,),"")</f>
        <v/>
      </c>
      <c r="AM362" t="str">
        <f t="shared" si="222"/>
        <v xml:space="preserve">  0</v>
      </c>
      <c r="AN362" t="str">
        <f t="shared" si="223"/>
        <v xml:space="preserve">["SUBTYPE"] =   0; </v>
      </c>
      <c r="AO362">
        <f>IF(NOT(ISBLANK(G362)),VLOOKUP(G362,Type!D$2:E$6,2,FALSE),"")</f>
        <v>3</v>
      </c>
      <c r="AP362" t="str">
        <f t="shared" si="224"/>
        <v xml:space="preserve">["NA"] = 3; </v>
      </c>
      <c r="AQ362" t="str">
        <f t="shared" si="225"/>
        <v xml:space="preserve">                      </v>
      </c>
      <c r="AR362" t="str">
        <f t="shared" si="226"/>
        <v/>
      </c>
      <c r="AS362" t="str">
        <f t="shared" si="227"/>
        <v>0</v>
      </c>
      <c r="AT362" t="str">
        <f t="shared" si="228"/>
        <v xml:space="preserve">["VXP"] =    0; </v>
      </c>
      <c r="AU362" t="str">
        <f t="shared" si="229"/>
        <v>5</v>
      </c>
      <c r="AV362" t="str">
        <f t="shared" si="230"/>
        <v xml:space="preserve">["LP"] =  5; </v>
      </c>
      <c r="AW362" t="str">
        <f t="shared" si="231"/>
        <v>0</v>
      </c>
      <c r="AX362" t="str">
        <f t="shared" si="232"/>
        <v xml:space="preserve">["REP"] =     0; </v>
      </c>
      <c r="AY362">
        <f>IF(LEN(P362)&gt;0,VLOOKUP(P362,Faction!A$2:B$77,2,FALSE),1)</f>
        <v>1</v>
      </c>
      <c r="AZ362" t="str">
        <f t="shared" si="233"/>
        <v xml:space="preserve">["FACTION"] =  1; </v>
      </c>
      <c r="BA362" t="str">
        <f t="shared" si="212"/>
        <v xml:space="preserve">["TIER"] = 1; </v>
      </c>
      <c r="BB362" t="str">
        <f t="shared" si="234"/>
        <v xml:space="preserve">                     </v>
      </c>
      <c r="BC362" t="str">
        <f t="shared" si="235"/>
        <v xml:space="preserve">                  </v>
      </c>
      <c r="BD362" t="str">
        <f t="shared" si="236"/>
        <v xml:space="preserve">["NAME"] = { ["EN"] = "Bounder's Bounty (Tier 2)"; }; </v>
      </c>
      <c r="BE362" t="str">
        <f t="shared" si="237"/>
        <v xml:space="preserve">["LORE"] = { ["EN"] = "Hand in Bounder's Tokens to unlock unique rewards."; }; </v>
      </c>
      <c r="BF362" t="str">
        <f t="shared" si="238"/>
        <v xml:space="preserve">["SUMMARY"] = { ["EN"] = "Complete 20 'Aiding in the Bounty' to unlock unique rewards"; }; </v>
      </c>
      <c r="BG362" t="str">
        <f t="shared" si="239"/>
        <v/>
      </c>
      <c r="BH362" t="str">
        <f t="shared" si="240"/>
        <v/>
      </c>
      <c r="BI362" t="str">
        <f t="shared" si="241"/>
        <v/>
      </c>
      <c r="BJ362" t="str">
        <f t="shared" si="243"/>
        <v>};</v>
      </c>
    </row>
    <row r="363" spans="1:62" x14ac:dyDescent="0.25">
      <c r="A363">
        <v>1879279183</v>
      </c>
      <c r="B363">
        <v>258</v>
      </c>
      <c r="C363" t="s">
        <v>2597</v>
      </c>
      <c r="D363" t="s">
        <v>24</v>
      </c>
      <c r="G363" t="s">
        <v>2324</v>
      </c>
      <c r="N363">
        <v>5</v>
      </c>
      <c r="Q363" t="s">
        <v>2601</v>
      </c>
      <c r="R363" t="s">
        <v>2598</v>
      </c>
      <c r="S363">
        <v>2</v>
      </c>
      <c r="T363" s="2"/>
      <c r="X363" t="str">
        <f t="shared" si="211"/>
        <v>[362] = {["ID"] = 1879279183; ["TIER"] = 2; }; -- Bounder's Bounty (Tier 1)</v>
      </c>
      <c r="Y363" s="1" t="str">
        <f t="shared" si="213"/>
        <v>[362] = {["ID"] = 1879279183; ["SAVE_INDEX"] = 258; ["TYPE"] = 12;                       ["SUBTYPE"] =   0; ["NA"] = 3;                       ["VXP"] =    0; ["LP"] =  5; ["REP"] =     0; ["FACTION"] =  1; ["TIER"] = 2;                                        ["NAME"] = { ["EN"] = "Bounder's Bounty (Tier 1)"; }; ["LORE"] = { ["EN"] = "Hand in Bounder's Tokens to unlock unique rewards."; }; ["SUMMARY"] = { ["EN"] = "Complete 5 'Aiding in the Bounty' to unlock unique rewards"; }; };</v>
      </c>
      <c r="Z363">
        <f t="shared" si="242"/>
        <v>362</v>
      </c>
      <c r="AA363" t="str">
        <f t="shared" si="214"/>
        <v>[362] = {</v>
      </c>
      <c r="AB363" t="str">
        <f t="shared" si="215"/>
        <v xml:space="preserve">["ID"] = 1879279183; </v>
      </c>
      <c r="AC363" t="str">
        <f t="shared" si="216"/>
        <v xml:space="preserve">["ID"] = 1879279183; </v>
      </c>
      <c r="AD363" t="str">
        <f t="shared" si="217"/>
        <v/>
      </c>
      <c r="AE363" t="str">
        <f t="shared" si="218"/>
        <v/>
      </c>
      <c r="AF363" s="1" t="str">
        <f t="shared" si="219"/>
        <v xml:space="preserve">["SAVE_INDEX"] = 258; </v>
      </c>
      <c r="AG363">
        <f>VLOOKUP(D363,Type!A$2:B$16,2,FALSE)</f>
        <v>12</v>
      </c>
      <c r="AH363" t="str">
        <f t="shared" si="220"/>
        <v xml:space="preserve">["TYPE"] = 12; </v>
      </c>
      <c r="AI363" t="str">
        <f t="shared" si="221"/>
        <v xml:space="preserve">                      </v>
      </c>
      <c r="AJ363" t="str">
        <f>IF(AND(F363="Class",NOT(ISBLANK(E363))),VLOOKUP(E363,Class!A$1:B$12,2,FALSE),"")</f>
        <v/>
      </c>
      <c r="AK363" t="str">
        <f>IF(AND(F363="Vocation",NOT(ISBLANK(E363))),VLOOKUP(E363,Vocation!A$1:B$8,2,FALSE),"")</f>
        <v/>
      </c>
      <c r="AL363" t="str">
        <f>IF(AND(F363="Race",NOT(ISBLANK(E363))),VLOOKUP(E363,Race!A$1:B$9,2,),"")</f>
        <v/>
      </c>
      <c r="AM363" t="str">
        <f t="shared" si="222"/>
        <v xml:space="preserve">  0</v>
      </c>
      <c r="AN363" t="str">
        <f t="shared" si="223"/>
        <v xml:space="preserve">["SUBTYPE"] =   0; </v>
      </c>
      <c r="AO363">
        <f>IF(NOT(ISBLANK(G363)),VLOOKUP(G363,Type!D$2:E$6,2,FALSE),"")</f>
        <v>3</v>
      </c>
      <c r="AP363" t="str">
        <f t="shared" si="224"/>
        <v xml:space="preserve">["NA"] = 3; </v>
      </c>
      <c r="AQ363" t="str">
        <f t="shared" si="225"/>
        <v xml:space="preserve">                      </v>
      </c>
      <c r="AR363" t="str">
        <f t="shared" si="226"/>
        <v/>
      </c>
      <c r="AS363" t="str">
        <f t="shared" si="227"/>
        <v>0</v>
      </c>
      <c r="AT363" t="str">
        <f t="shared" si="228"/>
        <v xml:space="preserve">["VXP"] =    0; </v>
      </c>
      <c r="AU363" t="str">
        <f t="shared" si="229"/>
        <v>5</v>
      </c>
      <c r="AV363" t="str">
        <f t="shared" si="230"/>
        <v xml:space="preserve">["LP"] =  5; </v>
      </c>
      <c r="AW363" t="str">
        <f t="shared" si="231"/>
        <v>0</v>
      </c>
      <c r="AX363" t="str">
        <f t="shared" si="232"/>
        <v xml:space="preserve">["REP"] =     0; </v>
      </c>
      <c r="AY363">
        <f>IF(LEN(P363)&gt;0,VLOOKUP(P363,Faction!A$2:B$77,2,FALSE),1)</f>
        <v>1</v>
      </c>
      <c r="AZ363" t="str">
        <f t="shared" si="233"/>
        <v xml:space="preserve">["FACTION"] =  1; </v>
      </c>
      <c r="BA363" t="str">
        <f t="shared" si="212"/>
        <v xml:space="preserve">["TIER"] = 2; </v>
      </c>
      <c r="BB363" t="str">
        <f t="shared" si="234"/>
        <v xml:space="preserve">                     </v>
      </c>
      <c r="BC363" t="str">
        <f t="shared" si="235"/>
        <v xml:space="preserve">                  </v>
      </c>
      <c r="BD363" t="str">
        <f t="shared" si="236"/>
        <v xml:space="preserve">["NAME"] = { ["EN"] = "Bounder's Bounty (Tier 1)"; }; </v>
      </c>
      <c r="BE363" t="str">
        <f t="shared" si="237"/>
        <v xml:space="preserve">["LORE"] = { ["EN"] = "Hand in Bounder's Tokens to unlock unique rewards."; }; </v>
      </c>
      <c r="BF363" t="str">
        <f t="shared" si="238"/>
        <v xml:space="preserve">["SUMMARY"] = { ["EN"] = "Complete 5 'Aiding in the Bounty' to unlock unique rewards"; }; </v>
      </c>
      <c r="BG363" t="str">
        <f t="shared" si="239"/>
        <v/>
      </c>
      <c r="BH363" t="str">
        <f t="shared" si="240"/>
        <v/>
      </c>
      <c r="BI363" t="str">
        <f t="shared" si="241"/>
        <v/>
      </c>
      <c r="BJ363" t="str">
        <f t="shared" si="243"/>
        <v>};</v>
      </c>
    </row>
    <row r="364" spans="1:62" x14ac:dyDescent="0.25">
      <c r="C364" s="3" t="s">
        <v>2447</v>
      </c>
      <c r="D364" s="2" t="s">
        <v>812</v>
      </c>
      <c r="S364">
        <v>1</v>
      </c>
      <c r="V364">
        <v>159</v>
      </c>
      <c r="X364" t="str">
        <f t="shared" si="211"/>
        <v>[363] = {["CAT_ID"] = 159; ["TIER"] = 1; }; -- - 2015 World Consolidation Event -</v>
      </c>
      <c r="Y364" s="1" t="str">
        <f t="shared" si="213"/>
        <v>[363] = {                                           ["TYPE"] = 14;                       ["SUBTYPE"] =   0;                                   ["VXP"] =    0; ["LP"] =  0; ["REP"] =     0; ["FACTION"] =  1; ["TIER"] = 1;                                        ["NAME"] = { ["EN"] = "- 2015 World Consolidation Event -"; }; };</v>
      </c>
      <c r="Z364">
        <f t="shared" si="242"/>
        <v>363</v>
      </c>
      <c r="AA364" t="str">
        <f t="shared" si="214"/>
        <v>[363] = {</v>
      </c>
      <c r="AB364" t="str">
        <f t="shared" si="215"/>
        <v xml:space="preserve">                     </v>
      </c>
      <c r="AC364" t="str">
        <f t="shared" si="216"/>
        <v/>
      </c>
      <c r="AD364" t="str">
        <f t="shared" si="217"/>
        <v xml:space="preserve">["CAT_ID"] = 159; </v>
      </c>
      <c r="AE364" t="str">
        <f t="shared" si="218"/>
        <v/>
      </c>
      <c r="AF364" s="1" t="str">
        <f t="shared" si="219"/>
        <v xml:space="preserve">                      </v>
      </c>
      <c r="AG364">
        <f>VLOOKUP(D364,Type!A$2:B$16,2,FALSE)</f>
        <v>14</v>
      </c>
      <c r="AH364" t="str">
        <f t="shared" si="220"/>
        <v xml:space="preserve">["TYPE"] = 14; </v>
      </c>
      <c r="AI364" t="str">
        <f t="shared" si="221"/>
        <v xml:space="preserve">                      </v>
      </c>
      <c r="AJ364" t="str">
        <f>IF(AND(F364="Class",NOT(ISBLANK(E364))),VLOOKUP(E364,Class!A$1:B$12,2,FALSE),"")</f>
        <v/>
      </c>
      <c r="AK364" t="str">
        <f>IF(AND(F364="Vocation",NOT(ISBLANK(E364))),VLOOKUP(E364,Vocation!A$1:B$8,2,FALSE),"")</f>
        <v/>
      </c>
      <c r="AL364" t="str">
        <f>IF(AND(F364="Race",NOT(ISBLANK(E364))),VLOOKUP(E364,Race!A$1:B$9,2,),"")</f>
        <v/>
      </c>
      <c r="AM364" t="str">
        <f t="shared" si="222"/>
        <v xml:space="preserve">  0</v>
      </c>
      <c r="AN364" t="str">
        <f t="shared" si="223"/>
        <v xml:space="preserve">["SUBTYPE"] =   0; </v>
      </c>
      <c r="AO364" t="str">
        <f>IF(NOT(ISBLANK(G364)),VLOOKUP(G364,Type!D$2:E$6,2,FALSE),"")</f>
        <v/>
      </c>
      <c r="AP364" t="str">
        <f t="shared" si="224"/>
        <v xml:space="preserve">            </v>
      </c>
      <c r="AQ364" t="str">
        <f t="shared" si="225"/>
        <v xml:space="preserve">                      </v>
      </c>
      <c r="AR364" t="str">
        <f t="shared" si="226"/>
        <v/>
      </c>
      <c r="AS364" t="str">
        <f t="shared" si="227"/>
        <v>0</v>
      </c>
      <c r="AT364" t="str">
        <f t="shared" si="228"/>
        <v xml:space="preserve">["VXP"] =    0; </v>
      </c>
      <c r="AU364" t="str">
        <f t="shared" si="229"/>
        <v>0</v>
      </c>
      <c r="AV364" t="str">
        <f t="shared" si="230"/>
        <v xml:space="preserve">["LP"] =  0; </v>
      </c>
      <c r="AW364" t="str">
        <f t="shared" si="231"/>
        <v>0</v>
      </c>
      <c r="AX364" t="str">
        <f t="shared" si="232"/>
        <v xml:space="preserve">["REP"] =     0; </v>
      </c>
      <c r="AY364">
        <f>IF(LEN(P364)&gt;0,VLOOKUP(P364,Faction!A$2:B$77,2,FALSE),1)</f>
        <v>1</v>
      </c>
      <c r="AZ364" t="str">
        <f t="shared" si="233"/>
        <v xml:space="preserve">["FACTION"] =  1; </v>
      </c>
      <c r="BA364" t="str">
        <f t="shared" si="212"/>
        <v xml:space="preserve">["TIER"] = 1; </v>
      </c>
      <c r="BB364" t="str">
        <f t="shared" si="234"/>
        <v xml:space="preserve">                     </v>
      </c>
      <c r="BC364" t="str">
        <f t="shared" si="235"/>
        <v xml:space="preserve">                  </v>
      </c>
      <c r="BD364" t="str">
        <f t="shared" si="236"/>
        <v xml:space="preserve">["NAME"] = { ["EN"] = "- 2015 World Consolidation Event -"; }; </v>
      </c>
      <c r="BE364" t="str">
        <f t="shared" si="237"/>
        <v/>
      </c>
      <c r="BF364" t="str">
        <f t="shared" si="238"/>
        <v/>
      </c>
      <c r="BG364" t="str">
        <f t="shared" si="239"/>
        <v/>
      </c>
      <c r="BH364" t="str">
        <f t="shared" si="240"/>
        <v/>
      </c>
      <c r="BI364" t="str">
        <f t="shared" si="241"/>
        <v/>
      </c>
      <c r="BJ364" t="str">
        <f t="shared" si="243"/>
        <v>};</v>
      </c>
    </row>
    <row r="365" spans="1:62" x14ac:dyDescent="0.25">
      <c r="A365">
        <v>1879326383</v>
      </c>
      <c r="B365">
        <v>259</v>
      </c>
      <c r="C365" s="4" t="s">
        <v>2481</v>
      </c>
      <c r="D365" t="s">
        <v>26</v>
      </c>
      <c r="G365" t="s">
        <v>2324</v>
      </c>
      <c r="Q365" t="s">
        <v>2483</v>
      </c>
      <c r="R365" t="s">
        <v>2482</v>
      </c>
      <c r="X365" t="str">
        <f t="shared" si="211"/>
        <v>[364] = {["ID"] = 1879326383; }; -- World Consolidation Announcement</v>
      </c>
      <c r="Y365" s="1" t="str">
        <f t="shared" si="213"/>
        <v>[364]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5">
        <f t="shared" si="242"/>
        <v>364</v>
      </c>
      <c r="AA365" t="str">
        <f t="shared" si="214"/>
        <v>[364] = {</v>
      </c>
      <c r="AB365" t="str">
        <f t="shared" si="215"/>
        <v xml:space="preserve">["ID"] = 1879326383; </v>
      </c>
      <c r="AC365" t="str">
        <f t="shared" si="216"/>
        <v xml:space="preserve">["ID"] = 1879326383; </v>
      </c>
      <c r="AD365" t="str">
        <f t="shared" si="217"/>
        <v/>
      </c>
      <c r="AE365" t="str">
        <f t="shared" si="218"/>
        <v/>
      </c>
      <c r="AF365" s="1" t="str">
        <f t="shared" si="219"/>
        <v xml:space="preserve">["SAVE_INDEX"] = 259; </v>
      </c>
      <c r="AG365">
        <f>VLOOKUP(D365,Type!A$2:B$16,2,FALSE)</f>
        <v>6</v>
      </c>
      <c r="AH365" t="str">
        <f t="shared" si="220"/>
        <v xml:space="preserve">["TYPE"] =  6; </v>
      </c>
      <c r="AI365" t="str">
        <f t="shared" si="221"/>
        <v xml:space="preserve">                      </v>
      </c>
      <c r="AJ365" t="str">
        <f>IF(AND(F365="Class",NOT(ISBLANK(E365))),VLOOKUP(E365,Class!A$1:B$12,2,FALSE),"")</f>
        <v/>
      </c>
      <c r="AK365" t="str">
        <f>IF(AND(F365="Vocation",NOT(ISBLANK(E365))),VLOOKUP(E365,Vocation!A$1:B$8,2,FALSE),"")</f>
        <v/>
      </c>
      <c r="AL365" t="str">
        <f>IF(AND(F365="Race",NOT(ISBLANK(E365))),VLOOKUP(E365,Race!A$1:B$9,2,),"")</f>
        <v/>
      </c>
      <c r="AM365" t="str">
        <f t="shared" si="222"/>
        <v xml:space="preserve">  0</v>
      </c>
      <c r="AN365" t="str">
        <f t="shared" si="223"/>
        <v xml:space="preserve">["SUBTYPE"] =   0; </v>
      </c>
      <c r="AO365">
        <f>IF(NOT(ISBLANK(G365)),VLOOKUP(G365,Type!D$2:E$6,2,FALSE),"")</f>
        <v>3</v>
      </c>
      <c r="AP365" t="str">
        <f t="shared" si="224"/>
        <v xml:space="preserve">["NA"] = 3; </v>
      </c>
      <c r="AQ365" t="str">
        <f t="shared" si="225"/>
        <v xml:space="preserve">                      </v>
      </c>
      <c r="AR365" t="str">
        <f t="shared" si="226"/>
        <v/>
      </c>
      <c r="AS365" t="str">
        <f t="shared" si="227"/>
        <v>0</v>
      </c>
      <c r="AT365" t="str">
        <f t="shared" si="228"/>
        <v xml:space="preserve">["VXP"] =    0; </v>
      </c>
      <c r="AU365" t="str">
        <f t="shared" si="229"/>
        <v>0</v>
      </c>
      <c r="AV365" t="str">
        <f t="shared" si="230"/>
        <v xml:space="preserve">["LP"] =  0; </v>
      </c>
      <c r="AW365" t="str">
        <f t="shared" si="231"/>
        <v>0</v>
      </c>
      <c r="AX365" t="str">
        <f t="shared" si="232"/>
        <v xml:space="preserve">["REP"] =     0; </v>
      </c>
      <c r="AY365">
        <f>IF(LEN(P365)&gt;0,VLOOKUP(P365,Faction!A$2:B$77,2,FALSE),1)</f>
        <v>1</v>
      </c>
      <c r="AZ365" t="str">
        <f t="shared" si="233"/>
        <v xml:space="preserve">["FACTION"] =  1; </v>
      </c>
      <c r="BA365" t="str">
        <f t="shared" si="212"/>
        <v/>
      </c>
      <c r="BB365" t="str">
        <f t="shared" si="234"/>
        <v xml:space="preserve">                     </v>
      </c>
      <c r="BC365" t="str">
        <f t="shared" si="235"/>
        <v xml:space="preserve">                  </v>
      </c>
      <c r="BD365" t="str">
        <f t="shared" si="236"/>
        <v xml:space="preserve">["NAME"] = { ["EN"] = "World Consolidation Announcement"; }; </v>
      </c>
      <c r="BE365" t="str">
        <f t="shared" si="237"/>
        <v xml:space="preserve">["LORE"] = { ["EN"] = "Announcing the World Consolidation event and the closure of some worlds."; }; </v>
      </c>
      <c r="BF365" t="str">
        <f t="shared" si="238"/>
        <v xml:space="preserve">["SUMMARY"] = { ["EN"] = "You have received a letter announcing the upcoming World Consolidation event."; }; </v>
      </c>
      <c r="BG365" t="str">
        <f t="shared" si="239"/>
        <v/>
      </c>
      <c r="BH365" t="str">
        <f t="shared" si="240"/>
        <v/>
      </c>
      <c r="BI365" t="str">
        <f t="shared" si="241"/>
        <v/>
      </c>
      <c r="BJ365" t="str">
        <f t="shared" si="243"/>
        <v>};</v>
      </c>
    </row>
    <row r="366" spans="1:62" x14ac:dyDescent="0.25">
      <c r="A366">
        <v>1879326065</v>
      </c>
      <c r="B366">
        <v>260</v>
      </c>
      <c r="C366" t="s">
        <v>2448</v>
      </c>
      <c r="D366" t="s">
        <v>26</v>
      </c>
      <c r="G366" t="s">
        <v>2324</v>
      </c>
      <c r="H366" t="s">
        <v>3515</v>
      </c>
      <c r="Q366" t="s">
        <v>3518</v>
      </c>
      <c r="R366" t="s">
        <v>2484</v>
      </c>
      <c r="X366" t="str">
        <f t="shared" si="211"/>
        <v>[365] = {["ID"] = 1879326065; }; -- World Consolidation Begins</v>
      </c>
      <c r="Y366" s="1" t="str">
        <f t="shared" si="213"/>
        <v>[365]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6">
        <f t="shared" si="242"/>
        <v>365</v>
      </c>
      <c r="AA366" t="str">
        <f t="shared" si="214"/>
        <v>[365] = {</v>
      </c>
      <c r="AB366" t="str">
        <f t="shared" si="215"/>
        <v xml:space="preserve">["ID"] = 1879326065; </v>
      </c>
      <c r="AC366" t="str">
        <f t="shared" si="216"/>
        <v xml:space="preserve">["ID"] = 1879326065; </v>
      </c>
      <c r="AD366" t="str">
        <f t="shared" si="217"/>
        <v/>
      </c>
      <c r="AE366" t="str">
        <f t="shared" si="218"/>
        <v/>
      </c>
      <c r="AF366" s="1" t="str">
        <f t="shared" si="219"/>
        <v xml:space="preserve">["SAVE_INDEX"] = 260; </v>
      </c>
      <c r="AG366">
        <f>VLOOKUP(D366,Type!A$2:B$16,2,FALSE)</f>
        <v>6</v>
      </c>
      <c r="AH366" t="str">
        <f t="shared" si="220"/>
        <v xml:space="preserve">["TYPE"] =  6; </v>
      </c>
      <c r="AI366" t="str">
        <f t="shared" si="221"/>
        <v xml:space="preserve">                      </v>
      </c>
      <c r="AJ366" t="str">
        <f>IF(AND(F366="Class",NOT(ISBLANK(E366))),VLOOKUP(E366,Class!A$1:B$12,2,FALSE),"")</f>
        <v/>
      </c>
      <c r="AK366" t="str">
        <f>IF(AND(F366="Vocation",NOT(ISBLANK(E366))),VLOOKUP(E366,Vocation!A$1:B$8,2,FALSE),"")</f>
        <v/>
      </c>
      <c r="AL366" t="str">
        <f>IF(AND(F366="Race",NOT(ISBLANK(E366))),VLOOKUP(E366,Race!A$1:B$9,2,),"")</f>
        <v/>
      </c>
      <c r="AM366" t="str">
        <f t="shared" si="222"/>
        <v xml:space="preserve">  0</v>
      </c>
      <c r="AN366" t="str">
        <f t="shared" si="223"/>
        <v xml:space="preserve">["SUBTYPE"] =   0; </v>
      </c>
      <c r="AO366">
        <f>IF(NOT(ISBLANK(G366)),VLOOKUP(G366,Type!D$2:E$6,2,FALSE),"")</f>
        <v>3</v>
      </c>
      <c r="AP366" t="str">
        <f t="shared" si="224"/>
        <v xml:space="preserve">["NA"] = 3; </v>
      </c>
      <c r="AQ366" t="str">
        <f t="shared" si="225"/>
        <v xml:space="preserve">                      </v>
      </c>
      <c r="AR366" t="str">
        <f t="shared" si="226"/>
        <v/>
      </c>
      <c r="AS366" t="str">
        <f t="shared" si="227"/>
        <v>0</v>
      </c>
      <c r="AT366" t="str">
        <f t="shared" si="228"/>
        <v xml:space="preserve">["VXP"] =    0; </v>
      </c>
      <c r="AU366" t="str">
        <f t="shared" si="229"/>
        <v>0</v>
      </c>
      <c r="AV366" t="str">
        <f t="shared" si="230"/>
        <v xml:space="preserve">["LP"] =  0; </v>
      </c>
      <c r="AW366" t="str">
        <f t="shared" si="231"/>
        <v>0</v>
      </c>
      <c r="AX366" t="str">
        <f t="shared" si="232"/>
        <v xml:space="preserve">["REP"] =     0; </v>
      </c>
      <c r="AY366">
        <f>IF(LEN(P366)&gt;0,VLOOKUP(P366,Faction!A$2:B$77,2,FALSE),1)</f>
        <v>1</v>
      </c>
      <c r="AZ366" t="str">
        <f t="shared" si="233"/>
        <v xml:space="preserve">["FACTION"] =  1; </v>
      </c>
      <c r="BA366" t="str">
        <f t="shared" si="212"/>
        <v/>
      </c>
      <c r="BB366" t="str">
        <f t="shared" si="234"/>
        <v xml:space="preserve">                     </v>
      </c>
      <c r="BC366" t="str">
        <f t="shared" si="235"/>
        <v xml:space="preserve">                  </v>
      </c>
      <c r="BD366" t="str">
        <f t="shared" si="236"/>
        <v xml:space="preserve">["NAME"] = { ["EN"] = "World Consolidation Begins"; }; </v>
      </c>
      <c r="BE366" t="str">
        <f t="shared" si="237"/>
        <v xml:space="preserve">["LORE"] = { ["EN"] = "The time is at hand. All must prepare themselves to journey to a new world."; }; </v>
      </c>
      <c r="BF366" t="str">
        <f t="shared" si="238"/>
        <v xml:space="preserve">["SUMMARY"] = { ["EN"] = "You have received a letter with instructions for finding a new world."; }; </v>
      </c>
      <c r="BG366" t="str">
        <f t="shared" si="239"/>
        <v/>
      </c>
      <c r="BH366" t="str">
        <f t="shared" si="240"/>
        <v xml:space="preserve">["NOTE"] = { ["EN"] = "(Old Servers)"; }; </v>
      </c>
      <c r="BI366" t="str">
        <f t="shared" si="241"/>
        <v/>
      </c>
      <c r="BJ366" t="str">
        <f t="shared" si="243"/>
        <v>};</v>
      </c>
    </row>
    <row r="367" spans="1:62" x14ac:dyDescent="0.25">
      <c r="A367">
        <v>1879326067</v>
      </c>
      <c r="B367">
        <v>359</v>
      </c>
      <c r="C367" t="s">
        <v>2448</v>
      </c>
      <c r="D367" t="s">
        <v>26</v>
      </c>
      <c r="G367" t="s">
        <v>2324</v>
      </c>
      <c r="H367" t="s">
        <v>3516</v>
      </c>
      <c r="Q367" t="s">
        <v>3517</v>
      </c>
      <c r="R367" t="s">
        <v>3514</v>
      </c>
      <c r="X367" t="str">
        <f t="shared" si="211"/>
        <v>[366] = {["ID"] = 1879326067; }; -- World Consolidation Begins</v>
      </c>
      <c r="Y367" s="1" t="str">
        <f t="shared" si="213"/>
        <v>[366]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7">
        <f t="shared" si="242"/>
        <v>366</v>
      </c>
      <c r="AA367" t="str">
        <f t="shared" si="214"/>
        <v>[366] = {</v>
      </c>
      <c r="AB367" t="str">
        <f t="shared" si="215"/>
        <v xml:space="preserve">["ID"] = 1879326067; </v>
      </c>
      <c r="AC367" t="str">
        <f t="shared" si="216"/>
        <v xml:space="preserve">["ID"] = 1879326067; </v>
      </c>
      <c r="AD367" t="str">
        <f t="shared" si="217"/>
        <v/>
      </c>
      <c r="AE367" t="str">
        <f t="shared" si="218"/>
        <v/>
      </c>
      <c r="AF367" s="1" t="str">
        <f t="shared" si="219"/>
        <v xml:space="preserve">["SAVE_INDEX"] = 359; </v>
      </c>
      <c r="AG367">
        <f>VLOOKUP(D367,Type!A$2:B$16,2,FALSE)</f>
        <v>6</v>
      </c>
      <c r="AH367" t="str">
        <f t="shared" si="220"/>
        <v xml:space="preserve">["TYPE"] =  6; </v>
      </c>
      <c r="AI367" t="str">
        <f t="shared" si="221"/>
        <v xml:space="preserve">                      </v>
      </c>
      <c r="AJ367" t="str">
        <f>IF(AND(F367="Class",NOT(ISBLANK(E367))),VLOOKUP(E367,Class!A$1:B$12,2,FALSE),"")</f>
        <v/>
      </c>
      <c r="AK367" t="str">
        <f>IF(AND(F367="Vocation",NOT(ISBLANK(E367))),VLOOKUP(E367,Vocation!A$1:B$8,2,FALSE),"")</f>
        <v/>
      </c>
      <c r="AL367" t="str">
        <f>IF(AND(F367="Race",NOT(ISBLANK(E367))),VLOOKUP(E367,Race!A$1:B$9,2,),"")</f>
        <v/>
      </c>
      <c r="AM367" t="str">
        <f t="shared" si="222"/>
        <v xml:space="preserve">  0</v>
      </c>
      <c r="AN367" t="str">
        <f t="shared" si="223"/>
        <v xml:space="preserve">["SUBTYPE"] =   0; </v>
      </c>
      <c r="AO367">
        <f>IF(NOT(ISBLANK(G367)),VLOOKUP(G367,Type!D$2:E$6,2,FALSE),"")</f>
        <v>3</v>
      </c>
      <c r="AP367" t="str">
        <f t="shared" si="224"/>
        <v xml:space="preserve">["NA"] = 3; </v>
      </c>
      <c r="AQ367" t="str">
        <f t="shared" si="225"/>
        <v xml:space="preserve">                      </v>
      </c>
      <c r="AR367" t="str">
        <f t="shared" si="226"/>
        <v/>
      </c>
      <c r="AS367" t="str">
        <f t="shared" si="227"/>
        <v>0</v>
      </c>
      <c r="AT367" t="str">
        <f t="shared" si="228"/>
        <v xml:space="preserve">["VXP"] =    0; </v>
      </c>
      <c r="AU367" t="str">
        <f t="shared" si="229"/>
        <v>0</v>
      </c>
      <c r="AV367" t="str">
        <f t="shared" si="230"/>
        <v xml:space="preserve">["LP"] =  0; </v>
      </c>
      <c r="AW367" t="str">
        <f t="shared" si="231"/>
        <v>0</v>
      </c>
      <c r="AX367" t="str">
        <f t="shared" si="232"/>
        <v xml:space="preserve">["REP"] =     0; </v>
      </c>
      <c r="AY367">
        <f>IF(LEN(P367)&gt;0,VLOOKUP(P367,Faction!A$2:B$77,2,FALSE),1)</f>
        <v>1</v>
      </c>
      <c r="AZ367" t="str">
        <f t="shared" si="233"/>
        <v xml:space="preserve">["FACTION"] =  1; </v>
      </c>
      <c r="BA367" t="str">
        <f t="shared" si="212"/>
        <v/>
      </c>
      <c r="BB367" t="str">
        <f t="shared" si="234"/>
        <v xml:space="preserve">                     </v>
      </c>
      <c r="BC367" t="str">
        <f t="shared" si="235"/>
        <v xml:space="preserve">                  </v>
      </c>
      <c r="BD367" t="str">
        <f t="shared" si="236"/>
        <v xml:space="preserve">["NAME"] = { ["EN"] = "World Consolidation Begins"; }; </v>
      </c>
      <c r="BE367" t="str">
        <f t="shared" si="237"/>
        <v xml:space="preserve">["LORE"] = { ["EN"] = "New faces will soon arrive in your world."; }; </v>
      </c>
      <c r="BF367" t="str">
        <f t="shared" si="238"/>
        <v xml:space="preserve">["SUMMARY"] = { ["EN"] = "You have received a letter bearing news of those coming to your world."; }; </v>
      </c>
      <c r="BG367" t="str">
        <f t="shared" si="239"/>
        <v/>
      </c>
      <c r="BH367" t="str">
        <f t="shared" si="240"/>
        <v xml:space="preserve">["NOTE"] = { ["EN"] = "(New Servers)"; }; </v>
      </c>
      <c r="BI367" t="str">
        <f t="shared" si="241"/>
        <v/>
      </c>
      <c r="BJ367" t="str">
        <f t="shared" si="243"/>
        <v>};</v>
      </c>
    </row>
    <row r="368" spans="1:62" x14ac:dyDescent="0.25">
      <c r="A368">
        <v>1879327466</v>
      </c>
      <c r="B368">
        <v>261</v>
      </c>
      <c r="C368" t="s">
        <v>2480</v>
      </c>
      <c r="D368" t="s">
        <v>24</v>
      </c>
      <c r="G368" t="s">
        <v>2324</v>
      </c>
      <c r="M368" t="s">
        <v>2517</v>
      </c>
      <c r="Q368" t="s">
        <v>2549</v>
      </c>
      <c r="R368" t="s">
        <v>2485</v>
      </c>
      <c r="X368" t="str">
        <f t="shared" si="211"/>
        <v>[367] = {["ID"] = 1879327466; }; -- Of Aglarond</v>
      </c>
      <c r="Y368" s="1" t="str">
        <f t="shared" si="213"/>
        <v>[367] = {["ID"] = 1879327466; ["SAVE_INDEX"] = 261; ["TYPE"] = 12;                       ["SUBTYPE"] =   0; ["NA"] = 3;                       ["VXP"] =    0; ["LP"] =  0; ["REP"] =     0; ["FACTION"] =  1;                                        ["NAME"] = { ["EN"] = "Of Aglarond"; }; ["LORE"] = { ["EN"] = "You have earned the Of Aglarond title."; }; ["SUMMARY"] = { ["EN"] = "Exist on Aglarond prior to August, 2015"; }; ["TITLE"] = { ["EN"] = "of Aglarond"; }; };</v>
      </c>
      <c r="Z368">
        <f t="shared" si="242"/>
        <v>367</v>
      </c>
      <c r="AA368" t="str">
        <f t="shared" si="214"/>
        <v>[367] = {</v>
      </c>
      <c r="AB368" t="str">
        <f t="shared" si="215"/>
        <v xml:space="preserve">["ID"] = 1879327466; </v>
      </c>
      <c r="AC368" t="str">
        <f t="shared" si="216"/>
        <v xml:space="preserve">["ID"] = 1879327466; </v>
      </c>
      <c r="AD368" t="str">
        <f t="shared" si="217"/>
        <v/>
      </c>
      <c r="AE368" t="str">
        <f t="shared" si="218"/>
        <v/>
      </c>
      <c r="AF368" s="1" t="str">
        <f t="shared" si="219"/>
        <v xml:space="preserve">["SAVE_INDEX"] = 261; </v>
      </c>
      <c r="AG368">
        <f>VLOOKUP(D368,Type!A$2:B$16,2,FALSE)</f>
        <v>12</v>
      </c>
      <c r="AH368" t="str">
        <f t="shared" si="220"/>
        <v xml:space="preserve">["TYPE"] = 12; </v>
      </c>
      <c r="AI368" t="str">
        <f t="shared" si="221"/>
        <v xml:space="preserve">                      </v>
      </c>
      <c r="AJ368" t="str">
        <f>IF(AND(F368="Class",NOT(ISBLANK(E368))),VLOOKUP(E368,Class!A$1:B$12,2,FALSE),"")</f>
        <v/>
      </c>
      <c r="AK368" t="str">
        <f>IF(AND(F368="Vocation",NOT(ISBLANK(E368))),VLOOKUP(E368,Vocation!A$1:B$8,2,FALSE),"")</f>
        <v/>
      </c>
      <c r="AL368" t="str">
        <f>IF(AND(F368="Race",NOT(ISBLANK(E368))),VLOOKUP(E368,Race!A$1:B$9,2,),"")</f>
        <v/>
      </c>
      <c r="AM368" t="str">
        <f t="shared" si="222"/>
        <v xml:space="preserve">  0</v>
      </c>
      <c r="AN368" t="str">
        <f t="shared" si="223"/>
        <v xml:space="preserve">["SUBTYPE"] =   0; </v>
      </c>
      <c r="AO368">
        <f>IF(NOT(ISBLANK(G368)),VLOOKUP(G368,Type!D$2:E$6,2,FALSE),"")</f>
        <v>3</v>
      </c>
      <c r="AP368" t="str">
        <f t="shared" si="224"/>
        <v xml:space="preserve">["NA"] = 3; </v>
      </c>
      <c r="AQ368" t="str">
        <f t="shared" si="225"/>
        <v xml:space="preserve">                      </v>
      </c>
      <c r="AR368" t="str">
        <f t="shared" si="226"/>
        <v/>
      </c>
      <c r="AS368" t="str">
        <f t="shared" si="227"/>
        <v>0</v>
      </c>
      <c r="AT368" t="str">
        <f t="shared" si="228"/>
        <v xml:space="preserve">["VXP"] =    0; </v>
      </c>
      <c r="AU368" t="str">
        <f t="shared" si="229"/>
        <v>0</v>
      </c>
      <c r="AV368" t="str">
        <f t="shared" si="230"/>
        <v xml:space="preserve">["LP"] =  0; </v>
      </c>
      <c r="AW368" t="str">
        <f t="shared" si="231"/>
        <v>0</v>
      </c>
      <c r="AX368" t="str">
        <f t="shared" si="232"/>
        <v xml:space="preserve">["REP"] =     0; </v>
      </c>
      <c r="AY368">
        <f>IF(LEN(P368)&gt;0,VLOOKUP(P368,Faction!A$2:B$77,2,FALSE),1)</f>
        <v>1</v>
      </c>
      <c r="AZ368" t="str">
        <f t="shared" si="233"/>
        <v xml:space="preserve">["FACTION"] =  1; </v>
      </c>
      <c r="BA368" t="str">
        <f t="shared" si="212"/>
        <v/>
      </c>
      <c r="BB368" t="str">
        <f t="shared" si="234"/>
        <v xml:space="preserve">                     </v>
      </c>
      <c r="BC368" t="str">
        <f t="shared" si="235"/>
        <v xml:space="preserve">                  </v>
      </c>
      <c r="BD368" t="str">
        <f t="shared" si="236"/>
        <v xml:space="preserve">["NAME"] = { ["EN"] = "Of Aglarond"; }; </v>
      </c>
      <c r="BE368" t="str">
        <f t="shared" si="237"/>
        <v xml:space="preserve">["LORE"] = { ["EN"] = "You have earned the Of Aglarond title."; }; </v>
      </c>
      <c r="BF368" t="str">
        <f t="shared" si="238"/>
        <v xml:space="preserve">["SUMMARY"] = { ["EN"] = "Exist on Aglarond prior to August, 2015"; }; </v>
      </c>
      <c r="BG368" t="str">
        <f t="shared" si="239"/>
        <v xml:space="preserve">["TITLE"] = { ["EN"] = "of Aglarond"; }; </v>
      </c>
      <c r="BH368" t="str">
        <f t="shared" si="240"/>
        <v/>
      </c>
      <c r="BI368" t="str">
        <f t="shared" si="241"/>
        <v/>
      </c>
      <c r="BJ368" t="str">
        <f t="shared" si="243"/>
        <v>};</v>
      </c>
    </row>
    <row r="369" spans="1:62" x14ac:dyDescent="0.25">
      <c r="A369">
        <v>1879326643</v>
      </c>
      <c r="B369">
        <v>262</v>
      </c>
      <c r="C369" t="s">
        <v>2450</v>
      </c>
      <c r="D369" t="s">
        <v>24</v>
      </c>
      <c r="G369" t="s">
        <v>2324</v>
      </c>
      <c r="M369" t="s">
        <v>2518</v>
      </c>
      <c r="Q369" t="s">
        <v>2550</v>
      </c>
      <c r="R369" t="s">
        <v>2486</v>
      </c>
      <c r="X369" t="str">
        <f t="shared" si="211"/>
        <v>[368] = {["ID"] = 1879326643; }; -- Of Anduin</v>
      </c>
      <c r="Y369" s="1" t="str">
        <f t="shared" si="213"/>
        <v>[368] = {["ID"] = 1879326643; ["SAVE_INDEX"] = 262; ["TYPE"] = 12;                       ["SUBTYPE"] =   0; ["NA"] = 3;                       ["VXP"] =    0; ["LP"] =  0; ["REP"] =     0; ["FACTION"] =  1;                                        ["NAME"] = { ["EN"] = "Of Anduin"; }; ["LORE"] = { ["EN"] = "You have earned the Of Anduin title."; }; ["SUMMARY"] = { ["EN"] = "Exist on Anduin prior to August, 2015"; }; ["TITLE"] = { ["EN"] = "of Anduin"; }; };</v>
      </c>
      <c r="Z369">
        <f t="shared" si="242"/>
        <v>368</v>
      </c>
      <c r="AA369" t="str">
        <f t="shared" si="214"/>
        <v>[368] = {</v>
      </c>
      <c r="AB369" t="str">
        <f t="shared" si="215"/>
        <v xml:space="preserve">["ID"] = 1879326643; </v>
      </c>
      <c r="AC369" t="str">
        <f t="shared" si="216"/>
        <v xml:space="preserve">["ID"] = 1879326643; </v>
      </c>
      <c r="AD369" t="str">
        <f t="shared" si="217"/>
        <v/>
      </c>
      <c r="AE369" t="str">
        <f t="shared" si="218"/>
        <v/>
      </c>
      <c r="AF369" s="1" t="str">
        <f t="shared" si="219"/>
        <v xml:space="preserve">["SAVE_INDEX"] = 262; </v>
      </c>
      <c r="AG369">
        <f>VLOOKUP(D369,Type!A$2:B$16,2,FALSE)</f>
        <v>12</v>
      </c>
      <c r="AH369" t="str">
        <f t="shared" si="220"/>
        <v xml:space="preserve">["TYPE"] = 12; </v>
      </c>
      <c r="AI369" t="str">
        <f t="shared" si="221"/>
        <v xml:space="preserve">                      </v>
      </c>
      <c r="AJ369" t="str">
        <f>IF(AND(F369="Class",NOT(ISBLANK(E369))),VLOOKUP(E369,Class!A$1:B$12,2,FALSE),"")</f>
        <v/>
      </c>
      <c r="AK369" t="str">
        <f>IF(AND(F369="Vocation",NOT(ISBLANK(E369))),VLOOKUP(E369,Vocation!A$1:B$8,2,FALSE),"")</f>
        <v/>
      </c>
      <c r="AL369" t="str">
        <f>IF(AND(F369="Race",NOT(ISBLANK(E369))),VLOOKUP(E369,Race!A$1:B$9,2,),"")</f>
        <v/>
      </c>
      <c r="AM369" t="str">
        <f t="shared" si="222"/>
        <v xml:space="preserve">  0</v>
      </c>
      <c r="AN369" t="str">
        <f t="shared" si="223"/>
        <v xml:space="preserve">["SUBTYPE"] =   0; </v>
      </c>
      <c r="AO369">
        <f>IF(NOT(ISBLANK(G369)),VLOOKUP(G369,Type!D$2:E$6,2,FALSE),"")</f>
        <v>3</v>
      </c>
      <c r="AP369" t="str">
        <f t="shared" si="224"/>
        <v xml:space="preserve">["NA"] = 3; </v>
      </c>
      <c r="AQ369" t="str">
        <f t="shared" si="225"/>
        <v xml:space="preserve">                      </v>
      </c>
      <c r="AR369" t="str">
        <f t="shared" si="226"/>
        <v/>
      </c>
      <c r="AS369" t="str">
        <f t="shared" si="227"/>
        <v>0</v>
      </c>
      <c r="AT369" t="str">
        <f t="shared" si="228"/>
        <v xml:space="preserve">["VXP"] =    0; </v>
      </c>
      <c r="AU369" t="str">
        <f t="shared" si="229"/>
        <v>0</v>
      </c>
      <c r="AV369" t="str">
        <f t="shared" si="230"/>
        <v xml:space="preserve">["LP"] =  0; </v>
      </c>
      <c r="AW369" t="str">
        <f t="shared" si="231"/>
        <v>0</v>
      </c>
      <c r="AX369" t="str">
        <f t="shared" si="232"/>
        <v xml:space="preserve">["REP"] =     0; </v>
      </c>
      <c r="AY369">
        <f>IF(LEN(P369)&gt;0,VLOOKUP(P369,Faction!A$2:B$77,2,FALSE),1)</f>
        <v>1</v>
      </c>
      <c r="AZ369" t="str">
        <f t="shared" si="233"/>
        <v xml:space="preserve">["FACTION"] =  1; </v>
      </c>
      <c r="BA369" t="str">
        <f t="shared" si="212"/>
        <v/>
      </c>
      <c r="BB369" t="str">
        <f t="shared" si="234"/>
        <v xml:space="preserve">                     </v>
      </c>
      <c r="BC369" t="str">
        <f t="shared" si="235"/>
        <v xml:space="preserve">                  </v>
      </c>
      <c r="BD369" t="str">
        <f t="shared" si="236"/>
        <v xml:space="preserve">["NAME"] = { ["EN"] = "Of Anduin"; }; </v>
      </c>
      <c r="BE369" t="str">
        <f t="shared" si="237"/>
        <v xml:space="preserve">["LORE"] = { ["EN"] = "You have earned the Of Anduin title."; }; </v>
      </c>
      <c r="BF369" t="str">
        <f t="shared" si="238"/>
        <v xml:space="preserve">["SUMMARY"] = { ["EN"] = "Exist on Anduin prior to August, 2015"; }; </v>
      </c>
      <c r="BG369" t="str">
        <f t="shared" si="239"/>
        <v xml:space="preserve">["TITLE"] = { ["EN"] = "of Anduin"; }; </v>
      </c>
      <c r="BH369" t="str">
        <f t="shared" si="240"/>
        <v/>
      </c>
      <c r="BI369" t="str">
        <f t="shared" si="241"/>
        <v/>
      </c>
      <c r="BJ369" t="str">
        <f t="shared" si="243"/>
        <v>};</v>
      </c>
    </row>
    <row r="370" spans="1:62" x14ac:dyDescent="0.25">
      <c r="A370">
        <v>1879326644</v>
      </c>
      <c r="B370">
        <v>263</v>
      </c>
      <c r="C370" t="s">
        <v>2451</v>
      </c>
      <c r="D370" t="s">
        <v>24</v>
      </c>
      <c r="G370" t="s">
        <v>2324</v>
      </c>
      <c r="M370" t="s">
        <v>2519</v>
      </c>
      <c r="Q370" t="s">
        <v>2551</v>
      </c>
      <c r="R370" t="s">
        <v>2487</v>
      </c>
      <c r="X370" t="str">
        <f t="shared" si="211"/>
        <v>[369] = {["ID"] = 1879326644; }; -- Of Arkenstone</v>
      </c>
      <c r="Y370" s="1" t="str">
        <f t="shared" si="213"/>
        <v>[369] = {["ID"] = 1879326644; ["SAVE_INDEX"] = 263; ["TYPE"] = 12;                       ["SUBTYPE"] =   0; ["NA"] = 3;                       ["VXP"] =    0; ["LP"] =  0; ["REP"] =     0; ["FACTION"] =  1;                                        ["NAME"] = { ["EN"] = "Of Arkenstone"; }; ["LORE"] = { ["EN"] = "You have earned the Of Arkenstone title."; }; ["SUMMARY"] = { ["EN"] = "Exist on Arkenstone prior to August, 2015"; }; ["TITLE"] = { ["EN"] = "of Arkenstone"; }; };</v>
      </c>
      <c r="Z370">
        <f t="shared" si="242"/>
        <v>369</v>
      </c>
      <c r="AA370" t="str">
        <f t="shared" si="214"/>
        <v>[369] = {</v>
      </c>
      <c r="AB370" t="str">
        <f t="shared" si="215"/>
        <v xml:space="preserve">["ID"] = 1879326644; </v>
      </c>
      <c r="AC370" t="str">
        <f t="shared" si="216"/>
        <v xml:space="preserve">["ID"] = 1879326644; </v>
      </c>
      <c r="AD370" t="str">
        <f t="shared" si="217"/>
        <v/>
      </c>
      <c r="AE370" t="str">
        <f t="shared" si="218"/>
        <v/>
      </c>
      <c r="AF370" s="1" t="str">
        <f t="shared" si="219"/>
        <v xml:space="preserve">["SAVE_INDEX"] = 263; </v>
      </c>
      <c r="AG370">
        <f>VLOOKUP(D370,Type!A$2:B$16,2,FALSE)</f>
        <v>12</v>
      </c>
      <c r="AH370" t="str">
        <f t="shared" si="220"/>
        <v xml:space="preserve">["TYPE"] = 12; </v>
      </c>
      <c r="AI370" t="str">
        <f t="shared" si="221"/>
        <v xml:space="preserve">                      </v>
      </c>
      <c r="AJ370" t="str">
        <f>IF(AND(F370="Class",NOT(ISBLANK(E370))),VLOOKUP(E370,Class!A$1:B$12,2,FALSE),"")</f>
        <v/>
      </c>
      <c r="AK370" t="str">
        <f>IF(AND(F370="Vocation",NOT(ISBLANK(E370))),VLOOKUP(E370,Vocation!A$1:B$8,2,FALSE),"")</f>
        <v/>
      </c>
      <c r="AL370" t="str">
        <f>IF(AND(F370="Race",NOT(ISBLANK(E370))),VLOOKUP(E370,Race!A$1:B$9,2,),"")</f>
        <v/>
      </c>
      <c r="AM370" t="str">
        <f t="shared" si="222"/>
        <v xml:space="preserve">  0</v>
      </c>
      <c r="AN370" t="str">
        <f t="shared" si="223"/>
        <v xml:space="preserve">["SUBTYPE"] =   0; </v>
      </c>
      <c r="AO370">
        <f>IF(NOT(ISBLANK(G370)),VLOOKUP(G370,Type!D$2:E$6,2,FALSE),"")</f>
        <v>3</v>
      </c>
      <c r="AP370" t="str">
        <f t="shared" si="224"/>
        <v xml:space="preserve">["NA"] = 3; </v>
      </c>
      <c r="AQ370" t="str">
        <f t="shared" si="225"/>
        <v xml:space="preserve">                      </v>
      </c>
      <c r="AR370" t="str">
        <f t="shared" si="226"/>
        <v/>
      </c>
      <c r="AS370" t="str">
        <f t="shared" si="227"/>
        <v>0</v>
      </c>
      <c r="AT370" t="str">
        <f t="shared" si="228"/>
        <v xml:space="preserve">["VXP"] =    0; </v>
      </c>
      <c r="AU370" t="str">
        <f t="shared" si="229"/>
        <v>0</v>
      </c>
      <c r="AV370" t="str">
        <f t="shared" si="230"/>
        <v xml:space="preserve">["LP"] =  0; </v>
      </c>
      <c r="AW370" t="str">
        <f t="shared" si="231"/>
        <v>0</v>
      </c>
      <c r="AX370" t="str">
        <f t="shared" si="232"/>
        <v xml:space="preserve">["REP"] =     0; </v>
      </c>
      <c r="AY370">
        <f>IF(LEN(P370)&gt;0,VLOOKUP(P370,Faction!A$2:B$77,2,FALSE),1)</f>
        <v>1</v>
      </c>
      <c r="AZ370" t="str">
        <f t="shared" si="233"/>
        <v xml:space="preserve">["FACTION"] =  1; </v>
      </c>
      <c r="BA370" t="str">
        <f t="shared" si="212"/>
        <v/>
      </c>
      <c r="BB370" t="str">
        <f t="shared" si="234"/>
        <v xml:space="preserve">                     </v>
      </c>
      <c r="BC370" t="str">
        <f t="shared" si="235"/>
        <v xml:space="preserve">                  </v>
      </c>
      <c r="BD370" t="str">
        <f t="shared" si="236"/>
        <v xml:space="preserve">["NAME"] = { ["EN"] = "Of Arkenstone"; }; </v>
      </c>
      <c r="BE370" t="str">
        <f t="shared" si="237"/>
        <v xml:space="preserve">["LORE"] = { ["EN"] = "You have earned the Of Arkenstone title."; }; </v>
      </c>
      <c r="BF370" t="str">
        <f t="shared" si="238"/>
        <v xml:space="preserve">["SUMMARY"] = { ["EN"] = "Exist on Arkenstone prior to August, 2015"; }; </v>
      </c>
      <c r="BG370" t="str">
        <f t="shared" si="239"/>
        <v xml:space="preserve">["TITLE"] = { ["EN"] = "of Arkenstone"; }; </v>
      </c>
      <c r="BH370" t="str">
        <f t="shared" si="240"/>
        <v/>
      </c>
      <c r="BI370" t="str">
        <f t="shared" si="241"/>
        <v/>
      </c>
      <c r="BJ370" t="str">
        <f t="shared" si="243"/>
        <v>};</v>
      </c>
    </row>
    <row r="371" spans="1:62" x14ac:dyDescent="0.25">
      <c r="A371">
        <v>1879326645</v>
      </c>
      <c r="B371">
        <v>264</v>
      </c>
      <c r="C371" t="s">
        <v>2452</v>
      </c>
      <c r="D371" t="s">
        <v>24</v>
      </c>
      <c r="G371" t="s">
        <v>2324</v>
      </c>
      <c r="M371" t="s">
        <v>2520</v>
      </c>
      <c r="Q371" t="s">
        <v>2552</v>
      </c>
      <c r="R371" t="s">
        <v>2488</v>
      </c>
      <c r="X371" t="str">
        <f t="shared" si="211"/>
        <v>[370] = {["ID"] = 1879326645; }; -- Of Belegaer</v>
      </c>
      <c r="Y371" s="1" t="str">
        <f t="shared" si="213"/>
        <v>[370] = {["ID"] = 1879326645; ["SAVE_INDEX"] = 264; ["TYPE"] = 12;                       ["SUBTYPE"] =   0; ["NA"] = 3;                       ["VXP"] =    0; ["LP"] =  0; ["REP"] =     0; ["FACTION"] =  1;                                        ["NAME"] = { ["EN"] = "Of Belegaer"; }; ["LORE"] = { ["EN"] = "You have earned the Of Belegaer title."; }; ["SUMMARY"] = { ["EN"] = "Exist on Belegaer prior to August, 2015"; }; ["TITLE"] = { ["EN"] = "of Belegaer"; }; };</v>
      </c>
      <c r="Z371">
        <f t="shared" si="242"/>
        <v>370</v>
      </c>
      <c r="AA371" t="str">
        <f t="shared" si="214"/>
        <v>[370] = {</v>
      </c>
      <c r="AB371" t="str">
        <f t="shared" si="215"/>
        <v xml:space="preserve">["ID"] = 1879326645; </v>
      </c>
      <c r="AC371" t="str">
        <f t="shared" si="216"/>
        <v xml:space="preserve">["ID"] = 1879326645; </v>
      </c>
      <c r="AD371" t="str">
        <f t="shared" si="217"/>
        <v/>
      </c>
      <c r="AE371" t="str">
        <f t="shared" si="218"/>
        <v/>
      </c>
      <c r="AF371" s="1" t="str">
        <f t="shared" si="219"/>
        <v xml:space="preserve">["SAVE_INDEX"] = 264; </v>
      </c>
      <c r="AG371">
        <f>VLOOKUP(D371,Type!A$2:B$16,2,FALSE)</f>
        <v>12</v>
      </c>
      <c r="AH371" t="str">
        <f t="shared" si="220"/>
        <v xml:space="preserve">["TYPE"] = 12; </v>
      </c>
      <c r="AI371" t="str">
        <f t="shared" si="221"/>
        <v xml:space="preserve">                      </v>
      </c>
      <c r="AJ371" t="str">
        <f>IF(AND(F371="Class",NOT(ISBLANK(E371))),VLOOKUP(E371,Class!A$1:B$12,2,FALSE),"")</f>
        <v/>
      </c>
      <c r="AK371" t="str">
        <f>IF(AND(F371="Vocation",NOT(ISBLANK(E371))),VLOOKUP(E371,Vocation!A$1:B$8,2,FALSE),"")</f>
        <v/>
      </c>
      <c r="AL371" t="str">
        <f>IF(AND(F371="Race",NOT(ISBLANK(E371))),VLOOKUP(E371,Race!A$1:B$9,2,),"")</f>
        <v/>
      </c>
      <c r="AM371" t="str">
        <f t="shared" si="222"/>
        <v xml:space="preserve">  0</v>
      </c>
      <c r="AN371" t="str">
        <f t="shared" si="223"/>
        <v xml:space="preserve">["SUBTYPE"] =   0; </v>
      </c>
      <c r="AO371">
        <f>IF(NOT(ISBLANK(G371)),VLOOKUP(G371,Type!D$2:E$6,2,FALSE),"")</f>
        <v>3</v>
      </c>
      <c r="AP371" t="str">
        <f t="shared" si="224"/>
        <v xml:space="preserve">["NA"] = 3; </v>
      </c>
      <c r="AQ371" t="str">
        <f t="shared" si="225"/>
        <v xml:space="preserve">                      </v>
      </c>
      <c r="AR371" t="str">
        <f t="shared" si="226"/>
        <v/>
      </c>
      <c r="AS371" t="str">
        <f t="shared" si="227"/>
        <v>0</v>
      </c>
      <c r="AT371" t="str">
        <f t="shared" si="228"/>
        <v xml:space="preserve">["VXP"] =    0; </v>
      </c>
      <c r="AU371" t="str">
        <f t="shared" si="229"/>
        <v>0</v>
      </c>
      <c r="AV371" t="str">
        <f t="shared" si="230"/>
        <v xml:space="preserve">["LP"] =  0; </v>
      </c>
      <c r="AW371" t="str">
        <f t="shared" si="231"/>
        <v>0</v>
      </c>
      <c r="AX371" t="str">
        <f t="shared" si="232"/>
        <v xml:space="preserve">["REP"] =     0; </v>
      </c>
      <c r="AY371">
        <f>IF(LEN(P371)&gt;0,VLOOKUP(P371,Faction!A$2:B$77,2,FALSE),1)</f>
        <v>1</v>
      </c>
      <c r="AZ371" t="str">
        <f t="shared" si="233"/>
        <v xml:space="preserve">["FACTION"] =  1; </v>
      </c>
      <c r="BA371" t="str">
        <f t="shared" si="212"/>
        <v/>
      </c>
      <c r="BB371" t="str">
        <f t="shared" si="234"/>
        <v xml:space="preserve">                     </v>
      </c>
      <c r="BC371" t="str">
        <f t="shared" si="235"/>
        <v xml:space="preserve">                  </v>
      </c>
      <c r="BD371" t="str">
        <f t="shared" si="236"/>
        <v xml:space="preserve">["NAME"] = { ["EN"] = "Of Belegaer"; }; </v>
      </c>
      <c r="BE371" t="str">
        <f t="shared" si="237"/>
        <v xml:space="preserve">["LORE"] = { ["EN"] = "You have earned the Of Belegaer title."; }; </v>
      </c>
      <c r="BF371" t="str">
        <f t="shared" si="238"/>
        <v xml:space="preserve">["SUMMARY"] = { ["EN"] = "Exist on Belegaer prior to August, 2015"; }; </v>
      </c>
      <c r="BG371" t="str">
        <f t="shared" si="239"/>
        <v xml:space="preserve">["TITLE"] = { ["EN"] = "of Belegaer"; }; </v>
      </c>
      <c r="BH371" t="str">
        <f t="shared" si="240"/>
        <v/>
      </c>
      <c r="BI371" t="str">
        <f t="shared" si="241"/>
        <v/>
      </c>
      <c r="BJ371" t="str">
        <f t="shared" si="243"/>
        <v>};</v>
      </c>
    </row>
    <row r="372" spans="1:62" x14ac:dyDescent="0.25">
      <c r="A372">
        <v>1879326646</v>
      </c>
      <c r="B372">
        <v>265</v>
      </c>
      <c r="C372" t="s">
        <v>2453</v>
      </c>
      <c r="D372" t="s">
        <v>24</v>
      </c>
      <c r="G372" t="s">
        <v>2324</v>
      </c>
      <c r="M372" t="s">
        <v>2521</v>
      </c>
      <c r="Q372" t="s">
        <v>2553</v>
      </c>
      <c r="R372" t="s">
        <v>2489</v>
      </c>
      <c r="X372" t="str">
        <f t="shared" si="211"/>
        <v>[371] = {["ID"] = 1879326646; }; -- Of Brandywine</v>
      </c>
      <c r="Y372" s="1" t="str">
        <f t="shared" si="213"/>
        <v>[371] = {["ID"] = 1879326646; ["SAVE_INDEX"] = 265; ["TYPE"] = 12;                       ["SUBTYPE"] =   0; ["NA"] = 3;                       ["VXP"] =    0; ["LP"] =  0; ["REP"] =     0; ["FACTION"] =  1;                                        ["NAME"] = { ["EN"] = "Of Brandywine"; }; ["LORE"] = { ["EN"] = "You have earned the Of Brandywine title."; }; ["SUMMARY"] = { ["EN"] = "Exist on Brandywine prior to August, 2015"; }; ["TITLE"] = { ["EN"] = "of Brandywine"; }; };</v>
      </c>
      <c r="Z372">
        <f t="shared" si="242"/>
        <v>371</v>
      </c>
      <c r="AA372" t="str">
        <f t="shared" si="214"/>
        <v>[371] = {</v>
      </c>
      <c r="AB372" t="str">
        <f t="shared" si="215"/>
        <v xml:space="preserve">["ID"] = 1879326646; </v>
      </c>
      <c r="AC372" t="str">
        <f t="shared" si="216"/>
        <v xml:space="preserve">["ID"] = 1879326646; </v>
      </c>
      <c r="AD372" t="str">
        <f t="shared" si="217"/>
        <v/>
      </c>
      <c r="AE372" t="str">
        <f t="shared" si="218"/>
        <v/>
      </c>
      <c r="AF372" s="1" t="str">
        <f t="shared" si="219"/>
        <v xml:space="preserve">["SAVE_INDEX"] = 265; </v>
      </c>
      <c r="AG372">
        <f>VLOOKUP(D372,Type!A$2:B$16,2,FALSE)</f>
        <v>12</v>
      </c>
      <c r="AH372" t="str">
        <f t="shared" si="220"/>
        <v xml:space="preserve">["TYPE"] = 12; </v>
      </c>
      <c r="AI372" t="str">
        <f t="shared" si="221"/>
        <v xml:space="preserve">                      </v>
      </c>
      <c r="AJ372" t="str">
        <f>IF(AND(F372="Class",NOT(ISBLANK(E372))),VLOOKUP(E372,Class!A$1:B$12,2,FALSE),"")</f>
        <v/>
      </c>
      <c r="AK372" t="str">
        <f>IF(AND(F372="Vocation",NOT(ISBLANK(E372))),VLOOKUP(E372,Vocation!A$1:B$8,2,FALSE),"")</f>
        <v/>
      </c>
      <c r="AL372" t="str">
        <f>IF(AND(F372="Race",NOT(ISBLANK(E372))),VLOOKUP(E372,Race!A$1:B$9,2,),"")</f>
        <v/>
      </c>
      <c r="AM372" t="str">
        <f t="shared" si="222"/>
        <v xml:space="preserve">  0</v>
      </c>
      <c r="AN372" t="str">
        <f t="shared" si="223"/>
        <v xml:space="preserve">["SUBTYPE"] =   0; </v>
      </c>
      <c r="AO372">
        <f>IF(NOT(ISBLANK(G372)),VLOOKUP(G372,Type!D$2:E$6,2,FALSE),"")</f>
        <v>3</v>
      </c>
      <c r="AP372" t="str">
        <f t="shared" si="224"/>
        <v xml:space="preserve">["NA"] = 3; </v>
      </c>
      <c r="AQ372" t="str">
        <f t="shared" si="225"/>
        <v xml:space="preserve">                      </v>
      </c>
      <c r="AR372" t="str">
        <f t="shared" si="226"/>
        <v/>
      </c>
      <c r="AS372" t="str">
        <f t="shared" si="227"/>
        <v>0</v>
      </c>
      <c r="AT372" t="str">
        <f t="shared" si="228"/>
        <v xml:space="preserve">["VXP"] =    0; </v>
      </c>
      <c r="AU372" t="str">
        <f t="shared" si="229"/>
        <v>0</v>
      </c>
      <c r="AV372" t="str">
        <f t="shared" si="230"/>
        <v xml:space="preserve">["LP"] =  0; </v>
      </c>
      <c r="AW372" t="str">
        <f t="shared" si="231"/>
        <v>0</v>
      </c>
      <c r="AX372" t="str">
        <f t="shared" si="232"/>
        <v xml:space="preserve">["REP"] =     0; </v>
      </c>
      <c r="AY372">
        <f>IF(LEN(P372)&gt;0,VLOOKUP(P372,Faction!A$2:B$77,2,FALSE),1)</f>
        <v>1</v>
      </c>
      <c r="AZ372" t="str">
        <f t="shared" si="233"/>
        <v xml:space="preserve">["FACTION"] =  1; </v>
      </c>
      <c r="BA372" t="str">
        <f t="shared" si="212"/>
        <v/>
      </c>
      <c r="BB372" t="str">
        <f t="shared" si="234"/>
        <v xml:space="preserve">                     </v>
      </c>
      <c r="BC372" t="str">
        <f t="shared" si="235"/>
        <v xml:space="preserve">                  </v>
      </c>
      <c r="BD372" t="str">
        <f t="shared" si="236"/>
        <v xml:space="preserve">["NAME"] = { ["EN"] = "Of Brandywine"; }; </v>
      </c>
      <c r="BE372" t="str">
        <f t="shared" si="237"/>
        <v xml:space="preserve">["LORE"] = { ["EN"] = "You have earned the Of Brandywine title."; }; </v>
      </c>
      <c r="BF372" t="str">
        <f t="shared" si="238"/>
        <v xml:space="preserve">["SUMMARY"] = { ["EN"] = "Exist on Brandywine prior to August, 2015"; }; </v>
      </c>
      <c r="BG372" t="str">
        <f t="shared" si="239"/>
        <v xml:space="preserve">["TITLE"] = { ["EN"] = "of Brandywine"; }; </v>
      </c>
      <c r="BH372" t="str">
        <f t="shared" si="240"/>
        <v/>
      </c>
      <c r="BI372" t="str">
        <f t="shared" si="241"/>
        <v/>
      </c>
      <c r="BJ372" t="str">
        <f t="shared" si="243"/>
        <v>};</v>
      </c>
    </row>
    <row r="373" spans="1:62" x14ac:dyDescent="0.25">
      <c r="A373">
        <v>1879326647</v>
      </c>
      <c r="B373">
        <v>266</v>
      </c>
      <c r="C373" t="s">
        <v>2454</v>
      </c>
      <c r="D373" t="s">
        <v>24</v>
      </c>
      <c r="G373" t="s">
        <v>2324</v>
      </c>
      <c r="M373" t="s">
        <v>2522</v>
      </c>
      <c r="Q373" t="s">
        <v>2554</v>
      </c>
      <c r="R373" t="s">
        <v>2490</v>
      </c>
      <c r="X373" t="str">
        <f t="shared" si="211"/>
        <v>[372] = {["ID"] = 1879326647; }; -- Of Crickhollow</v>
      </c>
      <c r="Y373" s="1" t="str">
        <f t="shared" si="213"/>
        <v>[372] = {["ID"] = 1879326647; ["SAVE_INDEX"] = 266; ["TYPE"] = 12;                       ["SUBTYPE"] =   0; ["NA"] = 3;                       ["VXP"] =    0; ["LP"] =  0; ["REP"] =     0; ["FACTION"] =  1;                                        ["NAME"] = { ["EN"] = "Of Crickhollow"; }; ["LORE"] = { ["EN"] = "You have earned the Of Crickhollow title."; }; ["SUMMARY"] = { ["EN"] = "Exist on Crickhollow prior to August, 2015"; }; ["TITLE"] = { ["EN"] = "of Crickhollow"; }; };</v>
      </c>
      <c r="Z373">
        <f t="shared" si="242"/>
        <v>372</v>
      </c>
      <c r="AA373" t="str">
        <f t="shared" si="214"/>
        <v>[372] = {</v>
      </c>
      <c r="AB373" t="str">
        <f t="shared" si="215"/>
        <v xml:space="preserve">["ID"] = 1879326647; </v>
      </c>
      <c r="AC373" t="str">
        <f t="shared" si="216"/>
        <v xml:space="preserve">["ID"] = 1879326647; </v>
      </c>
      <c r="AD373" t="str">
        <f t="shared" si="217"/>
        <v/>
      </c>
      <c r="AE373" t="str">
        <f t="shared" si="218"/>
        <v/>
      </c>
      <c r="AF373" s="1" t="str">
        <f t="shared" si="219"/>
        <v xml:space="preserve">["SAVE_INDEX"] = 266; </v>
      </c>
      <c r="AG373">
        <f>VLOOKUP(D373,Type!A$2:B$16,2,FALSE)</f>
        <v>12</v>
      </c>
      <c r="AH373" t="str">
        <f t="shared" si="220"/>
        <v xml:space="preserve">["TYPE"] = 12; </v>
      </c>
      <c r="AI373" t="str">
        <f t="shared" si="221"/>
        <v xml:space="preserve">                      </v>
      </c>
      <c r="AJ373" t="str">
        <f>IF(AND(F373="Class",NOT(ISBLANK(E373))),VLOOKUP(E373,Class!A$1:B$12,2,FALSE),"")</f>
        <v/>
      </c>
      <c r="AK373" t="str">
        <f>IF(AND(F373="Vocation",NOT(ISBLANK(E373))),VLOOKUP(E373,Vocation!A$1:B$8,2,FALSE),"")</f>
        <v/>
      </c>
      <c r="AL373" t="str">
        <f>IF(AND(F373="Race",NOT(ISBLANK(E373))),VLOOKUP(E373,Race!A$1:B$9,2,),"")</f>
        <v/>
      </c>
      <c r="AM373" t="str">
        <f t="shared" si="222"/>
        <v xml:space="preserve">  0</v>
      </c>
      <c r="AN373" t="str">
        <f t="shared" si="223"/>
        <v xml:space="preserve">["SUBTYPE"] =   0; </v>
      </c>
      <c r="AO373">
        <f>IF(NOT(ISBLANK(G373)),VLOOKUP(G373,Type!D$2:E$6,2,FALSE),"")</f>
        <v>3</v>
      </c>
      <c r="AP373" t="str">
        <f t="shared" si="224"/>
        <v xml:space="preserve">["NA"] = 3; </v>
      </c>
      <c r="AQ373" t="str">
        <f t="shared" si="225"/>
        <v xml:space="preserve">                      </v>
      </c>
      <c r="AR373" t="str">
        <f t="shared" si="226"/>
        <v/>
      </c>
      <c r="AS373" t="str">
        <f t="shared" si="227"/>
        <v>0</v>
      </c>
      <c r="AT373" t="str">
        <f t="shared" si="228"/>
        <v xml:space="preserve">["VXP"] =    0; </v>
      </c>
      <c r="AU373" t="str">
        <f t="shared" si="229"/>
        <v>0</v>
      </c>
      <c r="AV373" t="str">
        <f t="shared" si="230"/>
        <v xml:space="preserve">["LP"] =  0; </v>
      </c>
      <c r="AW373" t="str">
        <f t="shared" si="231"/>
        <v>0</v>
      </c>
      <c r="AX373" t="str">
        <f t="shared" si="232"/>
        <v xml:space="preserve">["REP"] =     0; </v>
      </c>
      <c r="AY373">
        <f>IF(LEN(P373)&gt;0,VLOOKUP(P373,Faction!A$2:B$77,2,FALSE),1)</f>
        <v>1</v>
      </c>
      <c r="AZ373" t="str">
        <f t="shared" si="233"/>
        <v xml:space="preserve">["FACTION"] =  1; </v>
      </c>
      <c r="BA373" t="str">
        <f t="shared" si="212"/>
        <v/>
      </c>
      <c r="BB373" t="str">
        <f t="shared" si="234"/>
        <v xml:space="preserve">                     </v>
      </c>
      <c r="BC373" t="str">
        <f t="shared" si="235"/>
        <v xml:space="preserve">                  </v>
      </c>
      <c r="BD373" t="str">
        <f t="shared" si="236"/>
        <v xml:space="preserve">["NAME"] = { ["EN"] = "Of Crickhollow"; }; </v>
      </c>
      <c r="BE373" t="str">
        <f t="shared" si="237"/>
        <v xml:space="preserve">["LORE"] = { ["EN"] = "You have earned the Of Crickhollow title."; }; </v>
      </c>
      <c r="BF373" t="str">
        <f t="shared" si="238"/>
        <v xml:space="preserve">["SUMMARY"] = { ["EN"] = "Exist on Crickhollow prior to August, 2015"; }; </v>
      </c>
      <c r="BG373" t="str">
        <f t="shared" si="239"/>
        <v xml:space="preserve">["TITLE"] = { ["EN"] = "of Crickhollow"; }; </v>
      </c>
      <c r="BH373" t="str">
        <f t="shared" si="240"/>
        <v/>
      </c>
      <c r="BI373" t="str">
        <f t="shared" si="241"/>
        <v/>
      </c>
      <c r="BJ373" t="str">
        <f t="shared" si="243"/>
        <v>};</v>
      </c>
    </row>
    <row r="374" spans="1:62" x14ac:dyDescent="0.25">
      <c r="A374">
        <v>1879326648</v>
      </c>
      <c r="B374">
        <v>267</v>
      </c>
      <c r="C374" t="s">
        <v>2455</v>
      </c>
      <c r="D374" t="s">
        <v>24</v>
      </c>
      <c r="G374" t="s">
        <v>2324</v>
      </c>
      <c r="M374" t="s">
        <v>2523</v>
      </c>
      <c r="Q374" t="s">
        <v>2555</v>
      </c>
      <c r="R374" t="s">
        <v>2491</v>
      </c>
      <c r="X374" t="str">
        <f t="shared" si="211"/>
        <v>[373] = {["ID"] = 1879326648; }; -- Of Dwarrowdelf</v>
      </c>
      <c r="Y374" s="1" t="str">
        <f t="shared" si="213"/>
        <v>[373] = {["ID"] = 1879326648; ["SAVE_INDEX"] = 267; ["TYPE"] = 12;                       ["SUBTYPE"] =   0; ["NA"] = 3;                       ["VXP"] =    0; ["LP"] =  0; ["REP"] =     0; ["FACTION"] =  1;                                        ["NAME"] = { ["EN"] = "Of Dwarrowdelf"; }; ["LORE"] = { ["EN"] = "You have earned the Of Dwarrowdelf title."; }; ["SUMMARY"] = { ["EN"] = "Exist on Dwarrowdelf prior to August, 2015"; }; ["TITLE"] = { ["EN"] = "of Dwarrowdelf"; }; };</v>
      </c>
      <c r="Z374">
        <f t="shared" si="242"/>
        <v>373</v>
      </c>
      <c r="AA374" t="str">
        <f t="shared" si="214"/>
        <v>[373] = {</v>
      </c>
      <c r="AB374" t="str">
        <f t="shared" si="215"/>
        <v xml:space="preserve">["ID"] = 1879326648; </v>
      </c>
      <c r="AC374" t="str">
        <f t="shared" si="216"/>
        <v xml:space="preserve">["ID"] = 1879326648; </v>
      </c>
      <c r="AD374" t="str">
        <f t="shared" si="217"/>
        <v/>
      </c>
      <c r="AE374" t="str">
        <f t="shared" si="218"/>
        <v/>
      </c>
      <c r="AF374" s="1" t="str">
        <f t="shared" si="219"/>
        <v xml:space="preserve">["SAVE_INDEX"] = 267; </v>
      </c>
      <c r="AG374">
        <f>VLOOKUP(D374,Type!A$2:B$16,2,FALSE)</f>
        <v>12</v>
      </c>
      <c r="AH374" t="str">
        <f t="shared" si="220"/>
        <v xml:space="preserve">["TYPE"] = 12; </v>
      </c>
      <c r="AI374" t="str">
        <f t="shared" si="221"/>
        <v xml:space="preserve">                      </v>
      </c>
      <c r="AJ374" t="str">
        <f>IF(AND(F374="Class",NOT(ISBLANK(E374))),VLOOKUP(E374,Class!A$1:B$12,2,FALSE),"")</f>
        <v/>
      </c>
      <c r="AK374" t="str">
        <f>IF(AND(F374="Vocation",NOT(ISBLANK(E374))),VLOOKUP(E374,Vocation!A$1:B$8,2,FALSE),"")</f>
        <v/>
      </c>
      <c r="AL374" t="str">
        <f>IF(AND(F374="Race",NOT(ISBLANK(E374))),VLOOKUP(E374,Race!A$1:B$9,2,),"")</f>
        <v/>
      </c>
      <c r="AM374" t="str">
        <f t="shared" si="222"/>
        <v xml:space="preserve">  0</v>
      </c>
      <c r="AN374" t="str">
        <f t="shared" si="223"/>
        <v xml:space="preserve">["SUBTYPE"] =   0; </v>
      </c>
      <c r="AO374">
        <f>IF(NOT(ISBLANK(G374)),VLOOKUP(G374,Type!D$2:E$6,2,FALSE),"")</f>
        <v>3</v>
      </c>
      <c r="AP374" t="str">
        <f t="shared" si="224"/>
        <v xml:space="preserve">["NA"] = 3; </v>
      </c>
      <c r="AQ374" t="str">
        <f t="shared" si="225"/>
        <v xml:space="preserve">                      </v>
      </c>
      <c r="AR374" t="str">
        <f t="shared" si="226"/>
        <v/>
      </c>
      <c r="AS374" t="str">
        <f t="shared" si="227"/>
        <v>0</v>
      </c>
      <c r="AT374" t="str">
        <f t="shared" si="228"/>
        <v xml:space="preserve">["VXP"] =    0; </v>
      </c>
      <c r="AU374" t="str">
        <f t="shared" si="229"/>
        <v>0</v>
      </c>
      <c r="AV374" t="str">
        <f t="shared" si="230"/>
        <v xml:space="preserve">["LP"] =  0; </v>
      </c>
      <c r="AW374" t="str">
        <f t="shared" si="231"/>
        <v>0</v>
      </c>
      <c r="AX374" t="str">
        <f t="shared" si="232"/>
        <v xml:space="preserve">["REP"] =     0; </v>
      </c>
      <c r="AY374">
        <f>IF(LEN(P374)&gt;0,VLOOKUP(P374,Faction!A$2:B$77,2,FALSE),1)</f>
        <v>1</v>
      </c>
      <c r="AZ374" t="str">
        <f t="shared" si="233"/>
        <v xml:space="preserve">["FACTION"] =  1; </v>
      </c>
      <c r="BA374" t="str">
        <f t="shared" si="212"/>
        <v/>
      </c>
      <c r="BB374" t="str">
        <f t="shared" si="234"/>
        <v xml:space="preserve">                     </v>
      </c>
      <c r="BC374" t="str">
        <f t="shared" si="235"/>
        <v xml:space="preserve">                  </v>
      </c>
      <c r="BD374" t="str">
        <f t="shared" si="236"/>
        <v xml:space="preserve">["NAME"] = { ["EN"] = "Of Dwarrowdelf"; }; </v>
      </c>
      <c r="BE374" t="str">
        <f t="shared" si="237"/>
        <v xml:space="preserve">["LORE"] = { ["EN"] = "You have earned the Of Dwarrowdelf title."; }; </v>
      </c>
      <c r="BF374" t="str">
        <f t="shared" si="238"/>
        <v xml:space="preserve">["SUMMARY"] = { ["EN"] = "Exist on Dwarrowdelf prior to August, 2015"; }; </v>
      </c>
      <c r="BG374" t="str">
        <f t="shared" si="239"/>
        <v xml:space="preserve">["TITLE"] = { ["EN"] = "of Dwarrowdelf"; }; </v>
      </c>
      <c r="BH374" t="str">
        <f t="shared" si="240"/>
        <v/>
      </c>
      <c r="BI374" t="str">
        <f t="shared" si="241"/>
        <v/>
      </c>
      <c r="BJ374" t="str">
        <f t="shared" si="243"/>
        <v>};</v>
      </c>
    </row>
    <row r="375" spans="1:62" x14ac:dyDescent="0.25">
      <c r="A375">
        <v>1879326649</v>
      </c>
      <c r="B375">
        <v>268</v>
      </c>
      <c r="C375" t="s">
        <v>2456</v>
      </c>
      <c r="D375" t="s">
        <v>24</v>
      </c>
      <c r="G375" t="s">
        <v>2324</v>
      </c>
      <c r="M375" t="s">
        <v>2524</v>
      </c>
      <c r="Q375" t="s">
        <v>2556</v>
      </c>
      <c r="R375" t="s">
        <v>2492</v>
      </c>
      <c r="X375" t="str">
        <f t="shared" si="211"/>
        <v>[374] = {["ID"] = 1879326649; }; -- Of Eldar</v>
      </c>
      <c r="Y375" s="1" t="str">
        <f t="shared" si="213"/>
        <v>[374] = {["ID"] = 1879326649; ["SAVE_INDEX"] = 268; ["TYPE"] = 12;                       ["SUBTYPE"] =   0; ["NA"] = 3;                       ["VXP"] =    0; ["LP"] =  0; ["REP"] =     0; ["FACTION"] =  1;                                        ["NAME"] = { ["EN"] = "Of Eldar"; }; ["LORE"] = { ["EN"] = "You have earned the Of Eldar title."; }; ["SUMMARY"] = { ["EN"] = "Exist on Eldar prior to August, 2015"; }; ["TITLE"] = { ["EN"] = "of Eldar"; }; };</v>
      </c>
      <c r="Z375">
        <f t="shared" si="242"/>
        <v>374</v>
      </c>
      <c r="AA375" t="str">
        <f t="shared" si="214"/>
        <v>[374] = {</v>
      </c>
      <c r="AB375" t="str">
        <f t="shared" si="215"/>
        <v xml:space="preserve">["ID"] = 1879326649; </v>
      </c>
      <c r="AC375" t="str">
        <f t="shared" si="216"/>
        <v xml:space="preserve">["ID"] = 1879326649; </v>
      </c>
      <c r="AD375" t="str">
        <f t="shared" si="217"/>
        <v/>
      </c>
      <c r="AE375" t="str">
        <f t="shared" si="218"/>
        <v/>
      </c>
      <c r="AF375" s="1" t="str">
        <f t="shared" si="219"/>
        <v xml:space="preserve">["SAVE_INDEX"] = 268; </v>
      </c>
      <c r="AG375">
        <f>VLOOKUP(D375,Type!A$2:B$16,2,FALSE)</f>
        <v>12</v>
      </c>
      <c r="AH375" t="str">
        <f t="shared" si="220"/>
        <v xml:space="preserve">["TYPE"] = 12; </v>
      </c>
      <c r="AI375" t="str">
        <f t="shared" si="221"/>
        <v xml:space="preserve">                      </v>
      </c>
      <c r="AJ375" t="str">
        <f>IF(AND(F375="Class",NOT(ISBLANK(E375))),VLOOKUP(E375,Class!A$1:B$12,2,FALSE),"")</f>
        <v/>
      </c>
      <c r="AK375" t="str">
        <f>IF(AND(F375="Vocation",NOT(ISBLANK(E375))),VLOOKUP(E375,Vocation!A$1:B$8,2,FALSE),"")</f>
        <v/>
      </c>
      <c r="AL375" t="str">
        <f>IF(AND(F375="Race",NOT(ISBLANK(E375))),VLOOKUP(E375,Race!A$1:B$9,2,),"")</f>
        <v/>
      </c>
      <c r="AM375" t="str">
        <f t="shared" si="222"/>
        <v xml:space="preserve">  0</v>
      </c>
      <c r="AN375" t="str">
        <f t="shared" si="223"/>
        <v xml:space="preserve">["SUBTYPE"] =   0; </v>
      </c>
      <c r="AO375">
        <f>IF(NOT(ISBLANK(G375)),VLOOKUP(G375,Type!D$2:E$6,2,FALSE),"")</f>
        <v>3</v>
      </c>
      <c r="AP375" t="str">
        <f t="shared" si="224"/>
        <v xml:space="preserve">["NA"] = 3; </v>
      </c>
      <c r="AQ375" t="str">
        <f t="shared" si="225"/>
        <v xml:space="preserve">                      </v>
      </c>
      <c r="AR375" t="str">
        <f t="shared" si="226"/>
        <v/>
      </c>
      <c r="AS375" t="str">
        <f t="shared" si="227"/>
        <v>0</v>
      </c>
      <c r="AT375" t="str">
        <f t="shared" si="228"/>
        <v xml:space="preserve">["VXP"] =    0; </v>
      </c>
      <c r="AU375" t="str">
        <f t="shared" si="229"/>
        <v>0</v>
      </c>
      <c r="AV375" t="str">
        <f t="shared" si="230"/>
        <v xml:space="preserve">["LP"] =  0; </v>
      </c>
      <c r="AW375" t="str">
        <f t="shared" si="231"/>
        <v>0</v>
      </c>
      <c r="AX375" t="str">
        <f t="shared" si="232"/>
        <v xml:space="preserve">["REP"] =     0; </v>
      </c>
      <c r="AY375">
        <f>IF(LEN(P375)&gt;0,VLOOKUP(P375,Faction!A$2:B$77,2,FALSE),1)</f>
        <v>1</v>
      </c>
      <c r="AZ375" t="str">
        <f t="shared" si="233"/>
        <v xml:space="preserve">["FACTION"] =  1; </v>
      </c>
      <c r="BA375" t="str">
        <f t="shared" si="212"/>
        <v/>
      </c>
      <c r="BB375" t="str">
        <f t="shared" si="234"/>
        <v xml:space="preserve">                     </v>
      </c>
      <c r="BC375" t="str">
        <f t="shared" si="235"/>
        <v xml:space="preserve">                  </v>
      </c>
      <c r="BD375" t="str">
        <f t="shared" si="236"/>
        <v xml:space="preserve">["NAME"] = { ["EN"] = "Of Eldar"; }; </v>
      </c>
      <c r="BE375" t="str">
        <f t="shared" si="237"/>
        <v xml:space="preserve">["LORE"] = { ["EN"] = "You have earned the Of Eldar title."; }; </v>
      </c>
      <c r="BF375" t="str">
        <f t="shared" si="238"/>
        <v xml:space="preserve">["SUMMARY"] = { ["EN"] = "Exist on Eldar prior to August, 2015"; }; </v>
      </c>
      <c r="BG375" t="str">
        <f t="shared" si="239"/>
        <v xml:space="preserve">["TITLE"] = { ["EN"] = "of Eldar"; }; </v>
      </c>
      <c r="BH375" t="str">
        <f t="shared" si="240"/>
        <v/>
      </c>
      <c r="BI375" t="str">
        <f t="shared" si="241"/>
        <v/>
      </c>
      <c r="BJ375" t="str">
        <f t="shared" si="243"/>
        <v>};</v>
      </c>
    </row>
    <row r="376" spans="1:62" x14ac:dyDescent="0.25">
      <c r="A376">
        <v>1879326531</v>
      </c>
      <c r="B376">
        <v>269</v>
      </c>
      <c r="C376" t="s">
        <v>2449</v>
      </c>
      <c r="D376" t="s">
        <v>24</v>
      </c>
      <c r="G376" t="s">
        <v>2324</v>
      </c>
      <c r="M376" t="s">
        <v>2525</v>
      </c>
      <c r="Q376" t="s">
        <v>2557</v>
      </c>
      <c r="R376" t="s">
        <v>2493</v>
      </c>
      <c r="X376" t="str">
        <f t="shared" si="211"/>
        <v>[375] = {["ID"] = 1879326531; }; -- Of Elendilmir</v>
      </c>
      <c r="Y376" s="1" t="str">
        <f t="shared" si="213"/>
        <v>[375] = {["ID"] = 1879326531; ["SAVE_INDEX"] = 269; ["TYPE"] = 12;                       ["SUBTYPE"] =   0; ["NA"] = 3;                       ["VXP"] =    0; ["LP"] =  0; ["REP"] =     0; ["FACTION"] =  1;                                        ["NAME"] = { ["EN"] = "Of Elendilmir"; }; ["LORE"] = { ["EN"] = "You have earned the Of Elendilmir title."; }; ["SUMMARY"] = { ["EN"] = "Exist on Elendilmir prior to August, 2015"; }; ["TITLE"] = { ["EN"] = "of Elendilmir"; }; };</v>
      </c>
      <c r="Z376">
        <f t="shared" si="242"/>
        <v>375</v>
      </c>
      <c r="AA376" t="str">
        <f t="shared" si="214"/>
        <v>[375] = {</v>
      </c>
      <c r="AB376" t="str">
        <f t="shared" si="215"/>
        <v xml:space="preserve">["ID"] = 1879326531; </v>
      </c>
      <c r="AC376" t="str">
        <f t="shared" si="216"/>
        <v xml:space="preserve">["ID"] = 1879326531; </v>
      </c>
      <c r="AD376" t="str">
        <f t="shared" si="217"/>
        <v/>
      </c>
      <c r="AE376" t="str">
        <f t="shared" si="218"/>
        <v/>
      </c>
      <c r="AF376" s="1" t="str">
        <f t="shared" si="219"/>
        <v xml:space="preserve">["SAVE_INDEX"] = 269; </v>
      </c>
      <c r="AG376">
        <f>VLOOKUP(D376,Type!A$2:B$16,2,FALSE)</f>
        <v>12</v>
      </c>
      <c r="AH376" t="str">
        <f t="shared" si="220"/>
        <v xml:space="preserve">["TYPE"] = 12; </v>
      </c>
      <c r="AI376" t="str">
        <f t="shared" si="221"/>
        <v xml:space="preserve">                      </v>
      </c>
      <c r="AJ376" t="str">
        <f>IF(AND(F376="Class",NOT(ISBLANK(E376))),VLOOKUP(E376,Class!A$1:B$12,2,FALSE),"")</f>
        <v/>
      </c>
      <c r="AK376" t="str">
        <f>IF(AND(F376="Vocation",NOT(ISBLANK(E376))),VLOOKUP(E376,Vocation!A$1:B$8,2,FALSE),"")</f>
        <v/>
      </c>
      <c r="AL376" t="str">
        <f>IF(AND(F376="Race",NOT(ISBLANK(E376))),VLOOKUP(E376,Race!A$1:B$9,2,),"")</f>
        <v/>
      </c>
      <c r="AM376" t="str">
        <f t="shared" si="222"/>
        <v xml:space="preserve">  0</v>
      </c>
      <c r="AN376" t="str">
        <f t="shared" si="223"/>
        <v xml:space="preserve">["SUBTYPE"] =   0; </v>
      </c>
      <c r="AO376">
        <f>IF(NOT(ISBLANK(G376)),VLOOKUP(G376,Type!D$2:E$6,2,FALSE),"")</f>
        <v>3</v>
      </c>
      <c r="AP376" t="str">
        <f t="shared" si="224"/>
        <v xml:space="preserve">["NA"] = 3; </v>
      </c>
      <c r="AQ376" t="str">
        <f t="shared" si="225"/>
        <v xml:space="preserve">                      </v>
      </c>
      <c r="AR376" t="str">
        <f t="shared" si="226"/>
        <v/>
      </c>
      <c r="AS376" t="str">
        <f t="shared" si="227"/>
        <v>0</v>
      </c>
      <c r="AT376" t="str">
        <f t="shared" si="228"/>
        <v xml:space="preserve">["VXP"] =    0; </v>
      </c>
      <c r="AU376" t="str">
        <f t="shared" si="229"/>
        <v>0</v>
      </c>
      <c r="AV376" t="str">
        <f t="shared" si="230"/>
        <v xml:space="preserve">["LP"] =  0; </v>
      </c>
      <c r="AW376" t="str">
        <f t="shared" si="231"/>
        <v>0</v>
      </c>
      <c r="AX376" t="str">
        <f t="shared" si="232"/>
        <v xml:space="preserve">["REP"] =     0; </v>
      </c>
      <c r="AY376">
        <f>IF(LEN(P376)&gt;0,VLOOKUP(P376,Faction!A$2:B$77,2,FALSE),1)</f>
        <v>1</v>
      </c>
      <c r="AZ376" t="str">
        <f t="shared" si="233"/>
        <v xml:space="preserve">["FACTION"] =  1; </v>
      </c>
      <c r="BA376" t="str">
        <f t="shared" si="212"/>
        <v/>
      </c>
      <c r="BB376" t="str">
        <f t="shared" si="234"/>
        <v xml:space="preserve">                     </v>
      </c>
      <c r="BC376" t="str">
        <f t="shared" si="235"/>
        <v xml:space="preserve">                  </v>
      </c>
      <c r="BD376" t="str">
        <f t="shared" si="236"/>
        <v xml:space="preserve">["NAME"] = { ["EN"] = "Of Elendilmir"; }; </v>
      </c>
      <c r="BE376" t="str">
        <f t="shared" si="237"/>
        <v xml:space="preserve">["LORE"] = { ["EN"] = "You have earned the Of Elendilmir title."; }; </v>
      </c>
      <c r="BF376" t="str">
        <f t="shared" si="238"/>
        <v xml:space="preserve">["SUMMARY"] = { ["EN"] = "Exist on Elendilmir prior to August, 2015"; }; </v>
      </c>
      <c r="BG376" t="str">
        <f t="shared" si="239"/>
        <v xml:space="preserve">["TITLE"] = { ["EN"] = "of Elendilmir"; }; </v>
      </c>
      <c r="BH376" t="str">
        <f t="shared" si="240"/>
        <v/>
      </c>
      <c r="BI376" t="str">
        <f t="shared" si="241"/>
        <v/>
      </c>
      <c r="BJ376" t="str">
        <f t="shared" si="243"/>
        <v>};</v>
      </c>
    </row>
    <row r="377" spans="1:62" x14ac:dyDescent="0.25">
      <c r="A377">
        <v>1879326650</v>
      </c>
      <c r="B377">
        <v>270</v>
      </c>
      <c r="C377" t="s">
        <v>2457</v>
      </c>
      <c r="D377" t="s">
        <v>24</v>
      </c>
      <c r="G377" t="s">
        <v>2324</v>
      </c>
      <c r="M377" t="s">
        <v>2526</v>
      </c>
      <c r="Q377" t="s">
        <v>2558</v>
      </c>
      <c r="R377" t="s">
        <v>2494</v>
      </c>
      <c r="X377" t="str">
        <f t="shared" si="211"/>
        <v>[376] = {["ID"] = 1879326650; }; -- Of Estel</v>
      </c>
      <c r="Y377" s="1" t="str">
        <f t="shared" si="213"/>
        <v>[376] = {["ID"] = 1879326650; ["SAVE_INDEX"] = 270; ["TYPE"] = 12;                       ["SUBTYPE"] =   0; ["NA"] = 3;                       ["VXP"] =    0; ["LP"] =  0; ["REP"] =     0; ["FACTION"] =  1;                                        ["NAME"] = { ["EN"] = "Of Estel"; }; ["LORE"] = { ["EN"] = "You have earned the Of Estel title."; }; ["SUMMARY"] = { ["EN"] = "Exist on Estel prior to August, 2015"; }; ["TITLE"] = { ["EN"] = "of Estel"; }; };</v>
      </c>
      <c r="Z377">
        <f t="shared" si="242"/>
        <v>376</v>
      </c>
      <c r="AA377" t="str">
        <f t="shared" si="214"/>
        <v>[376] = {</v>
      </c>
      <c r="AB377" t="str">
        <f t="shared" si="215"/>
        <v xml:space="preserve">["ID"] = 1879326650; </v>
      </c>
      <c r="AC377" t="str">
        <f t="shared" si="216"/>
        <v xml:space="preserve">["ID"] = 1879326650; </v>
      </c>
      <c r="AD377" t="str">
        <f t="shared" si="217"/>
        <v/>
      </c>
      <c r="AE377" t="str">
        <f t="shared" si="218"/>
        <v/>
      </c>
      <c r="AF377" s="1" t="str">
        <f t="shared" si="219"/>
        <v xml:space="preserve">["SAVE_INDEX"] = 270; </v>
      </c>
      <c r="AG377">
        <f>VLOOKUP(D377,Type!A$2:B$16,2,FALSE)</f>
        <v>12</v>
      </c>
      <c r="AH377" t="str">
        <f t="shared" si="220"/>
        <v xml:space="preserve">["TYPE"] = 12; </v>
      </c>
      <c r="AI377" t="str">
        <f t="shared" si="221"/>
        <v xml:space="preserve">                      </v>
      </c>
      <c r="AJ377" t="str">
        <f>IF(AND(F377="Class",NOT(ISBLANK(E377))),VLOOKUP(E377,Class!A$1:B$12,2,FALSE),"")</f>
        <v/>
      </c>
      <c r="AK377" t="str">
        <f>IF(AND(F377="Vocation",NOT(ISBLANK(E377))),VLOOKUP(E377,Vocation!A$1:B$8,2,FALSE),"")</f>
        <v/>
      </c>
      <c r="AL377" t="str">
        <f>IF(AND(F377="Race",NOT(ISBLANK(E377))),VLOOKUP(E377,Race!A$1:B$9,2,),"")</f>
        <v/>
      </c>
      <c r="AM377" t="str">
        <f t="shared" si="222"/>
        <v xml:space="preserve">  0</v>
      </c>
      <c r="AN377" t="str">
        <f t="shared" si="223"/>
        <v xml:space="preserve">["SUBTYPE"] =   0; </v>
      </c>
      <c r="AO377">
        <f>IF(NOT(ISBLANK(G377)),VLOOKUP(G377,Type!D$2:E$6,2,FALSE),"")</f>
        <v>3</v>
      </c>
      <c r="AP377" t="str">
        <f t="shared" si="224"/>
        <v xml:space="preserve">["NA"] = 3; </v>
      </c>
      <c r="AQ377" t="str">
        <f t="shared" si="225"/>
        <v xml:space="preserve">                      </v>
      </c>
      <c r="AR377" t="str">
        <f t="shared" si="226"/>
        <v/>
      </c>
      <c r="AS377" t="str">
        <f t="shared" si="227"/>
        <v>0</v>
      </c>
      <c r="AT377" t="str">
        <f t="shared" si="228"/>
        <v xml:space="preserve">["VXP"] =    0; </v>
      </c>
      <c r="AU377" t="str">
        <f t="shared" si="229"/>
        <v>0</v>
      </c>
      <c r="AV377" t="str">
        <f t="shared" si="230"/>
        <v xml:space="preserve">["LP"] =  0; </v>
      </c>
      <c r="AW377" t="str">
        <f t="shared" si="231"/>
        <v>0</v>
      </c>
      <c r="AX377" t="str">
        <f t="shared" si="232"/>
        <v xml:space="preserve">["REP"] =     0; </v>
      </c>
      <c r="AY377">
        <f>IF(LEN(P377)&gt;0,VLOOKUP(P377,Faction!A$2:B$77,2,FALSE),1)</f>
        <v>1</v>
      </c>
      <c r="AZ377" t="str">
        <f t="shared" si="233"/>
        <v xml:space="preserve">["FACTION"] =  1; </v>
      </c>
      <c r="BA377" t="str">
        <f t="shared" si="212"/>
        <v/>
      </c>
      <c r="BB377" t="str">
        <f t="shared" si="234"/>
        <v xml:space="preserve">                     </v>
      </c>
      <c r="BC377" t="str">
        <f t="shared" si="235"/>
        <v xml:space="preserve">                  </v>
      </c>
      <c r="BD377" t="str">
        <f t="shared" si="236"/>
        <v xml:space="preserve">["NAME"] = { ["EN"] = "Of Estel"; }; </v>
      </c>
      <c r="BE377" t="str">
        <f t="shared" si="237"/>
        <v xml:space="preserve">["LORE"] = { ["EN"] = "You have earned the Of Estel title."; }; </v>
      </c>
      <c r="BF377" t="str">
        <f t="shared" si="238"/>
        <v xml:space="preserve">["SUMMARY"] = { ["EN"] = "Exist on Estel prior to August, 2015"; }; </v>
      </c>
      <c r="BG377" t="str">
        <f t="shared" si="239"/>
        <v xml:space="preserve">["TITLE"] = { ["EN"] = "of Estel"; }; </v>
      </c>
      <c r="BH377" t="str">
        <f t="shared" si="240"/>
        <v/>
      </c>
      <c r="BI377" t="str">
        <f t="shared" si="241"/>
        <v/>
      </c>
      <c r="BJ377" t="str">
        <f t="shared" si="243"/>
        <v>};</v>
      </c>
    </row>
    <row r="378" spans="1:62" x14ac:dyDescent="0.25">
      <c r="A378">
        <v>1879326651</v>
      </c>
      <c r="B378">
        <v>271</v>
      </c>
      <c r="C378" t="s">
        <v>2458</v>
      </c>
      <c r="D378" t="s">
        <v>24</v>
      </c>
      <c r="G378" t="s">
        <v>2324</v>
      </c>
      <c r="M378" t="s">
        <v>2527</v>
      </c>
      <c r="Q378" t="s">
        <v>2559</v>
      </c>
      <c r="R378" t="s">
        <v>2495</v>
      </c>
      <c r="X378" t="str">
        <f t="shared" si="211"/>
        <v>[377] = {["ID"] = 1879326651; }; -- Of Evernight</v>
      </c>
      <c r="Y378" s="1" t="str">
        <f t="shared" si="213"/>
        <v>[377] = {["ID"] = 1879326651; ["SAVE_INDEX"] = 271; ["TYPE"] = 12;                       ["SUBTYPE"] =   0; ["NA"] = 3;                       ["VXP"] =    0; ["LP"] =  0; ["REP"] =     0; ["FACTION"] =  1;                                        ["NAME"] = { ["EN"] = "Of Evernight"; }; ["LORE"] = { ["EN"] = "You have earned the Of Evernight title."; }; ["SUMMARY"] = { ["EN"] = "Exist on Evernight prior to August, 2015"; }; ["TITLE"] = { ["EN"] = "of Evernight"; }; };</v>
      </c>
      <c r="Z378">
        <f t="shared" si="242"/>
        <v>377</v>
      </c>
      <c r="AA378" t="str">
        <f t="shared" si="214"/>
        <v>[377] = {</v>
      </c>
      <c r="AB378" t="str">
        <f t="shared" si="215"/>
        <v xml:space="preserve">["ID"] = 1879326651; </v>
      </c>
      <c r="AC378" t="str">
        <f t="shared" si="216"/>
        <v xml:space="preserve">["ID"] = 1879326651; </v>
      </c>
      <c r="AD378" t="str">
        <f t="shared" si="217"/>
        <v/>
      </c>
      <c r="AE378" t="str">
        <f t="shared" si="218"/>
        <v/>
      </c>
      <c r="AF378" s="1" t="str">
        <f t="shared" si="219"/>
        <v xml:space="preserve">["SAVE_INDEX"] = 271; </v>
      </c>
      <c r="AG378">
        <f>VLOOKUP(D378,Type!A$2:B$16,2,FALSE)</f>
        <v>12</v>
      </c>
      <c r="AH378" t="str">
        <f t="shared" si="220"/>
        <v xml:space="preserve">["TYPE"] = 12; </v>
      </c>
      <c r="AI378" t="str">
        <f t="shared" si="221"/>
        <v xml:space="preserve">                      </v>
      </c>
      <c r="AJ378" t="str">
        <f>IF(AND(F378="Class",NOT(ISBLANK(E378))),VLOOKUP(E378,Class!A$1:B$12,2,FALSE),"")</f>
        <v/>
      </c>
      <c r="AK378" t="str">
        <f>IF(AND(F378="Vocation",NOT(ISBLANK(E378))),VLOOKUP(E378,Vocation!A$1:B$8,2,FALSE),"")</f>
        <v/>
      </c>
      <c r="AL378" t="str">
        <f>IF(AND(F378="Race",NOT(ISBLANK(E378))),VLOOKUP(E378,Race!A$1:B$9,2,),"")</f>
        <v/>
      </c>
      <c r="AM378" t="str">
        <f t="shared" si="222"/>
        <v xml:space="preserve">  0</v>
      </c>
      <c r="AN378" t="str">
        <f t="shared" si="223"/>
        <v xml:space="preserve">["SUBTYPE"] =   0; </v>
      </c>
      <c r="AO378">
        <f>IF(NOT(ISBLANK(G378)),VLOOKUP(G378,Type!D$2:E$6,2,FALSE),"")</f>
        <v>3</v>
      </c>
      <c r="AP378" t="str">
        <f t="shared" si="224"/>
        <v xml:space="preserve">["NA"] = 3; </v>
      </c>
      <c r="AQ378" t="str">
        <f t="shared" si="225"/>
        <v xml:space="preserve">                      </v>
      </c>
      <c r="AR378" t="str">
        <f t="shared" si="226"/>
        <v/>
      </c>
      <c r="AS378" t="str">
        <f t="shared" si="227"/>
        <v>0</v>
      </c>
      <c r="AT378" t="str">
        <f t="shared" si="228"/>
        <v xml:space="preserve">["VXP"] =    0; </v>
      </c>
      <c r="AU378" t="str">
        <f t="shared" si="229"/>
        <v>0</v>
      </c>
      <c r="AV378" t="str">
        <f t="shared" si="230"/>
        <v xml:space="preserve">["LP"] =  0; </v>
      </c>
      <c r="AW378" t="str">
        <f t="shared" si="231"/>
        <v>0</v>
      </c>
      <c r="AX378" t="str">
        <f t="shared" si="232"/>
        <v xml:space="preserve">["REP"] =     0; </v>
      </c>
      <c r="AY378">
        <f>IF(LEN(P378)&gt;0,VLOOKUP(P378,Faction!A$2:B$77,2,FALSE),1)</f>
        <v>1</v>
      </c>
      <c r="AZ378" t="str">
        <f t="shared" si="233"/>
        <v xml:space="preserve">["FACTION"] =  1; </v>
      </c>
      <c r="BA378" t="str">
        <f t="shared" si="212"/>
        <v/>
      </c>
      <c r="BB378" t="str">
        <f t="shared" si="234"/>
        <v xml:space="preserve">                     </v>
      </c>
      <c r="BC378" t="str">
        <f t="shared" si="235"/>
        <v xml:space="preserve">                  </v>
      </c>
      <c r="BD378" t="str">
        <f t="shared" si="236"/>
        <v xml:space="preserve">["NAME"] = { ["EN"] = "Of Evernight"; }; </v>
      </c>
      <c r="BE378" t="str">
        <f t="shared" si="237"/>
        <v xml:space="preserve">["LORE"] = { ["EN"] = "You have earned the Of Evernight title."; }; </v>
      </c>
      <c r="BF378" t="str">
        <f t="shared" si="238"/>
        <v xml:space="preserve">["SUMMARY"] = { ["EN"] = "Exist on Evernight prior to August, 2015"; }; </v>
      </c>
      <c r="BG378" t="str">
        <f t="shared" si="239"/>
        <v xml:space="preserve">["TITLE"] = { ["EN"] = "of Evernight"; }; </v>
      </c>
      <c r="BH378" t="str">
        <f t="shared" si="240"/>
        <v/>
      </c>
      <c r="BI378" t="str">
        <f t="shared" si="241"/>
        <v/>
      </c>
      <c r="BJ378" t="str">
        <f t="shared" si="243"/>
        <v>};</v>
      </c>
    </row>
    <row r="379" spans="1:62" x14ac:dyDescent="0.25">
      <c r="A379">
        <v>1879326652</v>
      </c>
      <c r="B379">
        <v>272</v>
      </c>
      <c r="C379" t="s">
        <v>2459</v>
      </c>
      <c r="D379" t="s">
        <v>24</v>
      </c>
      <c r="G379" t="s">
        <v>2324</v>
      </c>
      <c r="M379" t="s">
        <v>2528</v>
      </c>
      <c r="Q379" t="s">
        <v>2560</v>
      </c>
      <c r="R379" t="s">
        <v>2496</v>
      </c>
      <c r="X379" t="str">
        <f t="shared" si="211"/>
        <v>[378] = {["ID"] = 1879326652; }; -- Of Firefoot</v>
      </c>
      <c r="Y379" s="1" t="str">
        <f t="shared" si="213"/>
        <v>[378] = {["ID"] = 1879326652; ["SAVE_INDEX"] = 272; ["TYPE"] = 12;                       ["SUBTYPE"] =   0; ["NA"] = 3;                       ["VXP"] =    0; ["LP"] =  0; ["REP"] =     0; ["FACTION"] =  1;                                        ["NAME"] = { ["EN"] = "Of Firefoot"; }; ["LORE"] = { ["EN"] = "You have earned the Of Firefoot title."; }; ["SUMMARY"] = { ["EN"] = "Exist on Firefoot prior to August, 2015"; }; ["TITLE"] = { ["EN"] = "of Firefoot"; }; };</v>
      </c>
      <c r="Z379">
        <f t="shared" si="242"/>
        <v>378</v>
      </c>
      <c r="AA379" t="str">
        <f t="shared" si="214"/>
        <v>[378] = {</v>
      </c>
      <c r="AB379" t="str">
        <f t="shared" si="215"/>
        <v xml:space="preserve">["ID"] = 1879326652; </v>
      </c>
      <c r="AC379" t="str">
        <f t="shared" si="216"/>
        <v xml:space="preserve">["ID"] = 1879326652; </v>
      </c>
      <c r="AD379" t="str">
        <f t="shared" si="217"/>
        <v/>
      </c>
      <c r="AE379" t="str">
        <f t="shared" si="218"/>
        <v/>
      </c>
      <c r="AF379" s="1" t="str">
        <f t="shared" si="219"/>
        <v xml:space="preserve">["SAVE_INDEX"] = 272; </v>
      </c>
      <c r="AG379">
        <f>VLOOKUP(D379,Type!A$2:B$16,2,FALSE)</f>
        <v>12</v>
      </c>
      <c r="AH379" t="str">
        <f t="shared" si="220"/>
        <v xml:space="preserve">["TYPE"] = 12; </v>
      </c>
      <c r="AI379" t="str">
        <f t="shared" si="221"/>
        <v xml:space="preserve">                      </v>
      </c>
      <c r="AJ379" t="str">
        <f>IF(AND(F379="Class",NOT(ISBLANK(E379))),VLOOKUP(E379,Class!A$1:B$12,2,FALSE),"")</f>
        <v/>
      </c>
      <c r="AK379" t="str">
        <f>IF(AND(F379="Vocation",NOT(ISBLANK(E379))),VLOOKUP(E379,Vocation!A$1:B$8,2,FALSE),"")</f>
        <v/>
      </c>
      <c r="AL379" t="str">
        <f>IF(AND(F379="Race",NOT(ISBLANK(E379))),VLOOKUP(E379,Race!A$1:B$9,2,),"")</f>
        <v/>
      </c>
      <c r="AM379" t="str">
        <f t="shared" si="222"/>
        <v xml:space="preserve">  0</v>
      </c>
      <c r="AN379" t="str">
        <f t="shared" si="223"/>
        <v xml:space="preserve">["SUBTYPE"] =   0; </v>
      </c>
      <c r="AO379">
        <f>IF(NOT(ISBLANK(G379)),VLOOKUP(G379,Type!D$2:E$6,2,FALSE),"")</f>
        <v>3</v>
      </c>
      <c r="AP379" t="str">
        <f t="shared" si="224"/>
        <v xml:space="preserve">["NA"] = 3; </v>
      </c>
      <c r="AQ379" t="str">
        <f t="shared" si="225"/>
        <v xml:space="preserve">                      </v>
      </c>
      <c r="AR379" t="str">
        <f t="shared" si="226"/>
        <v/>
      </c>
      <c r="AS379" t="str">
        <f t="shared" si="227"/>
        <v>0</v>
      </c>
      <c r="AT379" t="str">
        <f t="shared" si="228"/>
        <v xml:space="preserve">["VXP"] =    0; </v>
      </c>
      <c r="AU379" t="str">
        <f t="shared" si="229"/>
        <v>0</v>
      </c>
      <c r="AV379" t="str">
        <f t="shared" si="230"/>
        <v xml:space="preserve">["LP"] =  0; </v>
      </c>
      <c r="AW379" t="str">
        <f t="shared" si="231"/>
        <v>0</v>
      </c>
      <c r="AX379" t="str">
        <f t="shared" si="232"/>
        <v xml:space="preserve">["REP"] =     0; </v>
      </c>
      <c r="AY379">
        <f>IF(LEN(P379)&gt;0,VLOOKUP(P379,Faction!A$2:B$77,2,FALSE),1)</f>
        <v>1</v>
      </c>
      <c r="AZ379" t="str">
        <f t="shared" si="233"/>
        <v xml:space="preserve">["FACTION"] =  1; </v>
      </c>
      <c r="BA379" t="str">
        <f t="shared" si="212"/>
        <v/>
      </c>
      <c r="BB379" t="str">
        <f t="shared" si="234"/>
        <v xml:space="preserve">                     </v>
      </c>
      <c r="BC379" t="str">
        <f t="shared" si="235"/>
        <v xml:space="preserve">                  </v>
      </c>
      <c r="BD379" t="str">
        <f t="shared" si="236"/>
        <v xml:space="preserve">["NAME"] = { ["EN"] = "Of Firefoot"; }; </v>
      </c>
      <c r="BE379" t="str">
        <f t="shared" si="237"/>
        <v xml:space="preserve">["LORE"] = { ["EN"] = "You have earned the Of Firefoot title."; }; </v>
      </c>
      <c r="BF379" t="str">
        <f t="shared" si="238"/>
        <v xml:space="preserve">["SUMMARY"] = { ["EN"] = "Exist on Firefoot prior to August, 2015"; }; </v>
      </c>
      <c r="BG379" t="str">
        <f t="shared" si="239"/>
        <v xml:space="preserve">["TITLE"] = { ["EN"] = "of Firefoot"; }; </v>
      </c>
      <c r="BH379" t="str">
        <f t="shared" si="240"/>
        <v/>
      </c>
      <c r="BI379" t="str">
        <f t="shared" si="241"/>
        <v/>
      </c>
      <c r="BJ379" t="str">
        <f t="shared" si="243"/>
        <v>};</v>
      </c>
    </row>
    <row r="380" spans="1:62" x14ac:dyDescent="0.25">
      <c r="A380">
        <v>1879327458</v>
      </c>
      <c r="B380">
        <v>273</v>
      </c>
      <c r="C380" t="s">
        <v>2478</v>
      </c>
      <c r="D380" t="s">
        <v>24</v>
      </c>
      <c r="G380" t="s">
        <v>2324</v>
      </c>
      <c r="M380" t="s">
        <v>2529</v>
      </c>
      <c r="Q380" t="s">
        <v>2561</v>
      </c>
      <c r="R380" t="s">
        <v>2497</v>
      </c>
      <c r="X380" t="str">
        <f t="shared" si="211"/>
        <v>[379] = {["ID"] = 1879327458; }; -- Of Fornost</v>
      </c>
      <c r="Y380" s="1" t="str">
        <f t="shared" si="213"/>
        <v>[379] = {["ID"] = 1879327458; ["SAVE_INDEX"] = 273; ["TYPE"] = 12;                       ["SUBTYPE"] =   0; ["NA"] = 3;                       ["VXP"] =    0; ["LP"] =  0; ["REP"] =     0; ["FACTION"] =  1;                                        ["NAME"] = { ["EN"] = "Of Fornost"; }; ["LORE"] = { ["EN"] = "You have earned the Of Fornost title."; }; ["SUMMARY"] = { ["EN"] = "Exist on Fornost prior to August, 2015"; }; ["TITLE"] = { ["EN"] = "of Fornost"; }; };</v>
      </c>
      <c r="Z380">
        <f t="shared" si="242"/>
        <v>379</v>
      </c>
      <c r="AA380" t="str">
        <f t="shared" si="214"/>
        <v>[379] = {</v>
      </c>
      <c r="AB380" t="str">
        <f t="shared" si="215"/>
        <v xml:space="preserve">["ID"] = 1879327458; </v>
      </c>
      <c r="AC380" t="str">
        <f t="shared" si="216"/>
        <v xml:space="preserve">["ID"] = 1879327458; </v>
      </c>
      <c r="AD380" t="str">
        <f t="shared" si="217"/>
        <v/>
      </c>
      <c r="AE380" t="str">
        <f t="shared" si="218"/>
        <v/>
      </c>
      <c r="AF380" s="1" t="str">
        <f t="shared" si="219"/>
        <v xml:space="preserve">["SAVE_INDEX"] = 273; </v>
      </c>
      <c r="AG380">
        <f>VLOOKUP(D380,Type!A$2:B$16,2,FALSE)</f>
        <v>12</v>
      </c>
      <c r="AH380" t="str">
        <f t="shared" si="220"/>
        <v xml:space="preserve">["TYPE"] = 12; </v>
      </c>
      <c r="AI380" t="str">
        <f t="shared" si="221"/>
        <v xml:space="preserve">                      </v>
      </c>
      <c r="AJ380" t="str">
        <f>IF(AND(F380="Class",NOT(ISBLANK(E380))),VLOOKUP(E380,Class!A$1:B$12,2,FALSE),"")</f>
        <v/>
      </c>
      <c r="AK380" t="str">
        <f>IF(AND(F380="Vocation",NOT(ISBLANK(E380))),VLOOKUP(E380,Vocation!A$1:B$8,2,FALSE),"")</f>
        <v/>
      </c>
      <c r="AL380" t="str">
        <f>IF(AND(F380="Race",NOT(ISBLANK(E380))),VLOOKUP(E380,Race!A$1:B$9,2,),"")</f>
        <v/>
      </c>
      <c r="AM380" t="str">
        <f t="shared" si="222"/>
        <v xml:space="preserve">  0</v>
      </c>
      <c r="AN380" t="str">
        <f t="shared" si="223"/>
        <v xml:space="preserve">["SUBTYPE"] =   0; </v>
      </c>
      <c r="AO380">
        <f>IF(NOT(ISBLANK(G380)),VLOOKUP(G380,Type!D$2:E$6,2,FALSE),"")</f>
        <v>3</v>
      </c>
      <c r="AP380" t="str">
        <f t="shared" si="224"/>
        <v xml:space="preserve">["NA"] = 3; </v>
      </c>
      <c r="AQ380" t="str">
        <f t="shared" si="225"/>
        <v xml:space="preserve">                      </v>
      </c>
      <c r="AR380" t="str">
        <f t="shared" si="226"/>
        <v/>
      </c>
      <c r="AS380" t="str">
        <f t="shared" si="227"/>
        <v>0</v>
      </c>
      <c r="AT380" t="str">
        <f t="shared" si="228"/>
        <v xml:space="preserve">["VXP"] =    0; </v>
      </c>
      <c r="AU380" t="str">
        <f t="shared" si="229"/>
        <v>0</v>
      </c>
      <c r="AV380" t="str">
        <f t="shared" si="230"/>
        <v xml:space="preserve">["LP"] =  0; </v>
      </c>
      <c r="AW380" t="str">
        <f t="shared" si="231"/>
        <v>0</v>
      </c>
      <c r="AX380" t="str">
        <f t="shared" si="232"/>
        <v xml:space="preserve">["REP"] =     0; </v>
      </c>
      <c r="AY380">
        <f>IF(LEN(P380)&gt;0,VLOOKUP(P380,Faction!A$2:B$77,2,FALSE),1)</f>
        <v>1</v>
      </c>
      <c r="AZ380" t="str">
        <f t="shared" si="233"/>
        <v xml:space="preserve">["FACTION"] =  1; </v>
      </c>
      <c r="BA380" t="str">
        <f t="shared" si="212"/>
        <v/>
      </c>
      <c r="BB380" t="str">
        <f t="shared" si="234"/>
        <v xml:space="preserve">                     </v>
      </c>
      <c r="BC380" t="str">
        <f t="shared" si="235"/>
        <v xml:space="preserve">                  </v>
      </c>
      <c r="BD380" t="str">
        <f t="shared" si="236"/>
        <v xml:space="preserve">["NAME"] = { ["EN"] = "Of Fornost"; }; </v>
      </c>
      <c r="BE380" t="str">
        <f t="shared" si="237"/>
        <v xml:space="preserve">["LORE"] = { ["EN"] = "You have earned the Of Fornost title."; }; </v>
      </c>
      <c r="BF380" t="str">
        <f t="shared" si="238"/>
        <v xml:space="preserve">["SUMMARY"] = { ["EN"] = "Exist on Fornost prior to August, 2015"; }; </v>
      </c>
      <c r="BG380" t="str">
        <f t="shared" si="239"/>
        <v xml:space="preserve">["TITLE"] = { ["EN"] = "of Fornost"; }; </v>
      </c>
      <c r="BH380" t="str">
        <f t="shared" si="240"/>
        <v/>
      </c>
      <c r="BI380" t="str">
        <f t="shared" si="241"/>
        <v/>
      </c>
      <c r="BJ380" t="str">
        <f t="shared" si="243"/>
        <v>};</v>
      </c>
    </row>
    <row r="381" spans="1:62" x14ac:dyDescent="0.25">
      <c r="A381">
        <v>1879326653</v>
      </c>
      <c r="B381">
        <v>274</v>
      </c>
      <c r="C381" t="s">
        <v>2460</v>
      </c>
      <c r="D381" t="s">
        <v>24</v>
      </c>
      <c r="G381" t="s">
        <v>2324</v>
      </c>
      <c r="M381" t="s">
        <v>2530</v>
      </c>
      <c r="Q381" t="s">
        <v>2562</v>
      </c>
      <c r="R381" t="s">
        <v>2498</v>
      </c>
      <c r="X381" t="str">
        <f t="shared" si="211"/>
        <v>[380] = {["ID"] = 1879326653; }; -- Of Gilrain</v>
      </c>
      <c r="Y381" s="1" t="str">
        <f t="shared" si="213"/>
        <v>[380] = {["ID"] = 1879326653; ["SAVE_INDEX"] = 274; ["TYPE"] = 12;                       ["SUBTYPE"] =   0; ["NA"] = 3;                       ["VXP"] =    0; ["LP"] =  0; ["REP"] =     0; ["FACTION"] =  1;                                        ["NAME"] = { ["EN"] = "Of Gilrain"; }; ["LORE"] = { ["EN"] = "You have earned the Of Gilrain title."; }; ["SUMMARY"] = { ["EN"] = "Exist on Gilrain prior to August, 2015"; }; ["TITLE"] = { ["EN"] = "of Gilrain"; }; };</v>
      </c>
      <c r="Z381">
        <f t="shared" si="242"/>
        <v>380</v>
      </c>
      <c r="AA381" t="str">
        <f t="shared" si="214"/>
        <v>[380] = {</v>
      </c>
      <c r="AB381" t="str">
        <f t="shared" si="215"/>
        <v xml:space="preserve">["ID"] = 1879326653; </v>
      </c>
      <c r="AC381" t="str">
        <f t="shared" si="216"/>
        <v xml:space="preserve">["ID"] = 1879326653; </v>
      </c>
      <c r="AD381" t="str">
        <f t="shared" si="217"/>
        <v/>
      </c>
      <c r="AE381" t="str">
        <f t="shared" si="218"/>
        <v/>
      </c>
      <c r="AF381" s="1" t="str">
        <f t="shared" si="219"/>
        <v xml:space="preserve">["SAVE_INDEX"] = 274; </v>
      </c>
      <c r="AG381">
        <f>VLOOKUP(D381,Type!A$2:B$16,2,FALSE)</f>
        <v>12</v>
      </c>
      <c r="AH381" t="str">
        <f t="shared" si="220"/>
        <v xml:space="preserve">["TYPE"] = 12; </v>
      </c>
      <c r="AI381" t="str">
        <f t="shared" si="221"/>
        <v xml:space="preserve">                      </v>
      </c>
      <c r="AJ381" t="str">
        <f>IF(AND(F381="Class",NOT(ISBLANK(E381))),VLOOKUP(E381,Class!A$1:B$12,2,FALSE),"")</f>
        <v/>
      </c>
      <c r="AK381" t="str">
        <f>IF(AND(F381="Vocation",NOT(ISBLANK(E381))),VLOOKUP(E381,Vocation!A$1:B$8,2,FALSE),"")</f>
        <v/>
      </c>
      <c r="AL381" t="str">
        <f>IF(AND(F381="Race",NOT(ISBLANK(E381))),VLOOKUP(E381,Race!A$1:B$9,2,),"")</f>
        <v/>
      </c>
      <c r="AM381" t="str">
        <f t="shared" si="222"/>
        <v xml:space="preserve">  0</v>
      </c>
      <c r="AN381" t="str">
        <f t="shared" si="223"/>
        <v xml:space="preserve">["SUBTYPE"] =   0; </v>
      </c>
      <c r="AO381">
        <f>IF(NOT(ISBLANK(G381)),VLOOKUP(G381,Type!D$2:E$6,2,FALSE),"")</f>
        <v>3</v>
      </c>
      <c r="AP381" t="str">
        <f t="shared" si="224"/>
        <v xml:space="preserve">["NA"] = 3; </v>
      </c>
      <c r="AQ381" t="str">
        <f t="shared" si="225"/>
        <v xml:space="preserve">                      </v>
      </c>
      <c r="AR381" t="str">
        <f t="shared" si="226"/>
        <v/>
      </c>
      <c r="AS381" t="str">
        <f t="shared" si="227"/>
        <v>0</v>
      </c>
      <c r="AT381" t="str">
        <f t="shared" si="228"/>
        <v xml:space="preserve">["VXP"] =    0; </v>
      </c>
      <c r="AU381" t="str">
        <f t="shared" si="229"/>
        <v>0</v>
      </c>
      <c r="AV381" t="str">
        <f t="shared" si="230"/>
        <v xml:space="preserve">["LP"] =  0; </v>
      </c>
      <c r="AW381" t="str">
        <f t="shared" si="231"/>
        <v>0</v>
      </c>
      <c r="AX381" t="str">
        <f t="shared" si="232"/>
        <v xml:space="preserve">["REP"] =     0; </v>
      </c>
      <c r="AY381">
        <f>IF(LEN(P381)&gt;0,VLOOKUP(P381,Faction!A$2:B$77,2,FALSE),1)</f>
        <v>1</v>
      </c>
      <c r="AZ381" t="str">
        <f t="shared" si="233"/>
        <v xml:space="preserve">["FACTION"] =  1; </v>
      </c>
      <c r="BA381" t="str">
        <f t="shared" si="212"/>
        <v/>
      </c>
      <c r="BB381" t="str">
        <f t="shared" si="234"/>
        <v xml:space="preserve">                     </v>
      </c>
      <c r="BC381" t="str">
        <f t="shared" si="235"/>
        <v xml:space="preserve">                  </v>
      </c>
      <c r="BD381" t="str">
        <f t="shared" si="236"/>
        <v xml:space="preserve">["NAME"] = { ["EN"] = "Of Gilrain"; }; </v>
      </c>
      <c r="BE381" t="str">
        <f t="shared" si="237"/>
        <v xml:space="preserve">["LORE"] = { ["EN"] = "You have earned the Of Gilrain title."; }; </v>
      </c>
      <c r="BF381" t="str">
        <f t="shared" si="238"/>
        <v xml:space="preserve">["SUMMARY"] = { ["EN"] = "Exist on Gilrain prior to August, 2015"; }; </v>
      </c>
      <c r="BG381" t="str">
        <f t="shared" si="239"/>
        <v xml:space="preserve">["TITLE"] = { ["EN"] = "of Gilrain"; }; </v>
      </c>
      <c r="BH381" t="str">
        <f t="shared" si="240"/>
        <v/>
      </c>
      <c r="BI381" t="str">
        <f t="shared" si="241"/>
        <v/>
      </c>
      <c r="BJ381" t="str">
        <f t="shared" si="243"/>
        <v>};</v>
      </c>
    </row>
    <row r="382" spans="1:62" x14ac:dyDescent="0.25">
      <c r="A382">
        <v>1879326654</v>
      </c>
      <c r="B382">
        <v>275</v>
      </c>
      <c r="C382" t="s">
        <v>2461</v>
      </c>
      <c r="D382" t="s">
        <v>24</v>
      </c>
      <c r="G382" t="s">
        <v>2324</v>
      </c>
      <c r="M382" t="s">
        <v>2531</v>
      </c>
      <c r="Q382" t="s">
        <v>2563</v>
      </c>
      <c r="R382" t="s">
        <v>2499</v>
      </c>
      <c r="X382" t="str">
        <f t="shared" si="211"/>
        <v>[381] = {["ID"] = 1879326654; }; -- Of Gladden</v>
      </c>
      <c r="Y382" s="1" t="str">
        <f t="shared" si="213"/>
        <v>[381] = {["ID"] = 1879326654; ["SAVE_INDEX"] = 275; ["TYPE"] = 12;                       ["SUBTYPE"] =   0; ["NA"] = 3;                       ["VXP"] =    0; ["LP"] =  0; ["REP"] =     0; ["FACTION"] =  1;                                        ["NAME"] = { ["EN"] = "Of Gladden"; }; ["LORE"] = { ["EN"] = "You have earned the Of Gladden title."; }; ["SUMMARY"] = { ["EN"] = "Exist on Gladden prior to August, 2015"; }; ["TITLE"] = { ["EN"] = "of Gladden"; }; };</v>
      </c>
      <c r="Z382">
        <f t="shared" si="242"/>
        <v>381</v>
      </c>
      <c r="AA382" t="str">
        <f t="shared" si="214"/>
        <v>[381] = {</v>
      </c>
      <c r="AB382" t="str">
        <f t="shared" si="215"/>
        <v xml:space="preserve">["ID"] = 1879326654; </v>
      </c>
      <c r="AC382" t="str">
        <f t="shared" si="216"/>
        <v xml:space="preserve">["ID"] = 1879326654; </v>
      </c>
      <c r="AD382" t="str">
        <f t="shared" si="217"/>
        <v/>
      </c>
      <c r="AE382" t="str">
        <f t="shared" si="218"/>
        <v/>
      </c>
      <c r="AF382" s="1" t="str">
        <f t="shared" si="219"/>
        <v xml:space="preserve">["SAVE_INDEX"] = 275; </v>
      </c>
      <c r="AG382">
        <f>VLOOKUP(D382,Type!A$2:B$16,2,FALSE)</f>
        <v>12</v>
      </c>
      <c r="AH382" t="str">
        <f t="shared" si="220"/>
        <v xml:space="preserve">["TYPE"] = 12; </v>
      </c>
      <c r="AI382" t="str">
        <f t="shared" si="221"/>
        <v xml:space="preserve">                      </v>
      </c>
      <c r="AJ382" t="str">
        <f>IF(AND(F382="Class",NOT(ISBLANK(E382))),VLOOKUP(E382,Class!A$1:B$12,2,FALSE),"")</f>
        <v/>
      </c>
      <c r="AK382" t="str">
        <f>IF(AND(F382="Vocation",NOT(ISBLANK(E382))),VLOOKUP(E382,Vocation!A$1:B$8,2,FALSE),"")</f>
        <v/>
      </c>
      <c r="AL382" t="str">
        <f>IF(AND(F382="Race",NOT(ISBLANK(E382))),VLOOKUP(E382,Race!A$1:B$9,2,),"")</f>
        <v/>
      </c>
      <c r="AM382" t="str">
        <f t="shared" si="222"/>
        <v xml:space="preserve">  0</v>
      </c>
      <c r="AN382" t="str">
        <f t="shared" si="223"/>
        <v xml:space="preserve">["SUBTYPE"] =   0; </v>
      </c>
      <c r="AO382">
        <f>IF(NOT(ISBLANK(G382)),VLOOKUP(G382,Type!D$2:E$6,2,FALSE),"")</f>
        <v>3</v>
      </c>
      <c r="AP382" t="str">
        <f t="shared" si="224"/>
        <v xml:space="preserve">["NA"] = 3; </v>
      </c>
      <c r="AQ382" t="str">
        <f t="shared" si="225"/>
        <v xml:space="preserve">                      </v>
      </c>
      <c r="AR382" t="str">
        <f t="shared" si="226"/>
        <v/>
      </c>
      <c r="AS382" t="str">
        <f t="shared" si="227"/>
        <v>0</v>
      </c>
      <c r="AT382" t="str">
        <f t="shared" si="228"/>
        <v xml:space="preserve">["VXP"] =    0; </v>
      </c>
      <c r="AU382" t="str">
        <f t="shared" si="229"/>
        <v>0</v>
      </c>
      <c r="AV382" t="str">
        <f t="shared" si="230"/>
        <v xml:space="preserve">["LP"] =  0; </v>
      </c>
      <c r="AW382" t="str">
        <f t="shared" si="231"/>
        <v>0</v>
      </c>
      <c r="AX382" t="str">
        <f t="shared" si="232"/>
        <v xml:space="preserve">["REP"] =     0; </v>
      </c>
      <c r="AY382">
        <f>IF(LEN(P382)&gt;0,VLOOKUP(P382,Faction!A$2:B$77,2,FALSE),1)</f>
        <v>1</v>
      </c>
      <c r="AZ382" t="str">
        <f t="shared" si="233"/>
        <v xml:space="preserve">["FACTION"] =  1; </v>
      </c>
      <c r="BA382" t="str">
        <f t="shared" si="212"/>
        <v/>
      </c>
      <c r="BB382" t="str">
        <f t="shared" si="234"/>
        <v xml:space="preserve">                     </v>
      </c>
      <c r="BC382" t="str">
        <f t="shared" si="235"/>
        <v xml:space="preserve">                  </v>
      </c>
      <c r="BD382" t="str">
        <f t="shared" si="236"/>
        <v xml:space="preserve">["NAME"] = { ["EN"] = "Of Gladden"; }; </v>
      </c>
      <c r="BE382" t="str">
        <f t="shared" si="237"/>
        <v xml:space="preserve">["LORE"] = { ["EN"] = "You have earned the Of Gladden title."; }; </v>
      </c>
      <c r="BF382" t="str">
        <f t="shared" si="238"/>
        <v xml:space="preserve">["SUMMARY"] = { ["EN"] = "Exist on Gladden prior to August, 2015"; }; </v>
      </c>
      <c r="BG382" t="str">
        <f t="shared" si="239"/>
        <v xml:space="preserve">["TITLE"] = { ["EN"] = "of Gladden"; }; </v>
      </c>
      <c r="BH382" t="str">
        <f t="shared" si="240"/>
        <v/>
      </c>
      <c r="BI382" t="str">
        <f t="shared" si="241"/>
        <v/>
      </c>
      <c r="BJ382" t="str">
        <f t="shared" si="243"/>
        <v>};</v>
      </c>
    </row>
    <row r="383" spans="1:62" x14ac:dyDescent="0.25">
      <c r="A383">
        <v>1879326655</v>
      </c>
      <c r="B383">
        <v>276</v>
      </c>
      <c r="C383" t="s">
        <v>2462</v>
      </c>
      <c r="D383" t="s">
        <v>24</v>
      </c>
      <c r="G383" t="s">
        <v>2324</v>
      </c>
      <c r="M383" t="s">
        <v>2532</v>
      </c>
      <c r="Q383" t="s">
        <v>2564</v>
      </c>
      <c r="R383" t="s">
        <v>2500</v>
      </c>
      <c r="X383" t="str">
        <f t="shared" si="211"/>
        <v>[382] = {["ID"] = 1879326655; }; -- Of Gwaihir</v>
      </c>
      <c r="Y383" s="1" t="str">
        <f t="shared" si="213"/>
        <v>[382] = {["ID"] = 1879326655; ["SAVE_INDEX"] = 276; ["TYPE"] = 12;                       ["SUBTYPE"] =   0; ["NA"] = 3;                       ["VXP"] =    0; ["LP"] =  0; ["REP"] =     0; ["FACTION"] =  1;                                        ["NAME"] = { ["EN"] = "Of Gwaihir"; }; ["LORE"] = { ["EN"] = "You have earned the Of Gwaihir title."; }; ["SUMMARY"] = { ["EN"] = "Exist on Gwaihir prior to August, 2015"; }; ["TITLE"] = { ["EN"] = "of Gwaihir"; }; };</v>
      </c>
      <c r="Z383">
        <f t="shared" si="242"/>
        <v>382</v>
      </c>
      <c r="AA383" t="str">
        <f t="shared" si="214"/>
        <v>[382] = {</v>
      </c>
      <c r="AB383" t="str">
        <f t="shared" si="215"/>
        <v xml:space="preserve">["ID"] = 1879326655; </v>
      </c>
      <c r="AC383" t="str">
        <f t="shared" si="216"/>
        <v xml:space="preserve">["ID"] = 1879326655; </v>
      </c>
      <c r="AD383" t="str">
        <f t="shared" si="217"/>
        <v/>
      </c>
      <c r="AE383" t="str">
        <f t="shared" si="218"/>
        <v/>
      </c>
      <c r="AF383" s="1" t="str">
        <f t="shared" si="219"/>
        <v xml:space="preserve">["SAVE_INDEX"] = 276; </v>
      </c>
      <c r="AG383">
        <f>VLOOKUP(D383,Type!A$2:B$16,2,FALSE)</f>
        <v>12</v>
      </c>
      <c r="AH383" t="str">
        <f t="shared" si="220"/>
        <v xml:space="preserve">["TYPE"] = 12; </v>
      </c>
      <c r="AI383" t="str">
        <f t="shared" si="221"/>
        <v xml:space="preserve">                      </v>
      </c>
      <c r="AJ383" t="str">
        <f>IF(AND(F383="Class",NOT(ISBLANK(E383))),VLOOKUP(E383,Class!A$1:B$12,2,FALSE),"")</f>
        <v/>
      </c>
      <c r="AK383" t="str">
        <f>IF(AND(F383="Vocation",NOT(ISBLANK(E383))),VLOOKUP(E383,Vocation!A$1:B$8,2,FALSE),"")</f>
        <v/>
      </c>
      <c r="AL383" t="str">
        <f>IF(AND(F383="Race",NOT(ISBLANK(E383))),VLOOKUP(E383,Race!A$1:B$9,2,),"")</f>
        <v/>
      </c>
      <c r="AM383" t="str">
        <f t="shared" si="222"/>
        <v xml:space="preserve">  0</v>
      </c>
      <c r="AN383" t="str">
        <f t="shared" si="223"/>
        <v xml:space="preserve">["SUBTYPE"] =   0; </v>
      </c>
      <c r="AO383">
        <f>IF(NOT(ISBLANK(G383)),VLOOKUP(G383,Type!D$2:E$6,2,FALSE),"")</f>
        <v>3</v>
      </c>
      <c r="AP383" t="str">
        <f t="shared" si="224"/>
        <v xml:space="preserve">["NA"] = 3; </v>
      </c>
      <c r="AQ383" t="str">
        <f t="shared" si="225"/>
        <v xml:space="preserve">                      </v>
      </c>
      <c r="AR383" t="str">
        <f t="shared" si="226"/>
        <v/>
      </c>
      <c r="AS383" t="str">
        <f t="shared" si="227"/>
        <v>0</v>
      </c>
      <c r="AT383" t="str">
        <f t="shared" si="228"/>
        <v xml:space="preserve">["VXP"] =    0; </v>
      </c>
      <c r="AU383" t="str">
        <f t="shared" si="229"/>
        <v>0</v>
      </c>
      <c r="AV383" t="str">
        <f t="shared" si="230"/>
        <v xml:space="preserve">["LP"] =  0; </v>
      </c>
      <c r="AW383" t="str">
        <f t="shared" si="231"/>
        <v>0</v>
      </c>
      <c r="AX383" t="str">
        <f t="shared" si="232"/>
        <v xml:space="preserve">["REP"] =     0; </v>
      </c>
      <c r="AY383">
        <f>IF(LEN(P383)&gt;0,VLOOKUP(P383,Faction!A$2:B$77,2,FALSE),1)</f>
        <v>1</v>
      </c>
      <c r="AZ383" t="str">
        <f t="shared" si="233"/>
        <v xml:space="preserve">["FACTION"] =  1; </v>
      </c>
      <c r="BA383" t="str">
        <f t="shared" si="212"/>
        <v/>
      </c>
      <c r="BB383" t="str">
        <f t="shared" si="234"/>
        <v xml:space="preserve">                     </v>
      </c>
      <c r="BC383" t="str">
        <f t="shared" si="235"/>
        <v xml:space="preserve">                  </v>
      </c>
      <c r="BD383" t="str">
        <f t="shared" si="236"/>
        <v xml:space="preserve">["NAME"] = { ["EN"] = "Of Gwaihir"; }; </v>
      </c>
      <c r="BE383" t="str">
        <f t="shared" si="237"/>
        <v xml:space="preserve">["LORE"] = { ["EN"] = "You have earned the Of Gwaihir title."; }; </v>
      </c>
      <c r="BF383" t="str">
        <f t="shared" si="238"/>
        <v xml:space="preserve">["SUMMARY"] = { ["EN"] = "Exist on Gwaihir prior to August, 2015"; }; </v>
      </c>
      <c r="BG383" t="str">
        <f t="shared" si="239"/>
        <v xml:space="preserve">["TITLE"] = { ["EN"] = "of Gwaihir"; }; </v>
      </c>
      <c r="BH383" t="str">
        <f t="shared" si="240"/>
        <v/>
      </c>
      <c r="BI383" t="str">
        <f t="shared" si="241"/>
        <v/>
      </c>
      <c r="BJ383" t="str">
        <f t="shared" si="243"/>
        <v>};</v>
      </c>
    </row>
    <row r="384" spans="1:62" x14ac:dyDescent="0.25">
      <c r="A384">
        <v>1879326656</v>
      </c>
      <c r="B384">
        <v>277</v>
      </c>
      <c r="C384" t="s">
        <v>2463</v>
      </c>
      <c r="D384" t="s">
        <v>24</v>
      </c>
      <c r="G384" t="s">
        <v>2324</v>
      </c>
      <c r="M384" t="s">
        <v>2533</v>
      </c>
      <c r="Q384" t="s">
        <v>2565</v>
      </c>
      <c r="R384" t="s">
        <v>2501</v>
      </c>
      <c r="X384" t="str">
        <f t="shared" si="211"/>
        <v>[383] = {["ID"] = 1879326656; }; -- Of Imladris</v>
      </c>
      <c r="Y384" s="1" t="str">
        <f t="shared" si="213"/>
        <v>[383] = {["ID"] = 1879326656; ["SAVE_INDEX"] = 277; ["TYPE"] = 12;                       ["SUBTYPE"] =   0; ["NA"] = 3;                       ["VXP"] =    0; ["LP"] =  0; ["REP"] =     0; ["FACTION"] =  1;                                        ["NAME"] = { ["EN"] = "Of Imladris"; }; ["LORE"] = { ["EN"] = "You have earned the Of Imladris title."; }; ["SUMMARY"] = { ["EN"] = "Exist on Imladris prior to August, 2015"; }; ["TITLE"] = { ["EN"] = "of Imladris"; }; };</v>
      </c>
      <c r="Z384">
        <f t="shared" si="242"/>
        <v>383</v>
      </c>
      <c r="AA384" t="str">
        <f t="shared" si="214"/>
        <v>[383] = {</v>
      </c>
      <c r="AB384" t="str">
        <f t="shared" si="215"/>
        <v xml:space="preserve">["ID"] = 1879326656; </v>
      </c>
      <c r="AC384" t="str">
        <f t="shared" si="216"/>
        <v xml:space="preserve">["ID"] = 1879326656; </v>
      </c>
      <c r="AD384" t="str">
        <f t="shared" si="217"/>
        <v/>
      </c>
      <c r="AE384" t="str">
        <f t="shared" si="218"/>
        <v/>
      </c>
      <c r="AF384" s="1" t="str">
        <f t="shared" si="219"/>
        <v xml:space="preserve">["SAVE_INDEX"] = 277; </v>
      </c>
      <c r="AG384">
        <f>VLOOKUP(D384,Type!A$2:B$16,2,FALSE)</f>
        <v>12</v>
      </c>
      <c r="AH384" t="str">
        <f t="shared" si="220"/>
        <v xml:space="preserve">["TYPE"] = 12; </v>
      </c>
      <c r="AI384" t="str">
        <f t="shared" si="221"/>
        <v xml:space="preserve">                      </v>
      </c>
      <c r="AJ384" t="str">
        <f>IF(AND(F384="Class",NOT(ISBLANK(E384))),VLOOKUP(E384,Class!A$1:B$12,2,FALSE),"")</f>
        <v/>
      </c>
      <c r="AK384" t="str">
        <f>IF(AND(F384="Vocation",NOT(ISBLANK(E384))),VLOOKUP(E384,Vocation!A$1:B$8,2,FALSE),"")</f>
        <v/>
      </c>
      <c r="AL384" t="str">
        <f>IF(AND(F384="Race",NOT(ISBLANK(E384))),VLOOKUP(E384,Race!A$1:B$9,2,),"")</f>
        <v/>
      </c>
      <c r="AM384" t="str">
        <f t="shared" si="222"/>
        <v xml:space="preserve">  0</v>
      </c>
      <c r="AN384" t="str">
        <f t="shared" si="223"/>
        <v xml:space="preserve">["SUBTYPE"] =   0; </v>
      </c>
      <c r="AO384">
        <f>IF(NOT(ISBLANK(G384)),VLOOKUP(G384,Type!D$2:E$6,2,FALSE),"")</f>
        <v>3</v>
      </c>
      <c r="AP384" t="str">
        <f t="shared" si="224"/>
        <v xml:space="preserve">["NA"] = 3; </v>
      </c>
      <c r="AQ384" t="str">
        <f t="shared" si="225"/>
        <v xml:space="preserve">                      </v>
      </c>
      <c r="AR384" t="str">
        <f t="shared" si="226"/>
        <v/>
      </c>
      <c r="AS384" t="str">
        <f t="shared" si="227"/>
        <v>0</v>
      </c>
      <c r="AT384" t="str">
        <f t="shared" si="228"/>
        <v xml:space="preserve">["VXP"] =    0; </v>
      </c>
      <c r="AU384" t="str">
        <f t="shared" si="229"/>
        <v>0</v>
      </c>
      <c r="AV384" t="str">
        <f t="shared" si="230"/>
        <v xml:space="preserve">["LP"] =  0; </v>
      </c>
      <c r="AW384" t="str">
        <f t="shared" si="231"/>
        <v>0</v>
      </c>
      <c r="AX384" t="str">
        <f t="shared" si="232"/>
        <v xml:space="preserve">["REP"] =     0; </v>
      </c>
      <c r="AY384">
        <f>IF(LEN(P384)&gt;0,VLOOKUP(P384,Faction!A$2:B$77,2,FALSE),1)</f>
        <v>1</v>
      </c>
      <c r="AZ384" t="str">
        <f t="shared" si="233"/>
        <v xml:space="preserve">["FACTION"] =  1; </v>
      </c>
      <c r="BA384" t="str">
        <f t="shared" si="212"/>
        <v/>
      </c>
      <c r="BB384" t="str">
        <f t="shared" si="234"/>
        <v xml:space="preserve">                     </v>
      </c>
      <c r="BC384" t="str">
        <f t="shared" si="235"/>
        <v xml:space="preserve">                  </v>
      </c>
      <c r="BD384" t="str">
        <f t="shared" si="236"/>
        <v xml:space="preserve">["NAME"] = { ["EN"] = "Of Imladris"; }; </v>
      </c>
      <c r="BE384" t="str">
        <f t="shared" si="237"/>
        <v xml:space="preserve">["LORE"] = { ["EN"] = "You have earned the Of Imladris title."; }; </v>
      </c>
      <c r="BF384" t="str">
        <f t="shared" si="238"/>
        <v xml:space="preserve">["SUMMARY"] = { ["EN"] = "Exist on Imladris prior to August, 2015"; }; </v>
      </c>
      <c r="BG384" t="str">
        <f t="shared" si="239"/>
        <v xml:space="preserve">["TITLE"] = { ["EN"] = "of Imladris"; }; </v>
      </c>
      <c r="BH384" t="str">
        <f t="shared" si="240"/>
        <v/>
      </c>
      <c r="BI384" t="str">
        <f t="shared" si="241"/>
        <v/>
      </c>
      <c r="BJ384" t="str">
        <f t="shared" si="243"/>
        <v>};</v>
      </c>
    </row>
    <row r="385" spans="1:62" x14ac:dyDescent="0.25">
      <c r="A385">
        <v>1879326657</v>
      </c>
      <c r="B385">
        <v>278</v>
      </c>
      <c r="C385" t="s">
        <v>2464</v>
      </c>
      <c r="D385" t="s">
        <v>24</v>
      </c>
      <c r="G385" t="s">
        <v>2324</v>
      </c>
      <c r="M385" t="s">
        <v>2534</v>
      </c>
      <c r="Q385" t="s">
        <v>2566</v>
      </c>
      <c r="R385" t="s">
        <v>2502</v>
      </c>
      <c r="X385" t="str">
        <f t="shared" si="211"/>
        <v>[384] = {["ID"] = 1879326657; }; -- Of Landroval</v>
      </c>
      <c r="Y385" s="1" t="str">
        <f t="shared" si="213"/>
        <v>[384] = {["ID"] = 1879326657; ["SAVE_INDEX"] = 278; ["TYPE"] = 12;                       ["SUBTYPE"] =   0; ["NA"] = 3;                       ["VXP"] =    0; ["LP"] =  0; ["REP"] =     0; ["FACTION"] =  1;                                        ["NAME"] = { ["EN"] = "Of Landroval"; }; ["LORE"] = { ["EN"] = "You have earned the Of Landroval title."; }; ["SUMMARY"] = { ["EN"] = "Exist on Landroval prior to August, 2015"; }; ["TITLE"] = { ["EN"] = "of Landroval"; }; };</v>
      </c>
      <c r="Z385">
        <f t="shared" si="242"/>
        <v>384</v>
      </c>
      <c r="AA385" t="str">
        <f t="shared" si="214"/>
        <v>[384] = {</v>
      </c>
      <c r="AB385" t="str">
        <f t="shared" si="215"/>
        <v xml:space="preserve">["ID"] = 1879326657; </v>
      </c>
      <c r="AC385" t="str">
        <f t="shared" si="216"/>
        <v xml:space="preserve">["ID"] = 1879326657; </v>
      </c>
      <c r="AD385" t="str">
        <f t="shared" si="217"/>
        <v/>
      </c>
      <c r="AE385" t="str">
        <f t="shared" si="218"/>
        <v/>
      </c>
      <c r="AF385" s="1" t="str">
        <f t="shared" si="219"/>
        <v xml:space="preserve">["SAVE_INDEX"] = 278; </v>
      </c>
      <c r="AG385">
        <f>VLOOKUP(D385,Type!A$2:B$16,2,FALSE)</f>
        <v>12</v>
      </c>
      <c r="AH385" t="str">
        <f t="shared" si="220"/>
        <v xml:space="preserve">["TYPE"] = 12; </v>
      </c>
      <c r="AI385" t="str">
        <f t="shared" si="221"/>
        <v xml:space="preserve">                      </v>
      </c>
      <c r="AJ385" t="str">
        <f>IF(AND(F385="Class",NOT(ISBLANK(E385))),VLOOKUP(E385,Class!A$1:B$12,2,FALSE),"")</f>
        <v/>
      </c>
      <c r="AK385" t="str">
        <f>IF(AND(F385="Vocation",NOT(ISBLANK(E385))),VLOOKUP(E385,Vocation!A$1:B$8,2,FALSE),"")</f>
        <v/>
      </c>
      <c r="AL385" t="str">
        <f>IF(AND(F385="Race",NOT(ISBLANK(E385))),VLOOKUP(E385,Race!A$1:B$9,2,),"")</f>
        <v/>
      </c>
      <c r="AM385" t="str">
        <f t="shared" si="222"/>
        <v xml:space="preserve">  0</v>
      </c>
      <c r="AN385" t="str">
        <f t="shared" si="223"/>
        <v xml:space="preserve">["SUBTYPE"] =   0; </v>
      </c>
      <c r="AO385">
        <f>IF(NOT(ISBLANK(G385)),VLOOKUP(G385,Type!D$2:E$6,2,FALSE),"")</f>
        <v>3</v>
      </c>
      <c r="AP385" t="str">
        <f t="shared" si="224"/>
        <v xml:space="preserve">["NA"] = 3; </v>
      </c>
      <c r="AQ385" t="str">
        <f t="shared" si="225"/>
        <v xml:space="preserve">                      </v>
      </c>
      <c r="AR385" t="str">
        <f t="shared" si="226"/>
        <v/>
      </c>
      <c r="AS385" t="str">
        <f t="shared" si="227"/>
        <v>0</v>
      </c>
      <c r="AT385" t="str">
        <f t="shared" si="228"/>
        <v xml:space="preserve">["VXP"] =    0; </v>
      </c>
      <c r="AU385" t="str">
        <f t="shared" si="229"/>
        <v>0</v>
      </c>
      <c r="AV385" t="str">
        <f t="shared" si="230"/>
        <v xml:space="preserve">["LP"] =  0; </v>
      </c>
      <c r="AW385" t="str">
        <f t="shared" si="231"/>
        <v>0</v>
      </c>
      <c r="AX385" t="str">
        <f t="shared" si="232"/>
        <v xml:space="preserve">["REP"] =     0; </v>
      </c>
      <c r="AY385">
        <f>IF(LEN(P385)&gt;0,VLOOKUP(P385,Faction!A$2:B$77,2,FALSE),1)</f>
        <v>1</v>
      </c>
      <c r="AZ385" t="str">
        <f t="shared" si="233"/>
        <v xml:space="preserve">["FACTION"] =  1; </v>
      </c>
      <c r="BA385" t="str">
        <f t="shared" si="212"/>
        <v/>
      </c>
      <c r="BB385" t="str">
        <f t="shared" si="234"/>
        <v xml:space="preserve">                     </v>
      </c>
      <c r="BC385" t="str">
        <f t="shared" si="235"/>
        <v xml:space="preserve">                  </v>
      </c>
      <c r="BD385" t="str">
        <f t="shared" si="236"/>
        <v xml:space="preserve">["NAME"] = { ["EN"] = "Of Landroval"; }; </v>
      </c>
      <c r="BE385" t="str">
        <f t="shared" si="237"/>
        <v xml:space="preserve">["LORE"] = { ["EN"] = "You have earned the Of Landroval title."; }; </v>
      </c>
      <c r="BF385" t="str">
        <f t="shared" si="238"/>
        <v xml:space="preserve">["SUMMARY"] = { ["EN"] = "Exist on Landroval prior to August, 2015"; }; </v>
      </c>
      <c r="BG385" t="str">
        <f t="shared" si="239"/>
        <v xml:space="preserve">["TITLE"] = { ["EN"] = "of Landroval"; }; </v>
      </c>
      <c r="BH385" t="str">
        <f t="shared" si="240"/>
        <v/>
      </c>
      <c r="BI385" t="str">
        <f t="shared" si="241"/>
        <v/>
      </c>
      <c r="BJ385" t="str">
        <f t="shared" si="243"/>
        <v>};</v>
      </c>
    </row>
    <row r="386" spans="1:62" x14ac:dyDescent="0.25">
      <c r="A386">
        <v>1879326658</v>
      </c>
      <c r="B386">
        <v>279</v>
      </c>
      <c r="C386" t="s">
        <v>2465</v>
      </c>
      <c r="D386" t="s">
        <v>24</v>
      </c>
      <c r="G386" t="s">
        <v>2324</v>
      </c>
      <c r="M386" t="s">
        <v>2535</v>
      </c>
      <c r="Q386" t="s">
        <v>2567</v>
      </c>
      <c r="R386" t="s">
        <v>2503</v>
      </c>
      <c r="X386" t="str">
        <f t="shared" si="211"/>
        <v>[385] = {["ID"] = 1879326658; }; -- Of Laurelin</v>
      </c>
      <c r="Y386" s="1" t="str">
        <f t="shared" si="213"/>
        <v>[385] = {["ID"] = 1879326658; ["SAVE_INDEX"] = 279; ["TYPE"] = 12;                       ["SUBTYPE"] =   0; ["NA"] = 3;                       ["VXP"] =    0; ["LP"] =  0; ["REP"] =     0; ["FACTION"] =  1;                                        ["NAME"] = { ["EN"] = "Of Laurelin"; }; ["LORE"] = { ["EN"] = "You have earned the Of Laurelin title."; }; ["SUMMARY"] = { ["EN"] = "Exist on Laurelin prior to August, 2015"; }; ["TITLE"] = { ["EN"] = "of Laurelin"; }; };</v>
      </c>
      <c r="Z386">
        <f t="shared" si="242"/>
        <v>385</v>
      </c>
      <c r="AA386" t="str">
        <f t="shared" si="214"/>
        <v>[385] = {</v>
      </c>
      <c r="AB386" t="str">
        <f t="shared" si="215"/>
        <v xml:space="preserve">["ID"] = 1879326658; </v>
      </c>
      <c r="AC386" t="str">
        <f t="shared" si="216"/>
        <v xml:space="preserve">["ID"] = 1879326658; </v>
      </c>
      <c r="AD386" t="str">
        <f t="shared" si="217"/>
        <v/>
      </c>
      <c r="AE386" t="str">
        <f t="shared" si="218"/>
        <v/>
      </c>
      <c r="AF386" s="1" t="str">
        <f t="shared" si="219"/>
        <v xml:space="preserve">["SAVE_INDEX"] = 279; </v>
      </c>
      <c r="AG386">
        <f>VLOOKUP(D386,Type!A$2:B$16,2,FALSE)</f>
        <v>12</v>
      </c>
      <c r="AH386" t="str">
        <f t="shared" si="220"/>
        <v xml:space="preserve">["TYPE"] = 12; </v>
      </c>
      <c r="AI386" t="str">
        <f t="shared" si="221"/>
        <v xml:space="preserve">                      </v>
      </c>
      <c r="AJ386" t="str">
        <f>IF(AND(F386="Class",NOT(ISBLANK(E386))),VLOOKUP(E386,Class!A$1:B$12,2,FALSE),"")</f>
        <v/>
      </c>
      <c r="AK386" t="str">
        <f>IF(AND(F386="Vocation",NOT(ISBLANK(E386))),VLOOKUP(E386,Vocation!A$1:B$8,2,FALSE),"")</f>
        <v/>
      </c>
      <c r="AL386" t="str">
        <f>IF(AND(F386="Race",NOT(ISBLANK(E386))),VLOOKUP(E386,Race!A$1:B$9,2,),"")</f>
        <v/>
      </c>
      <c r="AM386" t="str">
        <f t="shared" si="222"/>
        <v xml:space="preserve">  0</v>
      </c>
      <c r="AN386" t="str">
        <f t="shared" si="223"/>
        <v xml:space="preserve">["SUBTYPE"] =   0; </v>
      </c>
      <c r="AO386">
        <f>IF(NOT(ISBLANK(G386)),VLOOKUP(G386,Type!D$2:E$6,2,FALSE),"")</f>
        <v>3</v>
      </c>
      <c r="AP386" t="str">
        <f t="shared" si="224"/>
        <v xml:space="preserve">["NA"] = 3; </v>
      </c>
      <c r="AQ386" t="str">
        <f t="shared" si="225"/>
        <v xml:space="preserve">                      </v>
      </c>
      <c r="AR386" t="str">
        <f t="shared" si="226"/>
        <v/>
      </c>
      <c r="AS386" t="str">
        <f t="shared" si="227"/>
        <v>0</v>
      </c>
      <c r="AT386" t="str">
        <f t="shared" si="228"/>
        <v xml:space="preserve">["VXP"] =    0; </v>
      </c>
      <c r="AU386" t="str">
        <f t="shared" si="229"/>
        <v>0</v>
      </c>
      <c r="AV386" t="str">
        <f t="shared" si="230"/>
        <v xml:space="preserve">["LP"] =  0; </v>
      </c>
      <c r="AW386" t="str">
        <f t="shared" si="231"/>
        <v>0</v>
      </c>
      <c r="AX386" t="str">
        <f t="shared" si="232"/>
        <v xml:space="preserve">["REP"] =     0; </v>
      </c>
      <c r="AY386">
        <f>IF(LEN(P386)&gt;0,VLOOKUP(P386,Faction!A$2:B$77,2,FALSE),1)</f>
        <v>1</v>
      </c>
      <c r="AZ386" t="str">
        <f t="shared" si="233"/>
        <v xml:space="preserve">["FACTION"] =  1; </v>
      </c>
      <c r="BA386" t="str">
        <f t="shared" si="212"/>
        <v/>
      </c>
      <c r="BB386" t="str">
        <f t="shared" si="234"/>
        <v xml:space="preserve">                     </v>
      </c>
      <c r="BC386" t="str">
        <f t="shared" si="235"/>
        <v xml:space="preserve">                  </v>
      </c>
      <c r="BD386" t="str">
        <f t="shared" si="236"/>
        <v xml:space="preserve">["NAME"] = { ["EN"] = "Of Laurelin"; }; </v>
      </c>
      <c r="BE386" t="str">
        <f t="shared" si="237"/>
        <v xml:space="preserve">["LORE"] = { ["EN"] = "You have earned the Of Laurelin title."; }; </v>
      </c>
      <c r="BF386" t="str">
        <f t="shared" si="238"/>
        <v xml:space="preserve">["SUMMARY"] = { ["EN"] = "Exist on Laurelin prior to August, 2015"; }; </v>
      </c>
      <c r="BG386" t="str">
        <f t="shared" si="239"/>
        <v xml:space="preserve">["TITLE"] = { ["EN"] = "of Laurelin"; }; </v>
      </c>
      <c r="BH386" t="str">
        <f t="shared" si="240"/>
        <v/>
      </c>
      <c r="BI386" t="str">
        <f t="shared" si="241"/>
        <v/>
      </c>
      <c r="BJ386" t="str">
        <f t="shared" si="243"/>
        <v>};</v>
      </c>
    </row>
    <row r="387" spans="1:62" x14ac:dyDescent="0.25">
      <c r="A387">
        <v>1879326659</v>
      </c>
      <c r="B387">
        <v>280</v>
      </c>
      <c r="C387" t="s">
        <v>2466</v>
      </c>
      <c r="D387" t="s">
        <v>24</v>
      </c>
      <c r="G387" t="s">
        <v>2324</v>
      </c>
      <c r="M387" t="s">
        <v>2536</v>
      </c>
      <c r="Q387" t="s">
        <v>2568</v>
      </c>
      <c r="R387" t="s">
        <v>2504</v>
      </c>
      <c r="X387" t="str">
        <f t="shared" ref="X387:X428" si="244">CONCATENATE(AA387,AC387,AD387,BA387,BJ387," -- ",C387,AE387)</f>
        <v>[386] = {["ID"] = 1879326659; }; -- Of Maiar</v>
      </c>
      <c r="Y387" s="1" t="str">
        <f t="shared" si="213"/>
        <v>[386] = {["ID"] = 1879326659; ["SAVE_INDEX"] = 280; ["TYPE"] = 12;                       ["SUBTYPE"] =   0; ["NA"] = 3;                       ["VXP"] =    0; ["LP"] =  0; ["REP"] =     0; ["FACTION"] =  1;                                        ["NAME"] = { ["EN"] = "Of Maiar"; }; ["LORE"] = { ["EN"] = "You have earned the Of Maiar title."; }; ["SUMMARY"] = { ["EN"] = "Exist on Maiar prior to August, 2015"; }; ["TITLE"] = { ["EN"] = "of Maiar"; }; };</v>
      </c>
      <c r="Z387">
        <f t="shared" si="242"/>
        <v>386</v>
      </c>
      <c r="AA387" t="str">
        <f t="shared" si="214"/>
        <v>[386] = {</v>
      </c>
      <c r="AB387" t="str">
        <f t="shared" si="215"/>
        <v xml:space="preserve">["ID"] = 1879326659; </v>
      </c>
      <c r="AC387" t="str">
        <f t="shared" si="216"/>
        <v xml:space="preserve">["ID"] = 1879326659; </v>
      </c>
      <c r="AD387" t="str">
        <f t="shared" si="217"/>
        <v/>
      </c>
      <c r="AE387" t="str">
        <f t="shared" si="218"/>
        <v/>
      </c>
      <c r="AF387" s="1" t="str">
        <f t="shared" si="219"/>
        <v xml:space="preserve">["SAVE_INDEX"] = 280; </v>
      </c>
      <c r="AG387">
        <f>VLOOKUP(D387,Type!A$2:B$16,2,FALSE)</f>
        <v>12</v>
      </c>
      <c r="AH387" t="str">
        <f t="shared" si="220"/>
        <v xml:space="preserve">["TYPE"] = 12; </v>
      </c>
      <c r="AI387" t="str">
        <f t="shared" si="221"/>
        <v xml:space="preserve">                      </v>
      </c>
      <c r="AJ387" t="str">
        <f>IF(AND(F387="Class",NOT(ISBLANK(E387))),VLOOKUP(E387,Class!A$1:B$12,2,FALSE),"")</f>
        <v/>
      </c>
      <c r="AK387" t="str">
        <f>IF(AND(F387="Vocation",NOT(ISBLANK(E387))),VLOOKUP(E387,Vocation!A$1:B$8,2,FALSE),"")</f>
        <v/>
      </c>
      <c r="AL387" t="str">
        <f>IF(AND(F387="Race",NOT(ISBLANK(E387))),VLOOKUP(E387,Race!A$1:B$9,2,),"")</f>
        <v/>
      </c>
      <c r="AM387" t="str">
        <f t="shared" si="222"/>
        <v xml:space="preserve">  0</v>
      </c>
      <c r="AN387" t="str">
        <f t="shared" si="223"/>
        <v xml:space="preserve">["SUBTYPE"] =   0; </v>
      </c>
      <c r="AO387">
        <f>IF(NOT(ISBLANK(G387)),VLOOKUP(G387,Type!D$2:E$6,2,FALSE),"")</f>
        <v>3</v>
      </c>
      <c r="AP387" t="str">
        <f t="shared" si="224"/>
        <v xml:space="preserve">["NA"] = 3; </v>
      </c>
      <c r="AQ387" t="str">
        <f t="shared" si="225"/>
        <v xml:space="preserve">                      </v>
      </c>
      <c r="AR387" t="str">
        <f t="shared" si="226"/>
        <v/>
      </c>
      <c r="AS387" t="str">
        <f t="shared" si="227"/>
        <v>0</v>
      </c>
      <c r="AT387" t="str">
        <f t="shared" si="228"/>
        <v xml:space="preserve">["VXP"] =    0; </v>
      </c>
      <c r="AU387" t="str">
        <f t="shared" si="229"/>
        <v>0</v>
      </c>
      <c r="AV387" t="str">
        <f t="shared" si="230"/>
        <v xml:space="preserve">["LP"] =  0; </v>
      </c>
      <c r="AW387" t="str">
        <f t="shared" si="231"/>
        <v>0</v>
      </c>
      <c r="AX387" t="str">
        <f t="shared" si="232"/>
        <v xml:space="preserve">["REP"] =     0; </v>
      </c>
      <c r="AY387">
        <f>IF(LEN(P387)&gt;0,VLOOKUP(P387,Faction!A$2:B$77,2,FALSE),1)</f>
        <v>1</v>
      </c>
      <c r="AZ387" t="str">
        <f t="shared" si="233"/>
        <v xml:space="preserve">["FACTION"] =  1; </v>
      </c>
      <c r="BA387" t="str">
        <f t="shared" ref="BA387:BA428" si="245">IF(S387&gt;0,CONCATENATE("[""TIER""] = ",TEXT(S387,"0"),"; "),"")</f>
        <v/>
      </c>
      <c r="BB387" t="str">
        <f t="shared" si="234"/>
        <v xml:space="preserve">                     </v>
      </c>
      <c r="BC387" t="str">
        <f t="shared" si="235"/>
        <v xml:space="preserve">                  </v>
      </c>
      <c r="BD387" t="str">
        <f t="shared" si="236"/>
        <v xml:space="preserve">["NAME"] = { ["EN"] = "Of Maiar"; }; </v>
      </c>
      <c r="BE387" t="str">
        <f t="shared" si="237"/>
        <v xml:space="preserve">["LORE"] = { ["EN"] = "You have earned the Of Maiar title."; }; </v>
      </c>
      <c r="BF387" t="str">
        <f t="shared" si="238"/>
        <v xml:space="preserve">["SUMMARY"] = { ["EN"] = "Exist on Maiar prior to August, 2015"; }; </v>
      </c>
      <c r="BG387" t="str">
        <f t="shared" si="239"/>
        <v xml:space="preserve">["TITLE"] = { ["EN"] = "of Maiar"; }; </v>
      </c>
      <c r="BH387" t="str">
        <f t="shared" si="240"/>
        <v/>
      </c>
      <c r="BI387" t="str">
        <f t="shared" si="241"/>
        <v/>
      </c>
      <c r="BJ387" t="str">
        <f t="shared" si="243"/>
        <v>};</v>
      </c>
    </row>
    <row r="388" spans="1:62" x14ac:dyDescent="0.25">
      <c r="A388">
        <v>1879326660</v>
      </c>
      <c r="B388">
        <v>281</v>
      </c>
      <c r="C388" t="s">
        <v>2467</v>
      </c>
      <c r="D388" t="s">
        <v>24</v>
      </c>
      <c r="G388" t="s">
        <v>2324</v>
      </c>
      <c r="M388" t="s">
        <v>2537</v>
      </c>
      <c r="Q388" t="s">
        <v>2569</v>
      </c>
      <c r="R388" t="s">
        <v>2505</v>
      </c>
      <c r="X388" t="str">
        <f t="shared" si="244"/>
        <v>[387] = {["ID"] = 1879326660; }; -- Of Meneldor</v>
      </c>
      <c r="Y388" s="1" t="str">
        <f t="shared" si="213"/>
        <v>[387] = {["ID"] = 1879326660; ["SAVE_INDEX"] = 281; ["TYPE"] = 12;                       ["SUBTYPE"] =   0; ["NA"] = 3;                       ["VXP"] =    0; ["LP"] =  0; ["REP"] =     0; ["FACTION"] =  1;                                        ["NAME"] = { ["EN"] = "Of Meneldor"; }; ["LORE"] = { ["EN"] = "You have earned the Of Meneldor title."; }; ["SUMMARY"] = { ["EN"] = "Exist on Meneldor prior to August, 2015"; }; ["TITLE"] = { ["EN"] = "of Meneldor"; }; };</v>
      </c>
      <c r="Z388">
        <f t="shared" si="242"/>
        <v>387</v>
      </c>
      <c r="AA388" t="str">
        <f t="shared" si="214"/>
        <v>[387] = {</v>
      </c>
      <c r="AB388" t="str">
        <f t="shared" si="215"/>
        <v xml:space="preserve">["ID"] = 1879326660; </v>
      </c>
      <c r="AC388" t="str">
        <f t="shared" si="216"/>
        <v xml:space="preserve">["ID"] = 1879326660; </v>
      </c>
      <c r="AD388" t="str">
        <f t="shared" si="217"/>
        <v/>
      </c>
      <c r="AE388" t="str">
        <f t="shared" si="218"/>
        <v/>
      </c>
      <c r="AF388" s="1" t="str">
        <f t="shared" si="219"/>
        <v xml:space="preserve">["SAVE_INDEX"] = 281; </v>
      </c>
      <c r="AG388">
        <f>VLOOKUP(D388,Type!A$2:B$16,2,FALSE)</f>
        <v>12</v>
      </c>
      <c r="AH388" t="str">
        <f t="shared" si="220"/>
        <v xml:space="preserve">["TYPE"] = 12; </v>
      </c>
      <c r="AI388" t="str">
        <f t="shared" si="221"/>
        <v xml:space="preserve">                      </v>
      </c>
      <c r="AJ388" t="str">
        <f>IF(AND(F388="Class",NOT(ISBLANK(E388))),VLOOKUP(E388,Class!A$1:B$12,2,FALSE),"")</f>
        <v/>
      </c>
      <c r="AK388" t="str">
        <f>IF(AND(F388="Vocation",NOT(ISBLANK(E388))),VLOOKUP(E388,Vocation!A$1:B$8,2,FALSE),"")</f>
        <v/>
      </c>
      <c r="AL388" t="str">
        <f>IF(AND(F388="Race",NOT(ISBLANK(E388))),VLOOKUP(E388,Race!A$1:B$9,2,),"")</f>
        <v/>
      </c>
      <c r="AM388" t="str">
        <f t="shared" si="222"/>
        <v xml:space="preserve">  0</v>
      </c>
      <c r="AN388" t="str">
        <f t="shared" si="223"/>
        <v xml:space="preserve">["SUBTYPE"] =   0; </v>
      </c>
      <c r="AO388">
        <f>IF(NOT(ISBLANK(G388)),VLOOKUP(G388,Type!D$2:E$6,2,FALSE),"")</f>
        <v>3</v>
      </c>
      <c r="AP388" t="str">
        <f t="shared" si="224"/>
        <v xml:space="preserve">["NA"] = 3; </v>
      </c>
      <c r="AQ388" t="str">
        <f t="shared" si="225"/>
        <v xml:space="preserve">                      </v>
      </c>
      <c r="AR388" t="str">
        <f t="shared" si="226"/>
        <v/>
      </c>
      <c r="AS388" t="str">
        <f t="shared" si="227"/>
        <v>0</v>
      </c>
      <c r="AT388" t="str">
        <f t="shared" si="228"/>
        <v xml:space="preserve">["VXP"] =    0; </v>
      </c>
      <c r="AU388" t="str">
        <f t="shared" si="229"/>
        <v>0</v>
      </c>
      <c r="AV388" t="str">
        <f t="shared" si="230"/>
        <v xml:space="preserve">["LP"] =  0; </v>
      </c>
      <c r="AW388" t="str">
        <f t="shared" si="231"/>
        <v>0</v>
      </c>
      <c r="AX388" t="str">
        <f t="shared" si="232"/>
        <v xml:space="preserve">["REP"] =     0; </v>
      </c>
      <c r="AY388">
        <f>IF(LEN(P388)&gt;0,VLOOKUP(P388,Faction!A$2:B$77,2,FALSE),1)</f>
        <v>1</v>
      </c>
      <c r="AZ388" t="str">
        <f t="shared" si="233"/>
        <v xml:space="preserve">["FACTION"] =  1; </v>
      </c>
      <c r="BA388" t="str">
        <f t="shared" si="245"/>
        <v/>
      </c>
      <c r="BB388" t="str">
        <f t="shared" si="234"/>
        <v xml:space="preserve">                     </v>
      </c>
      <c r="BC388" t="str">
        <f t="shared" si="235"/>
        <v xml:space="preserve">                  </v>
      </c>
      <c r="BD388" t="str">
        <f t="shared" si="236"/>
        <v xml:space="preserve">["NAME"] = { ["EN"] = "Of Meneldor"; }; </v>
      </c>
      <c r="BE388" t="str">
        <f t="shared" si="237"/>
        <v xml:space="preserve">["LORE"] = { ["EN"] = "You have earned the Of Meneldor title."; }; </v>
      </c>
      <c r="BF388" t="str">
        <f t="shared" si="238"/>
        <v xml:space="preserve">["SUMMARY"] = { ["EN"] = "Exist on Meneldor prior to August, 2015"; }; </v>
      </c>
      <c r="BG388" t="str">
        <f t="shared" si="239"/>
        <v xml:space="preserve">["TITLE"] = { ["EN"] = "of Meneldor"; }; </v>
      </c>
      <c r="BH388" t="str">
        <f t="shared" si="240"/>
        <v/>
      </c>
      <c r="BI388" t="str">
        <f t="shared" si="241"/>
        <v/>
      </c>
      <c r="BJ388" t="str">
        <f t="shared" si="243"/>
        <v>};</v>
      </c>
    </row>
    <row r="389" spans="1:62" x14ac:dyDescent="0.25">
      <c r="A389">
        <v>1879327464</v>
      </c>
      <c r="B389">
        <v>282</v>
      </c>
      <c r="C389" t="s">
        <v>2479</v>
      </c>
      <c r="D389" t="s">
        <v>24</v>
      </c>
      <c r="G389" t="s">
        <v>2324</v>
      </c>
      <c r="M389" t="s">
        <v>2538</v>
      </c>
      <c r="Q389" t="s">
        <v>2570</v>
      </c>
      <c r="R389" t="s">
        <v>2506</v>
      </c>
      <c r="X389" t="str">
        <f t="shared" si="244"/>
        <v>[388] = {["ID"] = 1879327464; }; -- Of Mirkwood</v>
      </c>
      <c r="Y389" s="1" t="str">
        <f t="shared" ref="Y389:Y428" si="246">CONCATENATE(AA389,AB389,AF389,AH389,AI389,AN389,AP389,AQ389,AR389,AT389,AV389,AX389,AZ389,BA389,BB389,BC389,BD389,BE389,BF389,BG389,BH389,BI389,BJ389)</f>
        <v>[388] = {["ID"] = 1879327464; ["SAVE_INDEX"] = 282; ["TYPE"] = 12;                       ["SUBTYPE"] =   0; ["NA"] = 3;                       ["VXP"] =    0; ["LP"] =  0; ["REP"] =     0; ["FACTION"] =  1;                                        ["NAME"] = { ["EN"] = "Of Mirkwood"; }; ["LORE"] = { ["EN"] = "You have earned the Of Mirkwood title."; }; ["SUMMARY"] = { ["EN"] = "Exist on Mirkwood prior to August, 2015"; }; ["TITLE"] = { ["EN"] = "of Mirkwood"; }; };</v>
      </c>
      <c r="Z389">
        <f t="shared" si="242"/>
        <v>388</v>
      </c>
      <c r="AA389" t="str">
        <f t="shared" ref="AA389:AA428" si="247">CONCATENATE(REPT(" ",3-LEN(Z389)),"[",Z389,"] = {")</f>
        <v>[388] = {</v>
      </c>
      <c r="AB389" t="str">
        <f t="shared" ref="AB389:AB428" si="248">IF(LEN(A389)&gt;0,CONCATENATE("[""ID""] = ",A389,"; "),"                     ")</f>
        <v xml:space="preserve">["ID"] = 1879327464; </v>
      </c>
      <c r="AC389" t="str">
        <f t="shared" ref="AC389:AC428" si="249">IF(LEN(A389)&gt;0,CONCATENATE("[""ID""] = ",A389,"; "),"")</f>
        <v xml:space="preserve">["ID"] = 1879327464; </v>
      </c>
      <c r="AD389" t="str">
        <f t="shared" ref="AD389:AD428" si="250">IF(LEN(V389)&gt;0,CONCATENATE("[""CAT_ID""] = ",V389,"; "),"")</f>
        <v/>
      </c>
      <c r="AE389" t="str">
        <f t="shared" ref="AE389:AE428" si="251">IF(LEN(E389)&gt;0,CONCATENATE(" (",E389,")"),IF(LEN(J389)&gt;0,CONCATENATE(" (",J389,")"),""))</f>
        <v/>
      </c>
      <c r="AF389" s="1" t="str">
        <f t="shared" ref="AF389:AF428" si="252">IF(LEN(B389)&gt;0,CONCATENATE("[""SAVE_INDEX""] = ",REPT(" ",3-LEN(B389)),B389,"; "),"                      ")</f>
        <v xml:space="preserve">["SAVE_INDEX"] = 282; </v>
      </c>
      <c r="AG389">
        <f>VLOOKUP(D389,Type!A$2:B$16,2,FALSE)</f>
        <v>12</v>
      </c>
      <c r="AH389" t="str">
        <f t="shared" ref="AH389:AH428" si="253">CONCATENATE("[""TYPE""] = ",REPT(" ",2-LEN(AG389)),AG389,"; ")</f>
        <v xml:space="preserve">["TYPE"] = 12; </v>
      </c>
      <c r="AI389" t="str">
        <f t="shared" ref="AI389:AI428" si="254">IF(LEN(F389)&gt;0,CONCATENATE("[""CRV""] = ","""",F389,"""; ",REPT(" ",8-LEN(F389))),REPT(" ",22))</f>
        <v xml:space="preserve">                      </v>
      </c>
      <c r="AJ389" t="str">
        <f>IF(AND(F389="Class",NOT(ISBLANK(E389))),VLOOKUP(E389,Class!A$1:B$12,2,FALSE),"")</f>
        <v/>
      </c>
      <c r="AK389" t="str">
        <f>IF(AND(F389="Vocation",NOT(ISBLANK(E389))),VLOOKUP(E389,Vocation!A$1:B$8,2,FALSE),"")</f>
        <v/>
      </c>
      <c r="AL389" t="str">
        <f>IF(AND(F389="Race",NOT(ISBLANK(E389))),VLOOKUP(E389,Race!A$1:B$9,2,),"")</f>
        <v/>
      </c>
      <c r="AM389" t="str">
        <f t="shared" ref="AM389:AM428" si="255">IF(
  LEN(AJ389)=0,
  IF(
    LEN(AK389)=0,
    IF(
      LEN(AL389)=0,
      "  0",
      CONCATENATE(REPT(" ",3-LEN(AL389)),AL389)
    ),
    CONCATENATE(REPT(" ",3-LEN(AK389)),AK389)
  ),
  CONCATENATE(REPT(" ",3-LEN(AJ389)),AJ389)
)</f>
        <v xml:space="preserve">  0</v>
      </c>
      <c r="AN389" t="str">
        <f t="shared" ref="AN389:AN428" si="256">CONCATENATE("[""SUBTYPE""] = ",AM389,"; ")</f>
        <v xml:space="preserve">["SUBTYPE"] =   0; </v>
      </c>
      <c r="AO389">
        <f>IF(NOT(ISBLANK(G389)),VLOOKUP(G389,Type!D$2:E$6,2,FALSE),"")</f>
        <v>3</v>
      </c>
      <c r="AP389" t="str">
        <f t="shared" ref="AP389:AP428" si="257">IF(NOT(ISBLANK(G389)),CONCATENATE("[""NA""] = ",AO389,"; "),"            ")</f>
        <v xml:space="preserve">["NA"] = 3; </v>
      </c>
      <c r="AQ389" t="str">
        <f t="shared" ref="AQ389:AQ428" si="258">IF(NOT(ISBLANK(I389)),"[""LEGENDARY""] = true; ","                      ")</f>
        <v xml:space="preserve">                      </v>
      </c>
      <c r="AR389" t="str">
        <f t="shared" ref="AR389:AR428" si="259">IF(LEN(J389)&gt;0,CONCATENATE("[""MOUNT""] = """,J389,"""; "),"")</f>
        <v/>
      </c>
      <c r="AS389" t="str">
        <f t="shared" ref="AS389:AS428" si="260">TEXT(L389,0)</f>
        <v>0</v>
      </c>
      <c r="AT389" t="str">
        <f t="shared" ref="AT389:AT428" si="261">CONCATENATE("[""VXP""] = ",REPT(" ",4-LEN(AS389)),TEXT(AS389,"0"),"; ")</f>
        <v xml:space="preserve">["VXP"] =    0; </v>
      </c>
      <c r="AU389" t="str">
        <f t="shared" ref="AU389:AU428" si="262">TEXT(N389,0)</f>
        <v>0</v>
      </c>
      <c r="AV389" t="str">
        <f t="shared" ref="AV389:AV428" si="263">CONCATENATE("[""LP""] = ",REPT(" ",2-LEN(AU389)),TEXT(AU389,"0"),"; ")</f>
        <v xml:space="preserve">["LP"] =  0; </v>
      </c>
      <c r="AW389" t="str">
        <f t="shared" ref="AW389:AW428" si="264">TEXT(O389,0)</f>
        <v>0</v>
      </c>
      <c r="AX389" t="str">
        <f t="shared" ref="AX389:AX428" si="265">CONCATENATE("[""REP""] = ",REPT(" ",5-LEN(AW389)),TEXT(AW389,"0"),"; ")</f>
        <v xml:space="preserve">["REP"] =     0; </v>
      </c>
      <c r="AY389">
        <f>IF(LEN(P389)&gt;0,VLOOKUP(P389,Faction!A$2:B$77,2,FALSE),1)</f>
        <v>1</v>
      </c>
      <c r="AZ389" t="str">
        <f t="shared" ref="AZ389:AZ428" si="266">CONCATENATE("[""FACTION""] = ",REPT(" ",2-LEN(AY389)),TEXT(AY389,"0"),"; ")</f>
        <v xml:space="preserve">["FACTION"] =  1; </v>
      </c>
      <c r="BA389" t="str">
        <f t="shared" si="245"/>
        <v/>
      </c>
      <c r="BB389" t="str">
        <f t="shared" ref="BB389:BB428" si="267">IF(LEN(T389)&gt;0,CONCATENATE("[""MIN_LVL""] = ",REPT(" ",3-LEN(T389)),"""",T389,"""; "),"                     ")</f>
        <v xml:space="preserve">                     </v>
      </c>
      <c r="BC389" t="str">
        <f t="shared" ref="BC389:BC428" si="268">IF(LEN(U389)&gt;0,CONCATENATE("[""MAX_LVL""] = ",REPT(" ",2-LEN(U389)),U389,"; "),"                  ")</f>
        <v xml:space="preserve">                  </v>
      </c>
      <c r="BD389" t="str">
        <f t="shared" ref="BD389:BD428" si="269">CONCATENATE("[""NAME""] = { [""EN""] = """,C389,"""; }; ")</f>
        <v xml:space="preserve">["NAME"] = { ["EN"] = "Of Mirkwood"; }; </v>
      </c>
      <c r="BE389" t="str">
        <f t="shared" ref="BE389:BE428" si="270">IF(LEN(R389)&gt;0,CONCATENATE("[""LORE""] = { [""EN""] = """,R389,"""; }; "),"")</f>
        <v xml:space="preserve">["LORE"] = { ["EN"] = "You have earned the Of Mirkwood title."; }; </v>
      </c>
      <c r="BF389" t="str">
        <f t="shared" ref="BF389:BF428" si="271">IF(LEN(Q389)&gt;0,CONCATENATE("[""SUMMARY""] = { [""EN""] = """,Q389,"""; }; "),"")</f>
        <v xml:space="preserve">["SUMMARY"] = { ["EN"] = "Exist on Mirkwood prior to August, 2015"; }; </v>
      </c>
      <c r="BG389" t="str">
        <f t="shared" ref="BG389:BG428" si="272">IF(LEN(M389)&gt;0,CONCATENATE("[""TITLE""] = { [""EN""] = """,M389,"""; }; "),"")</f>
        <v xml:space="preserve">["TITLE"] = { ["EN"] = "of Mirkwood"; }; </v>
      </c>
      <c r="BH389" t="str">
        <f t="shared" ref="BH389:BH428" si="273">IF(LEN(H389)&gt;0,CONCATENATE("[""NOTE""] = { [""EN""] = """,H389,"""; }; "),"")</f>
        <v/>
      </c>
      <c r="BI389" t="str">
        <f t="shared" ref="BI389:BI428" si="274">IF(LEN(K389)&gt;0,CONCATENATE("[""PAIRED""] = { ",K389, " }; "),"")</f>
        <v/>
      </c>
      <c r="BJ389" t="str">
        <f t="shared" si="243"/>
        <v>};</v>
      </c>
    </row>
    <row r="390" spans="1:62" x14ac:dyDescent="0.25">
      <c r="A390">
        <v>1879326661</v>
      </c>
      <c r="B390">
        <v>283</v>
      </c>
      <c r="C390" t="s">
        <v>2468</v>
      </c>
      <c r="D390" t="s">
        <v>24</v>
      </c>
      <c r="G390" t="s">
        <v>2324</v>
      </c>
      <c r="M390" t="s">
        <v>2539</v>
      </c>
      <c r="Q390" t="s">
        <v>2571</v>
      </c>
      <c r="R390" t="s">
        <v>2507</v>
      </c>
      <c r="X390" t="str">
        <f t="shared" si="244"/>
        <v>[389] = {["ID"] = 1879326661; }; -- Of Morthond</v>
      </c>
      <c r="Y390" s="1" t="str">
        <f t="shared" si="246"/>
        <v>[389] = {["ID"] = 1879326661; ["SAVE_INDEX"] = 283; ["TYPE"] = 12;                       ["SUBTYPE"] =   0; ["NA"] = 3;                       ["VXP"] =    0; ["LP"] =  0; ["REP"] =     0; ["FACTION"] =  1;                                        ["NAME"] = { ["EN"] = "Of Morthond"; }; ["LORE"] = { ["EN"] = "You have earned the Of Morthond title."; }; ["SUMMARY"] = { ["EN"] = "Exist on Morthond prior to August, 2015"; }; ["TITLE"] = { ["EN"] = "of Morthond"; }; };</v>
      </c>
      <c r="Z390">
        <f t="shared" si="242"/>
        <v>389</v>
      </c>
      <c r="AA390" t="str">
        <f t="shared" si="247"/>
        <v>[389] = {</v>
      </c>
      <c r="AB390" t="str">
        <f t="shared" si="248"/>
        <v xml:space="preserve">["ID"] = 1879326661; </v>
      </c>
      <c r="AC390" t="str">
        <f t="shared" si="249"/>
        <v xml:space="preserve">["ID"] = 1879326661; </v>
      </c>
      <c r="AD390" t="str">
        <f t="shared" si="250"/>
        <v/>
      </c>
      <c r="AE390" t="str">
        <f t="shared" si="251"/>
        <v/>
      </c>
      <c r="AF390" s="1" t="str">
        <f t="shared" si="252"/>
        <v xml:space="preserve">["SAVE_INDEX"] = 283; </v>
      </c>
      <c r="AG390">
        <f>VLOOKUP(D390,Type!A$2:B$16,2,FALSE)</f>
        <v>12</v>
      </c>
      <c r="AH390" t="str">
        <f t="shared" si="253"/>
        <v xml:space="preserve">["TYPE"] = 12; </v>
      </c>
      <c r="AI390" t="str">
        <f t="shared" si="254"/>
        <v xml:space="preserve">                      </v>
      </c>
      <c r="AJ390" t="str">
        <f>IF(AND(F390="Class",NOT(ISBLANK(E390))),VLOOKUP(E390,Class!A$1:B$12,2,FALSE),"")</f>
        <v/>
      </c>
      <c r="AK390" t="str">
        <f>IF(AND(F390="Vocation",NOT(ISBLANK(E390))),VLOOKUP(E390,Vocation!A$1:B$8,2,FALSE),"")</f>
        <v/>
      </c>
      <c r="AL390" t="str">
        <f>IF(AND(F390="Race",NOT(ISBLANK(E390))),VLOOKUP(E390,Race!A$1:B$9,2,),"")</f>
        <v/>
      </c>
      <c r="AM390" t="str">
        <f t="shared" si="255"/>
        <v xml:space="preserve">  0</v>
      </c>
      <c r="AN390" t="str">
        <f t="shared" si="256"/>
        <v xml:space="preserve">["SUBTYPE"] =   0; </v>
      </c>
      <c r="AO390">
        <f>IF(NOT(ISBLANK(G390)),VLOOKUP(G390,Type!D$2:E$6,2,FALSE),"")</f>
        <v>3</v>
      </c>
      <c r="AP390" t="str">
        <f t="shared" si="257"/>
        <v xml:space="preserve">["NA"] = 3; </v>
      </c>
      <c r="AQ390" t="str">
        <f t="shared" si="258"/>
        <v xml:space="preserve">                      </v>
      </c>
      <c r="AR390" t="str">
        <f t="shared" si="259"/>
        <v/>
      </c>
      <c r="AS390" t="str">
        <f t="shared" si="260"/>
        <v>0</v>
      </c>
      <c r="AT390" t="str">
        <f t="shared" si="261"/>
        <v xml:space="preserve">["VXP"] =    0; </v>
      </c>
      <c r="AU390" t="str">
        <f t="shared" si="262"/>
        <v>0</v>
      </c>
      <c r="AV390" t="str">
        <f t="shared" si="263"/>
        <v xml:space="preserve">["LP"] =  0; </v>
      </c>
      <c r="AW390" t="str">
        <f t="shared" si="264"/>
        <v>0</v>
      </c>
      <c r="AX390" t="str">
        <f t="shared" si="265"/>
        <v xml:space="preserve">["REP"] =     0; </v>
      </c>
      <c r="AY390">
        <f>IF(LEN(P390)&gt;0,VLOOKUP(P390,Faction!A$2:B$77,2,FALSE),1)</f>
        <v>1</v>
      </c>
      <c r="AZ390" t="str">
        <f t="shared" si="266"/>
        <v xml:space="preserve">["FACTION"] =  1; </v>
      </c>
      <c r="BA390" t="str">
        <f t="shared" si="245"/>
        <v/>
      </c>
      <c r="BB390" t="str">
        <f t="shared" si="267"/>
        <v xml:space="preserve">                     </v>
      </c>
      <c r="BC390" t="str">
        <f t="shared" si="268"/>
        <v xml:space="preserve">                  </v>
      </c>
      <c r="BD390" t="str">
        <f t="shared" si="269"/>
        <v xml:space="preserve">["NAME"] = { ["EN"] = "Of Morthond"; }; </v>
      </c>
      <c r="BE390" t="str">
        <f t="shared" si="270"/>
        <v xml:space="preserve">["LORE"] = { ["EN"] = "You have earned the Of Morthond title."; }; </v>
      </c>
      <c r="BF390" t="str">
        <f t="shared" si="271"/>
        <v xml:space="preserve">["SUMMARY"] = { ["EN"] = "Exist on Morthond prior to August, 2015"; }; </v>
      </c>
      <c r="BG390" t="str">
        <f t="shared" si="272"/>
        <v xml:space="preserve">["TITLE"] = { ["EN"] = "of Morthond"; }; </v>
      </c>
      <c r="BH390" t="str">
        <f t="shared" si="273"/>
        <v/>
      </c>
      <c r="BI390" t="str">
        <f t="shared" si="274"/>
        <v/>
      </c>
      <c r="BJ390" t="str">
        <f t="shared" si="243"/>
        <v>};</v>
      </c>
    </row>
    <row r="391" spans="1:62" x14ac:dyDescent="0.25">
      <c r="A391">
        <v>1879326662</v>
      </c>
      <c r="B391">
        <v>284</v>
      </c>
      <c r="C391" t="s">
        <v>2469</v>
      </c>
      <c r="D391" t="s">
        <v>24</v>
      </c>
      <c r="G391" t="s">
        <v>2324</v>
      </c>
      <c r="M391" t="s">
        <v>2540</v>
      </c>
      <c r="Q391" t="s">
        <v>2572</v>
      </c>
      <c r="R391" t="s">
        <v>2508</v>
      </c>
      <c r="X391" t="str">
        <f t="shared" si="244"/>
        <v>[390] = {["ID"] = 1879326662; }; -- Of Nimrodel</v>
      </c>
      <c r="Y391" s="1" t="str">
        <f t="shared" si="246"/>
        <v>[390] = {["ID"] = 1879326662; ["SAVE_INDEX"] = 284; ["TYPE"] = 12;                       ["SUBTYPE"] =   0; ["NA"] = 3;                       ["VXP"] =    0; ["LP"] =  0; ["REP"] =     0; ["FACTION"] =  1;                                        ["NAME"] = { ["EN"] = "Of Nimrodel"; }; ["LORE"] = { ["EN"] = "You have earned the Of Nimrodel title."; }; ["SUMMARY"] = { ["EN"] = "Exist on Nimrodel prior to August, 2015"; }; ["TITLE"] = { ["EN"] = "of Nimrodel"; }; };</v>
      </c>
      <c r="Z391">
        <f t="shared" si="242"/>
        <v>390</v>
      </c>
      <c r="AA391" t="str">
        <f t="shared" si="247"/>
        <v>[390] = {</v>
      </c>
      <c r="AB391" t="str">
        <f t="shared" si="248"/>
        <v xml:space="preserve">["ID"] = 1879326662; </v>
      </c>
      <c r="AC391" t="str">
        <f t="shared" si="249"/>
        <v xml:space="preserve">["ID"] = 1879326662; </v>
      </c>
      <c r="AD391" t="str">
        <f t="shared" si="250"/>
        <v/>
      </c>
      <c r="AE391" t="str">
        <f t="shared" si="251"/>
        <v/>
      </c>
      <c r="AF391" s="1" t="str">
        <f t="shared" si="252"/>
        <v xml:space="preserve">["SAVE_INDEX"] = 284; </v>
      </c>
      <c r="AG391">
        <f>VLOOKUP(D391,Type!A$2:B$16,2,FALSE)</f>
        <v>12</v>
      </c>
      <c r="AH391" t="str">
        <f t="shared" si="253"/>
        <v xml:space="preserve">["TYPE"] = 12; </v>
      </c>
      <c r="AI391" t="str">
        <f t="shared" si="254"/>
        <v xml:space="preserve">                      </v>
      </c>
      <c r="AJ391" t="str">
        <f>IF(AND(F391="Class",NOT(ISBLANK(E391))),VLOOKUP(E391,Class!A$1:B$12,2,FALSE),"")</f>
        <v/>
      </c>
      <c r="AK391" t="str">
        <f>IF(AND(F391="Vocation",NOT(ISBLANK(E391))),VLOOKUP(E391,Vocation!A$1:B$8,2,FALSE),"")</f>
        <v/>
      </c>
      <c r="AL391" t="str">
        <f>IF(AND(F391="Race",NOT(ISBLANK(E391))),VLOOKUP(E391,Race!A$1:B$9,2,),"")</f>
        <v/>
      </c>
      <c r="AM391" t="str">
        <f t="shared" si="255"/>
        <v xml:space="preserve">  0</v>
      </c>
      <c r="AN391" t="str">
        <f t="shared" si="256"/>
        <v xml:space="preserve">["SUBTYPE"] =   0; </v>
      </c>
      <c r="AO391">
        <f>IF(NOT(ISBLANK(G391)),VLOOKUP(G391,Type!D$2:E$6,2,FALSE),"")</f>
        <v>3</v>
      </c>
      <c r="AP391" t="str">
        <f t="shared" si="257"/>
        <v xml:space="preserve">["NA"] = 3; </v>
      </c>
      <c r="AQ391" t="str">
        <f t="shared" si="258"/>
        <v xml:space="preserve">                      </v>
      </c>
      <c r="AR391" t="str">
        <f t="shared" si="259"/>
        <v/>
      </c>
      <c r="AS391" t="str">
        <f t="shared" si="260"/>
        <v>0</v>
      </c>
      <c r="AT391" t="str">
        <f t="shared" si="261"/>
        <v xml:space="preserve">["VXP"] =    0; </v>
      </c>
      <c r="AU391" t="str">
        <f t="shared" si="262"/>
        <v>0</v>
      </c>
      <c r="AV391" t="str">
        <f t="shared" si="263"/>
        <v xml:space="preserve">["LP"] =  0; </v>
      </c>
      <c r="AW391" t="str">
        <f t="shared" si="264"/>
        <v>0</v>
      </c>
      <c r="AX391" t="str">
        <f t="shared" si="265"/>
        <v xml:space="preserve">["REP"] =     0; </v>
      </c>
      <c r="AY391">
        <f>IF(LEN(P391)&gt;0,VLOOKUP(P391,Faction!A$2:B$77,2,FALSE),1)</f>
        <v>1</v>
      </c>
      <c r="AZ391" t="str">
        <f t="shared" si="266"/>
        <v xml:space="preserve">["FACTION"] =  1; </v>
      </c>
      <c r="BA391" t="str">
        <f t="shared" si="245"/>
        <v/>
      </c>
      <c r="BB391" t="str">
        <f t="shared" si="267"/>
        <v xml:space="preserve">                     </v>
      </c>
      <c r="BC391" t="str">
        <f t="shared" si="268"/>
        <v xml:space="preserve">                  </v>
      </c>
      <c r="BD391" t="str">
        <f t="shared" si="269"/>
        <v xml:space="preserve">["NAME"] = { ["EN"] = "Of Nimrodel"; }; </v>
      </c>
      <c r="BE391" t="str">
        <f t="shared" si="270"/>
        <v xml:space="preserve">["LORE"] = { ["EN"] = "You have earned the Of Nimrodel title."; }; </v>
      </c>
      <c r="BF391" t="str">
        <f t="shared" si="271"/>
        <v xml:space="preserve">["SUMMARY"] = { ["EN"] = "Exist on Nimrodel prior to August, 2015"; }; </v>
      </c>
      <c r="BG391" t="str">
        <f t="shared" si="272"/>
        <v xml:space="preserve">["TITLE"] = { ["EN"] = "of Nimrodel"; }; </v>
      </c>
      <c r="BH391" t="str">
        <f t="shared" si="273"/>
        <v/>
      </c>
      <c r="BI391" t="str">
        <f t="shared" si="274"/>
        <v/>
      </c>
      <c r="BJ391" t="str">
        <f t="shared" si="243"/>
        <v>};</v>
      </c>
    </row>
    <row r="392" spans="1:62" x14ac:dyDescent="0.25">
      <c r="A392">
        <v>1879326663</v>
      </c>
      <c r="B392">
        <v>285</v>
      </c>
      <c r="C392" t="s">
        <v>2470</v>
      </c>
      <c r="D392" t="s">
        <v>24</v>
      </c>
      <c r="G392" t="s">
        <v>2324</v>
      </c>
      <c r="M392" t="s">
        <v>2541</v>
      </c>
      <c r="Q392" t="s">
        <v>2573</v>
      </c>
      <c r="R392" t="s">
        <v>2509</v>
      </c>
      <c r="X392" t="str">
        <f t="shared" si="244"/>
        <v>[391] = {["ID"] = 1879326663; }; -- Of Riddermark</v>
      </c>
      <c r="Y392" s="1" t="str">
        <f t="shared" si="246"/>
        <v>[391] = {["ID"] = 1879326663; ["SAVE_INDEX"] = 285; ["TYPE"] = 12;                       ["SUBTYPE"] =   0; ["NA"] = 3;                       ["VXP"] =    0; ["LP"] =  0; ["REP"] =     0; ["FACTION"] =  1;                                        ["NAME"] = { ["EN"] = "Of Riddermark"; }; ["LORE"] = { ["EN"] = "You have earned the Of Riddermark title."; }; ["SUMMARY"] = { ["EN"] = "Exist on Riddermark prior to August, 2015"; }; ["TITLE"] = { ["EN"] = "of Riddermark"; }; };</v>
      </c>
      <c r="Z392">
        <f t="shared" si="242"/>
        <v>391</v>
      </c>
      <c r="AA392" t="str">
        <f t="shared" si="247"/>
        <v>[391] = {</v>
      </c>
      <c r="AB392" t="str">
        <f t="shared" si="248"/>
        <v xml:space="preserve">["ID"] = 1879326663; </v>
      </c>
      <c r="AC392" t="str">
        <f t="shared" si="249"/>
        <v xml:space="preserve">["ID"] = 1879326663; </v>
      </c>
      <c r="AD392" t="str">
        <f t="shared" si="250"/>
        <v/>
      </c>
      <c r="AE392" t="str">
        <f t="shared" si="251"/>
        <v/>
      </c>
      <c r="AF392" s="1" t="str">
        <f t="shared" si="252"/>
        <v xml:space="preserve">["SAVE_INDEX"] = 285; </v>
      </c>
      <c r="AG392">
        <f>VLOOKUP(D392,Type!A$2:B$16,2,FALSE)</f>
        <v>12</v>
      </c>
      <c r="AH392" t="str">
        <f t="shared" si="253"/>
        <v xml:space="preserve">["TYPE"] = 12; </v>
      </c>
      <c r="AI392" t="str">
        <f t="shared" si="254"/>
        <v xml:space="preserve">                      </v>
      </c>
      <c r="AJ392" t="str">
        <f>IF(AND(F392="Class",NOT(ISBLANK(E392))),VLOOKUP(E392,Class!A$1:B$12,2,FALSE),"")</f>
        <v/>
      </c>
      <c r="AK392" t="str">
        <f>IF(AND(F392="Vocation",NOT(ISBLANK(E392))),VLOOKUP(E392,Vocation!A$1:B$8,2,FALSE),"")</f>
        <v/>
      </c>
      <c r="AL392" t="str">
        <f>IF(AND(F392="Race",NOT(ISBLANK(E392))),VLOOKUP(E392,Race!A$1:B$9,2,),"")</f>
        <v/>
      </c>
      <c r="AM392" t="str">
        <f t="shared" si="255"/>
        <v xml:space="preserve">  0</v>
      </c>
      <c r="AN392" t="str">
        <f t="shared" si="256"/>
        <v xml:space="preserve">["SUBTYPE"] =   0; </v>
      </c>
      <c r="AO392">
        <f>IF(NOT(ISBLANK(G392)),VLOOKUP(G392,Type!D$2:E$6,2,FALSE),"")</f>
        <v>3</v>
      </c>
      <c r="AP392" t="str">
        <f t="shared" si="257"/>
        <v xml:space="preserve">["NA"] = 3; </v>
      </c>
      <c r="AQ392" t="str">
        <f t="shared" si="258"/>
        <v xml:space="preserve">                      </v>
      </c>
      <c r="AR392" t="str">
        <f t="shared" si="259"/>
        <v/>
      </c>
      <c r="AS392" t="str">
        <f t="shared" si="260"/>
        <v>0</v>
      </c>
      <c r="AT392" t="str">
        <f t="shared" si="261"/>
        <v xml:space="preserve">["VXP"] =    0; </v>
      </c>
      <c r="AU392" t="str">
        <f t="shared" si="262"/>
        <v>0</v>
      </c>
      <c r="AV392" t="str">
        <f t="shared" si="263"/>
        <v xml:space="preserve">["LP"] =  0; </v>
      </c>
      <c r="AW392" t="str">
        <f t="shared" si="264"/>
        <v>0</v>
      </c>
      <c r="AX392" t="str">
        <f t="shared" si="265"/>
        <v xml:space="preserve">["REP"] =     0; </v>
      </c>
      <c r="AY392">
        <f>IF(LEN(P392)&gt;0,VLOOKUP(P392,Faction!A$2:B$77,2,FALSE),1)</f>
        <v>1</v>
      </c>
      <c r="AZ392" t="str">
        <f t="shared" si="266"/>
        <v xml:space="preserve">["FACTION"] =  1; </v>
      </c>
      <c r="BA392" t="str">
        <f t="shared" si="245"/>
        <v/>
      </c>
      <c r="BB392" t="str">
        <f t="shared" si="267"/>
        <v xml:space="preserve">                     </v>
      </c>
      <c r="BC392" t="str">
        <f t="shared" si="268"/>
        <v xml:space="preserve">                  </v>
      </c>
      <c r="BD392" t="str">
        <f t="shared" si="269"/>
        <v xml:space="preserve">["NAME"] = { ["EN"] = "Of Riddermark"; }; </v>
      </c>
      <c r="BE392" t="str">
        <f t="shared" si="270"/>
        <v xml:space="preserve">["LORE"] = { ["EN"] = "You have earned the Of Riddermark title."; }; </v>
      </c>
      <c r="BF392" t="str">
        <f t="shared" si="271"/>
        <v xml:space="preserve">["SUMMARY"] = { ["EN"] = "Exist on Riddermark prior to August, 2015"; }; </v>
      </c>
      <c r="BG392" t="str">
        <f t="shared" si="272"/>
        <v xml:space="preserve">["TITLE"] = { ["EN"] = "of Riddermark"; }; </v>
      </c>
      <c r="BH392" t="str">
        <f t="shared" si="273"/>
        <v/>
      </c>
      <c r="BI392" t="str">
        <f t="shared" si="274"/>
        <v/>
      </c>
      <c r="BJ392" t="str">
        <f t="shared" si="243"/>
        <v>};</v>
      </c>
    </row>
    <row r="393" spans="1:62" x14ac:dyDescent="0.25">
      <c r="A393">
        <v>1879326664</v>
      </c>
      <c r="B393">
        <v>286</v>
      </c>
      <c r="C393" t="s">
        <v>2471</v>
      </c>
      <c r="D393" t="s">
        <v>24</v>
      </c>
      <c r="G393" t="s">
        <v>2324</v>
      </c>
      <c r="M393" t="s">
        <v>2542</v>
      </c>
      <c r="Q393" t="s">
        <v>2574</v>
      </c>
      <c r="R393" t="s">
        <v>2510</v>
      </c>
      <c r="X393" t="str">
        <f t="shared" si="244"/>
        <v>[392] = {["ID"] = 1879326664; }; -- Of Silverlode</v>
      </c>
      <c r="Y393" s="1" t="str">
        <f t="shared" si="246"/>
        <v>[392] = {["ID"] = 1879326664; ["SAVE_INDEX"] = 286; ["TYPE"] = 12;                       ["SUBTYPE"] =   0; ["NA"] = 3;                       ["VXP"] =    0; ["LP"] =  0; ["REP"] =     0; ["FACTION"] =  1;                                        ["NAME"] = { ["EN"] = "Of Silverlode"; }; ["LORE"] = { ["EN"] = "You have earned the Of Silverlode title."; }; ["SUMMARY"] = { ["EN"] = "Exist on Silverlode prior to August, 2015"; }; ["TITLE"] = { ["EN"] = "of Silverlode"; }; };</v>
      </c>
      <c r="Z393">
        <f t="shared" si="242"/>
        <v>392</v>
      </c>
      <c r="AA393" t="str">
        <f t="shared" si="247"/>
        <v>[392] = {</v>
      </c>
      <c r="AB393" t="str">
        <f t="shared" si="248"/>
        <v xml:space="preserve">["ID"] = 1879326664; </v>
      </c>
      <c r="AC393" t="str">
        <f t="shared" si="249"/>
        <v xml:space="preserve">["ID"] = 1879326664; </v>
      </c>
      <c r="AD393" t="str">
        <f t="shared" si="250"/>
        <v/>
      </c>
      <c r="AE393" t="str">
        <f t="shared" si="251"/>
        <v/>
      </c>
      <c r="AF393" s="1" t="str">
        <f t="shared" si="252"/>
        <v xml:space="preserve">["SAVE_INDEX"] = 286; </v>
      </c>
      <c r="AG393">
        <f>VLOOKUP(D393,Type!A$2:B$16,2,FALSE)</f>
        <v>12</v>
      </c>
      <c r="AH393" t="str">
        <f t="shared" si="253"/>
        <v xml:space="preserve">["TYPE"] = 12; </v>
      </c>
      <c r="AI393" t="str">
        <f t="shared" si="254"/>
        <v xml:space="preserve">                      </v>
      </c>
      <c r="AJ393" t="str">
        <f>IF(AND(F393="Class",NOT(ISBLANK(E393))),VLOOKUP(E393,Class!A$1:B$12,2,FALSE),"")</f>
        <v/>
      </c>
      <c r="AK393" t="str">
        <f>IF(AND(F393="Vocation",NOT(ISBLANK(E393))),VLOOKUP(E393,Vocation!A$1:B$8,2,FALSE),"")</f>
        <v/>
      </c>
      <c r="AL393" t="str">
        <f>IF(AND(F393="Race",NOT(ISBLANK(E393))),VLOOKUP(E393,Race!A$1:B$9,2,),"")</f>
        <v/>
      </c>
      <c r="AM393" t="str">
        <f t="shared" si="255"/>
        <v xml:space="preserve">  0</v>
      </c>
      <c r="AN393" t="str">
        <f t="shared" si="256"/>
        <v xml:space="preserve">["SUBTYPE"] =   0; </v>
      </c>
      <c r="AO393">
        <f>IF(NOT(ISBLANK(G393)),VLOOKUP(G393,Type!D$2:E$6,2,FALSE),"")</f>
        <v>3</v>
      </c>
      <c r="AP393" t="str">
        <f t="shared" si="257"/>
        <v xml:space="preserve">["NA"] = 3; </v>
      </c>
      <c r="AQ393" t="str">
        <f t="shared" si="258"/>
        <v xml:space="preserve">                      </v>
      </c>
      <c r="AR393" t="str">
        <f t="shared" si="259"/>
        <v/>
      </c>
      <c r="AS393" t="str">
        <f t="shared" si="260"/>
        <v>0</v>
      </c>
      <c r="AT393" t="str">
        <f t="shared" si="261"/>
        <v xml:space="preserve">["VXP"] =    0; </v>
      </c>
      <c r="AU393" t="str">
        <f t="shared" si="262"/>
        <v>0</v>
      </c>
      <c r="AV393" t="str">
        <f t="shared" si="263"/>
        <v xml:space="preserve">["LP"] =  0; </v>
      </c>
      <c r="AW393" t="str">
        <f t="shared" si="264"/>
        <v>0</v>
      </c>
      <c r="AX393" t="str">
        <f t="shared" si="265"/>
        <v xml:space="preserve">["REP"] =     0; </v>
      </c>
      <c r="AY393">
        <f>IF(LEN(P393)&gt;0,VLOOKUP(P393,Faction!A$2:B$77,2,FALSE),1)</f>
        <v>1</v>
      </c>
      <c r="AZ393" t="str">
        <f t="shared" si="266"/>
        <v xml:space="preserve">["FACTION"] =  1; </v>
      </c>
      <c r="BA393" t="str">
        <f t="shared" si="245"/>
        <v/>
      </c>
      <c r="BB393" t="str">
        <f t="shared" si="267"/>
        <v xml:space="preserve">                     </v>
      </c>
      <c r="BC393" t="str">
        <f t="shared" si="268"/>
        <v xml:space="preserve">                  </v>
      </c>
      <c r="BD393" t="str">
        <f t="shared" si="269"/>
        <v xml:space="preserve">["NAME"] = { ["EN"] = "Of Silverlode"; }; </v>
      </c>
      <c r="BE393" t="str">
        <f t="shared" si="270"/>
        <v xml:space="preserve">["LORE"] = { ["EN"] = "You have earned the Of Silverlode title."; }; </v>
      </c>
      <c r="BF393" t="str">
        <f t="shared" si="271"/>
        <v xml:space="preserve">["SUMMARY"] = { ["EN"] = "Exist on Silverlode prior to August, 2015"; }; </v>
      </c>
      <c r="BG393" t="str">
        <f t="shared" si="272"/>
        <v xml:space="preserve">["TITLE"] = { ["EN"] = "of Silverlode"; }; </v>
      </c>
      <c r="BH393" t="str">
        <f t="shared" si="273"/>
        <v/>
      </c>
      <c r="BI393" t="str">
        <f t="shared" si="274"/>
        <v/>
      </c>
      <c r="BJ393" t="str">
        <f t="shared" si="243"/>
        <v>};</v>
      </c>
    </row>
    <row r="394" spans="1:62" x14ac:dyDescent="0.25">
      <c r="A394">
        <v>1879326665</v>
      </c>
      <c r="B394">
        <v>287</v>
      </c>
      <c r="C394" t="s">
        <v>2472</v>
      </c>
      <c r="D394" t="s">
        <v>24</v>
      </c>
      <c r="G394" t="s">
        <v>2324</v>
      </c>
      <c r="M394" t="s">
        <v>2543</v>
      </c>
      <c r="Q394" t="s">
        <v>2575</v>
      </c>
      <c r="R394" t="s">
        <v>2511</v>
      </c>
      <c r="X394" t="str">
        <f t="shared" si="244"/>
        <v>[393] = {["ID"] = 1879326665; }; -- Of Sirannon</v>
      </c>
      <c r="Y394" s="1" t="str">
        <f t="shared" si="246"/>
        <v>[393] = {["ID"] = 1879326665; ["SAVE_INDEX"] = 287; ["TYPE"] = 12;                       ["SUBTYPE"] =   0; ["NA"] = 3;                       ["VXP"] =    0; ["LP"] =  0; ["REP"] =     0; ["FACTION"] =  1;                                        ["NAME"] = { ["EN"] = "Of Sirannon"; }; ["LORE"] = { ["EN"] = "You have earned the Of Sirannon title."; }; ["SUMMARY"] = { ["EN"] = "Exist on Sirannon prior to August, 2015"; }; ["TITLE"] = { ["EN"] = "of Sirannon"; }; };</v>
      </c>
      <c r="Z394">
        <f t="shared" si="242"/>
        <v>393</v>
      </c>
      <c r="AA394" t="str">
        <f t="shared" si="247"/>
        <v>[393] = {</v>
      </c>
      <c r="AB394" t="str">
        <f t="shared" si="248"/>
        <v xml:space="preserve">["ID"] = 1879326665; </v>
      </c>
      <c r="AC394" t="str">
        <f t="shared" si="249"/>
        <v xml:space="preserve">["ID"] = 1879326665; </v>
      </c>
      <c r="AD394" t="str">
        <f t="shared" si="250"/>
        <v/>
      </c>
      <c r="AE394" t="str">
        <f t="shared" si="251"/>
        <v/>
      </c>
      <c r="AF394" s="1" t="str">
        <f t="shared" si="252"/>
        <v xml:space="preserve">["SAVE_INDEX"] = 287; </v>
      </c>
      <c r="AG394">
        <f>VLOOKUP(D394,Type!A$2:B$16,2,FALSE)</f>
        <v>12</v>
      </c>
      <c r="AH394" t="str">
        <f t="shared" si="253"/>
        <v xml:space="preserve">["TYPE"] = 12; </v>
      </c>
      <c r="AI394" t="str">
        <f t="shared" si="254"/>
        <v xml:space="preserve">                      </v>
      </c>
      <c r="AJ394" t="str">
        <f>IF(AND(F394="Class",NOT(ISBLANK(E394))),VLOOKUP(E394,Class!A$1:B$12,2,FALSE),"")</f>
        <v/>
      </c>
      <c r="AK394" t="str">
        <f>IF(AND(F394="Vocation",NOT(ISBLANK(E394))),VLOOKUP(E394,Vocation!A$1:B$8,2,FALSE),"")</f>
        <v/>
      </c>
      <c r="AL394" t="str">
        <f>IF(AND(F394="Race",NOT(ISBLANK(E394))),VLOOKUP(E394,Race!A$1:B$9,2,),"")</f>
        <v/>
      </c>
      <c r="AM394" t="str">
        <f t="shared" si="255"/>
        <v xml:space="preserve">  0</v>
      </c>
      <c r="AN394" t="str">
        <f t="shared" si="256"/>
        <v xml:space="preserve">["SUBTYPE"] =   0; </v>
      </c>
      <c r="AO394">
        <f>IF(NOT(ISBLANK(G394)),VLOOKUP(G394,Type!D$2:E$6,2,FALSE),"")</f>
        <v>3</v>
      </c>
      <c r="AP394" t="str">
        <f t="shared" si="257"/>
        <v xml:space="preserve">["NA"] = 3; </v>
      </c>
      <c r="AQ394" t="str">
        <f t="shared" si="258"/>
        <v xml:space="preserve">                      </v>
      </c>
      <c r="AR394" t="str">
        <f t="shared" si="259"/>
        <v/>
      </c>
      <c r="AS394" t="str">
        <f t="shared" si="260"/>
        <v>0</v>
      </c>
      <c r="AT394" t="str">
        <f t="shared" si="261"/>
        <v xml:space="preserve">["VXP"] =    0; </v>
      </c>
      <c r="AU394" t="str">
        <f t="shared" si="262"/>
        <v>0</v>
      </c>
      <c r="AV394" t="str">
        <f t="shared" si="263"/>
        <v xml:space="preserve">["LP"] =  0; </v>
      </c>
      <c r="AW394" t="str">
        <f t="shared" si="264"/>
        <v>0</v>
      </c>
      <c r="AX394" t="str">
        <f t="shared" si="265"/>
        <v xml:space="preserve">["REP"] =     0; </v>
      </c>
      <c r="AY394">
        <f>IF(LEN(P394)&gt;0,VLOOKUP(P394,Faction!A$2:B$77,2,FALSE),1)</f>
        <v>1</v>
      </c>
      <c r="AZ394" t="str">
        <f t="shared" si="266"/>
        <v xml:space="preserve">["FACTION"] =  1; </v>
      </c>
      <c r="BA394" t="str">
        <f t="shared" si="245"/>
        <v/>
      </c>
      <c r="BB394" t="str">
        <f t="shared" si="267"/>
        <v xml:space="preserve">                     </v>
      </c>
      <c r="BC394" t="str">
        <f t="shared" si="268"/>
        <v xml:space="preserve">                  </v>
      </c>
      <c r="BD394" t="str">
        <f t="shared" si="269"/>
        <v xml:space="preserve">["NAME"] = { ["EN"] = "Of Sirannon"; }; </v>
      </c>
      <c r="BE394" t="str">
        <f t="shared" si="270"/>
        <v xml:space="preserve">["LORE"] = { ["EN"] = "You have earned the Of Sirannon title."; }; </v>
      </c>
      <c r="BF394" t="str">
        <f t="shared" si="271"/>
        <v xml:space="preserve">["SUMMARY"] = { ["EN"] = "Exist on Sirannon prior to August, 2015"; }; </v>
      </c>
      <c r="BG394" t="str">
        <f t="shared" si="272"/>
        <v xml:space="preserve">["TITLE"] = { ["EN"] = "of Sirannon"; }; </v>
      </c>
      <c r="BH394" t="str">
        <f t="shared" si="273"/>
        <v/>
      </c>
      <c r="BI394" t="str">
        <f t="shared" si="274"/>
        <v/>
      </c>
      <c r="BJ394" t="str">
        <f t="shared" si="243"/>
        <v>};</v>
      </c>
    </row>
    <row r="395" spans="1:62" x14ac:dyDescent="0.25">
      <c r="A395">
        <v>1879326666</v>
      </c>
      <c r="B395">
        <v>288</v>
      </c>
      <c r="C395" t="s">
        <v>2473</v>
      </c>
      <c r="D395" t="s">
        <v>24</v>
      </c>
      <c r="G395" t="s">
        <v>2324</v>
      </c>
      <c r="M395" t="s">
        <v>2544</v>
      </c>
      <c r="Q395" t="s">
        <v>2576</v>
      </c>
      <c r="R395" t="s">
        <v>2512</v>
      </c>
      <c r="X395" t="str">
        <f t="shared" si="244"/>
        <v>[394] = {["ID"] = 1879326666; }; -- Of Snowbourn</v>
      </c>
      <c r="Y395" s="1" t="str">
        <f t="shared" si="246"/>
        <v>[394] = {["ID"] = 1879326666; ["SAVE_INDEX"] = 288; ["TYPE"] = 12;                       ["SUBTYPE"] =   0; ["NA"] = 3;                       ["VXP"] =    0; ["LP"] =  0; ["REP"] =     0; ["FACTION"] =  1;                                        ["NAME"] = { ["EN"] = "Of Snowbourn"; }; ["LORE"] = { ["EN"] = "You have earned the Of Snowbourn title."; }; ["SUMMARY"] = { ["EN"] = "Exist on Snowbourn prior to August, 2015"; }; ["TITLE"] = { ["EN"] = "of Snowbourn"; }; };</v>
      </c>
      <c r="Z395">
        <f t="shared" si="242"/>
        <v>394</v>
      </c>
      <c r="AA395" t="str">
        <f t="shared" si="247"/>
        <v>[394] = {</v>
      </c>
      <c r="AB395" t="str">
        <f t="shared" si="248"/>
        <v xml:space="preserve">["ID"] = 1879326666; </v>
      </c>
      <c r="AC395" t="str">
        <f t="shared" si="249"/>
        <v xml:space="preserve">["ID"] = 1879326666; </v>
      </c>
      <c r="AD395" t="str">
        <f t="shared" si="250"/>
        <v/>
      </c>
      <c r="AE395" t="str">
        <f t="shared" si="251"/>
        <v/>
      </c>
      <c r="AF395" s="1" t="str">
        <f t="shared" si="252"/>
        <v xml:space="preserve">["SAVE_INDEX"] = 288; </v>
      </c>
      <c r="AG395">
        <f>VLOOKUP(D395,Type!A$2:B$16,2,FALSE)</f>
        <v>12</v>
      </c>
      <c r="AH395" t="str">
        <f t="shared" si="253"/>
        <v xml:space="preserve">["TYPE"] = 12; </v>
      </c>
      <c r="AI395" t="str">
        <f t="shared" si="254"/>
        <v xml:space="preserve">                      </v>
      </c>
      <c r="AJ395" t="str">
        <f>IF(AND(F395="Class",NOT(ISBLANK(E395))),VLOOKUP(E395,Class!A$1:B$12,2,FALSE),"")</f>
        <v/>
      </c>
      <c r="AK395" t="str">
        <f>IF(AND(F395="Vocation",NOT(ISBLANK(E395))),VLOOKUP(E395,Vocation!A$1:B$8,2,FALSE),"")</f>
        <v/>
      </c>
      <c r="AL395" t="str">
        <f>IF(AND(F395="Race",NOT(ISBLANK(E395))),VLOOKUP(E395,Race!A$1:B$9,2,),"")</f>
        <v/>
      </c>
      <c r="AM395" t="str">
        <f t="shared" si="255"/>
        <v xml:space="preserve">  0</v>
      </c>
      <c r="AN395" t="str">
        <f t="shared" si="256"/>
        <v xml:space="preserve">["SUBTYPE"] =   0; </v>
      </c>
      <c r="AO395">
        <f>IF(NOT(ISBLANK(G395)),VLOOKUP(G395,Type!D$2:E$6,2,FALSE),"")</f>
        <v>3</v>
      </c>
      <c r="AP395" t="str">
        <f t="shared" si="257"/>
        <v xml:space="preserve">["NA"] = 3; </v>
      </c>
      <c r="AQ395" t="str">
        <f t="shared" si="258"/>
        <v xml:space="preserve">                      </v>
      </c>
      <c r="AR395" t="str">
        <f t="shared" si="259"/>
        <v/>
      </c>
      <c r="AS395" t="str">
        <f t="shared" si="260"/>
        <v>0</v>
      </c>
      <c r="AT395" t="str">
        <f t="shared" si="261"/>
        <v xml:space="preserve">["VXP"] =    0; </v>
      </c>
      <c r="AU395" t="str">
        <f t="shared" si="262"/>
        <v>0</v>
      </c>
      <c r="AV395" t="str">
        <f t="shared" si="263"/>
        <v xml:space="preserve">["LP"] =  0; </v>
      </c>
      <c r="AW395" t="str">
        <f t="shared" si="264"/>
        <v>0</v>
      </c>
      <c r="AX395" t="str">
        <f t="shared" si="265"/>
        <v xml:space="preserve">["REP"] =     0; </v>
      </c>
      <c r="AY395">
        <f>IF(LEN(P395)&gt;0,VLOOKUP(P395,Faction!A$2:B$77,2,FALSE),1)</f>
        <v>1</v>
      </c>
      <c r="AZ395" t="str">
        <f t="shared" si="266"/>
        <v xml:space="preserve">["FACTION"] =  1; </v>
      </c>
      <c r="BA395" t="str">
        <f t="shared" si="245"/>
        <v/>
      </c>
      <c r="BB395" t="str">
        <f t="shared" si="267"/>
        <v xml:space="preserve">                     </v>
      </c>
      <c r="BC395" t="str">
        <f t="shared" si="268"/>
        <v xml:space="preserve">                  </v>
      </c>
      <c r="BD395" t="str">
        <f t="shared" si="269"/>
        <v xml:space="preserve">["NAME"] = { ["EN"] = "Of Snowbourn"; }; </v>
      </c>
      <c r="BE395" t="str">
        <f t="shared" si="270"/>
        <v xml:space="preserve">["LORE"] = { ["EN"] = "You have earned the Of Snowbourn title."; }; </v>
      </c>
      <c r="BF395" t="str">
        <f t="shared" si="271"/>
        <v xml:space="preserve">["SUMMARY"] = { ["EN"] = "Exist on Snowbourn prior to August, 2015"; }; </v>
      </c>
      <c r="BG395" t="str">
        <f t="shared" si="272"/>
        <v xml:space="preserve">["TITLE"] = { ["EN"] = "of Snowbourn"; }; </v>
      </c>
      <c r="BH395" t="str">
        <f t="shared" si="273"/>
        <v/>
      </c>
      <c r="BI395" t="str">
        <f t="shared" si="274"/>
        <v/>
      </c>
      <c r="BJ395" t="str">
        <f t="shared" si="243"/>
        <v>};</v>
      </c>
    </row>
    <row r="396" spans="1:62" x14ac:dyDescent="0.25">
      <c r="A396">
        <v>1879326667</v>
      </c>
      <c r="B396">
        <v>289</v>
      </c>
      <c r="C396" t="s">
        <v>2474</v>
      </c>
      <c r="D396" t="s">
        <v>24</v>
      </c>
      <c r="G396" t="s">
        <v>2324</v>
      </c>
      <c r="M396" t="s">
        <v>2545</v>
      </c>
      <c r="Q396" t="s">
        <v>2577</v>
      </c>
      <c r="R396" t="s">
        <v>2513</v>
      </c>
      <c r="X396" t="str">
        <f t="shared" si="244"/>
        <v>[395] = {["ID"] = 1879326667; }; -- Of Vanyar</v>
      </c>
      <c r="Y396" s="1" t="str">
        <f t="shared" si="246"/>
        <v>[395] = {["ID"] = 1879326667; ["SAVE_INDEX"] = 289; ["TYPE"] = 12;                       ["SUBTYPE"] =   0; ["NA"] = 3;                       ["VXP"] =    0; ["LP"] =  0; ["REP"] =     0; ["FACTION"] =  1;                                        ["NAME"] = { ["EN"] = "Of Vanyar"; }; ["LORE"] = { ["EN"] = "You have earned the Of Vanyar title."; }; ["SUMMARY"] = { ["EN"] = "Exist on Vanyar prior to August, 2015"; }; ["TITLE"] = { ["EN"] = "of Vanyar"; }; };</v>
      </c>
      <c r="Z396">
        <f t="shared" si="242"/>
        <v>395</v>
      </c>
      <c r="AA396" t="str">
        <f t="shared" si="247"/>
        <v>[395] = {</v>
      </c>
      <c r="AB396" t="str">
        <f t="shared" si="248"/>
        <v xml:space="preserve">["ID"] = 1879326667; </v>
      </c>
      <c r="AC396" t="str">
        <f t="shared" si="249"/>
        <v xml:space="preserve">["ID"] = 1879326667; </v>
      </c>
      <c r="AD396" t="str">
        <f t="shared" si="250"/>
        <v/>
      </c>
      <c r="AE396" t="str">
        <f t="shared" si="251"/>
        <v/>
      </c>
      <c r="AF396" s="1" t="str">
        <f t="shared" si="252"/>
        <v xml:space="preserve">["SAVE_INDEX"] = 289; </v>
      </c>
      <c r="AG396">
        <f>VLOOKUP(D396,Type!A$2:B$16,2,FALSE)</f>
        <v>12</v>
      </c>
      <c r="AH396" t="str">
        <f t="shared" si="253"/>
        <v xml:space="preserve">["TYPE"] = 12; </v>
      </c>
      <c r="AI396" t="str">
        <f t="shared" si="254"/>
        <v xml:space="preserve">                      </v>
      </c>
      <c r="AJ396" t="str">
        <f>IF(AND(F396="Class",NOT(ISBLANK(E396))),VLOOKUP(E396,Class!A$1:B$12,2,FALSE),"")</f>
        <v/>
      </c>
      <c r="AK396" t="str">
        <f>IF(AND(F396="Vocation",NOT(ISBLANK(E396))),VLOOKUP(E396,Vocation!A$1:B$8,2,FALSE),"")</f>
        <v/>
      </c>
      <c r="AL396" t="str">
        <f>IF(AND(F396="Race",NOT(ISBLANK(E396))),VLOOKUP(E396,Race!A$1:B$9,2,),"")</f>
        <v/>
      </c>
      <c r="AM396" t="str">
        <f t="shared" si="255"/>
        <v xml:space="preserve">  0</v>
      </c>
      <c r="AN396" t="str">
        <f t="shared" si="256"/>
        <v xml:space="preserve">["SUBTYPE"] =   0; </v>
      </c>
      <c r="AO396">
        <f>IF(NOT(ISBLANK(G396)),VLOOKUP(G396,Type!D$2:E$6,2,FALSE),"")</f>
        <v>3</v>
      </c>
      <c r="AP396" t="str">
        <f t="shared" si="257"/>
        <v xml:space="preserve">["NA"] = 3; </v>
      </c>
      <c r="AQ396" t="str">
        <f t="shared" si="258"/>
        <v xml:space="preserve">                      </v>
      </c>
      <c r="AR396" t="str">
        <f t="shared" si="259"/>
        <v/>
      </c>
      <c r="AS396" t="str">
        <f t="shared" si="260"/>
        <v>0</v>
      </c>
      <c r="AT396" t="str">
        <f t="shared" si="261"/>
        <v xml:space="preserve">["VXP"] =    0; </v>
      </c>
      <c r="AU396" t="str">
        <f t="shared" si="262"/>
        <v>0</v>
      </c>
      <c r="AV396" t="str">
        <f t="shared" si="263"/>
        <v xml:space="preserve">["LP"] =  0; </v>
      </c>
      <c r="AW396" t="str">
        <f t="shared" si="264"/>
        <v>0</v>
      </c>
      <c r="AX396" t="str">
        <f t="shared" si="265"/>
        <v xml:space="preserve">["REP"] =     0; </v>
      </c>
      <c r="AY396">
        <f>IF(LEN(P396)&gt;0,VLOOKUP(P396,Faction!A$2:B$77,2,FALSE),1)</f>
        <v>1</v>
      </c>
      <c r="AZ396" t="str">
        <f t="shared" si="266"/>
        <v xml:space="preserve">["FACTION"] =  1; </v>
      </c>
      <c r="BA396" t="str">
        <f t="shared" si="245"/>
        <v/>
      </c>
      <c r="BB396" t="str">
        <f t="shared" si="267"/>
        <v xml:space="preserve">                     </v>
      </c>
      <c r="BC396" t="str">
        <f t="shared" si="268"/>
        <v xml:space="preserve">                  </v>
      </c>
      <c r="BD396" t="str">
        <f t="shared" si="269"/>
        <v xml:space="preserve">["NAME"] = { ["EN"] = "Of Vanyar"; }; </v>
      </c>
      <c r="BE396" t="str">
        <f t="shared" si="270"/>
        <v xml:space="preserve">["LORE"] = { ["EN"] = "You have earned the Of Vanyar title."; }; </v>
      </c>
      <c r="BF396" t="str">
        <f t="shared" si="271"/>
        <v xml:space="preserve">["SUMMARY"] = { ["EN"] = "Exist on Vanyar prior to August, 2015"; }; </v>
      </c>
      <c r="BG396" t="str">
        <f t="shared" si="272"/>
        <v xml:space="preserve">["TITLE"] = { ["EN"] = "of Vanyar"; }; </v>
      </c>
      <c r="BH396" t="str">
        <f t="shared" si="273"/>
        <v/>
      </c>
      <c r="BI396" t="str">
        <f t="shared" si="274"/>
        <v/>
      </c>
      <c r="BJ396" t="str">
        <f t="shared" si="243"/>
        <v>};</v>
      </c>
    </row>
    <row r="397" spans="1:62" x14ac:dyDescent="0.25">
      <c r="A397">
        <v>1879326668</v>
      </c>
      <c r="B397">
        <v>290</v>
      </c>
      <c r="C397" t="s">
        <v>2475</v>
      </c>
      <c r="D397" t="s">
        <v>24</v>
      </c>
      <c r="G397" t="s">
        <v>2324</v>
      </c>
      <c r="M397" t="s">
        <v>2546</v>
      </c>
      <c r="Q397" t="s">
        <v>2578</v>
      </c>
      <c r="R397" t="s">
        <v>2514</v>
      </c>
      <c r="X397" t="str">
        <f t="shared" si="244"/>
        <v>[396] = {["ID"] = 1879326668; }; -- Of Vilya</v>
      </c>
      <c r="Y397" s="1" t="str">
        <f t="shared" si="246"/>
        <v>[396] = {["ID"] = 1879326668; ["SAVE_INDEX"] = 290; ["TYPE"] = 12;                       ["SUBTYPE"] =   0; ["NA"] = 3;                       ["VXP"] =    0; ["LP"] =  0; ["REP"] =     0; ["FACTION"] =  1;                                        ["NAME"] = { ["EN"] = "Of Vilya"; }; ["LORE"] = { ["EN"] = "You have earned the Of Vilya title."; }; ["SUMMARY"] = { ["EN"] = "Exist on Vilya prior to August, 2015"; }; ["TITLE"] = { ["EN"] = "of Vilya"; }; };</v>
      </c>
      <c r="Z397">
        <f t="shared" si="242"/>
        <v>396</v>
      </c>
      <c r="AA397" t="str">
        <f t="shared" si="247"/>
        <v>[396] = {</v>
      </c>
      <c r="AB397" t="str">
        <f t="shared" si="248"/>
        <v xml:space="preserve">["ID"] = 1879326668; </v>
      </c>
      <c r="AC397" t="str">
        <f t="shared" si="249"/>
        <v xml:space="preserve">["ID"] = 1879326668; </v>
      </c>
      <c r="AD397" t="str">
        <f t="shared" si="250"/>
        <v/>
      </c>
      <c r="AE397" t="str">
        <f t="shared" si="251"/>
        <v/>
      </c>
      <c r="AF397" s="1" t="str">
        <f t="shared" si="252"/>
        <v xml:space="preserve">["SAVE_INDEX"] = 290; </v>
      </c>
      <c r="AG397">
        <f>VLOOKUP(D397,Type!A$2:B$16,2,FALSE)</f>
        <v>12</v>
      </c>
      <c r="AH397" t="str">
        <f t="shared" si="253"/>
        <v xml:space="preserve">["TYPE"] = 12; </v>
      </c>
      <c r="AI397" t="str">
        <f t="shared" si="254"/>
        <v xml:space="preserve">                      </v>
      </c>
      <c r="AJ397" t="str">
        <f>IF(AND(F397="Class",NOT(ISBLANK(E397))),VLOOKUP(E397,Class!A$1:B$12,2,FALSE),"")</f>
        <v/>
      </c>
      <c r="AK397" t="str">
        <f>IF(AND(F397="Vocation",NOT(ISBLANK(E397))),VLOOKUP(E397,Vocation!A$1:B$8,2,FALSE),"")</f>
        <v/>
      </c>
      <c r="AL397" t="str">
        <f>IF(AND(F397="Race",NOT(ISBLANK(E397))),VLOOKUP(E397,Race!A$1:B$9,2,),"")</f>
        <v/>
      </c>
      <c r="AM397" t="str">
        <f t="shared" si="255"/>
        <v xml:space="preserve">  0</v>
      </c>
      <c r="AN397" t="str">
        <f t="shared" si="256"/>
        <v xml:space="preserve">["SUBTYPE"] =   0; </v>
      </c>
      <c r="AO397">
        <f>IF(NOT(ISBLANK(G397)),VLOOKUP(G397,Type!D$2:E$6,2,FALSE),"")</f>
        <v>3</v>
      </c>
      <c r="AP397" t="str">
        <f t="shared" si="257"/>
        <v xml:space="preserve">["NA"] = 3; </v>
      </c>
      <c r="AQ397" t="str">
        <f t="shared" si="258"/>
        <v xml:space="preserve">                      </v>
      </c>
      <c r="AR397" t="str">
        <f t="shared" si="259"/>
        <v/>
      </c>
      <c r="AS397" t="str">
        <f t="shared" si="260"/>
        <v>0</v>
      </c>
      <c r="AT397" t="str">
        <f t="shared" si="261"/>
        <v xml:space="preserve">["VXP"] =    0; </v>
      </c>
      <c r="AU397" t="str">
        <f t="shared" si="262"/>
        <v>0</v>
      </c>
      <c r="AV397" t="str">
        <f t="shared" si="263"/>
        <v xml:space="preserve">["LP"] =  0; </v>
      </c>
      <c r="AW397" t="str">
        <f t="shared" si="264"/>
        <v>0</v>
      </c>
      <c r="AX397" t="str">
        <f t="shared" si="265"/>
        <v xml:space="preserve">["REP"] =     0; </v>
      </c>
      <c r="AY397">
        <f>IF(LEN(P397)&gt;0,VLOOKUP(P397,Faction!A$2:B$77,2,FALSE),1)</f>
        <v>1</v>
      </c>
      <c r="AZ397" t="str">
        <f t="shared" si="266"/>
        <v xml:space="preserve">["FACTION"] =  1; </v>
      </c>
      <c r="BA397" t="str">
        <f t="shared" si="245"/>
        <v/>
      </c>
      <c r="BB397" t="str">
        <f t="shared" si="267"/>
        <v xml:space="preserve">                     </v>
      </c>
      <c r="BC397" t="str">
        <f t="shared" si="268"/>
        <v xml:space="preserve">                  </v>
      </c>
      <c r="BD397" t="str">
        <f t="shared" si="269"/>
        <v xml:space="preserve">["NAME"] = { ["EN"] = "Of Vilya"; }; </v>
      </c>
      <c r="BE397" t="str">
        <f t="shared" si="270"/>
        <v xml:space="preserve">["LORE"] = { ["EN"] = "You have earned the Of Vilya title."; }; </v>
      </c>
      <c r="BF397" t="str">
        <f t="shared" si="271"/>
        <v xml:space="preserve">["SUMMARY"] = { ["EN"] = "Exist on Vilya prior to August, 2015"; }; </v>
      </c>
      <c r="BG397" t="str">
        <f t="shared" si="272"/>
        <v xml:space="preserve">["TITLE"] = { ["EN"] = "of Vilya"; }; </v>
      </c>
      <c r="BH397" t="str">
        <f t="shared" si="273"/>
        <v/>
      </c>
      <c r="BI397" t="str">
        <f t="shared" si="274"/>
        <v/>
      </c>
      <c r="BJ397" t="str">
        <f t="shared" si="243"/>
        <v>};</v>
      </c>
    </row>
    <row r="398" spans="1:62" x14ac:dyDescent="0.25">
      <c r="A398">
        <v>1879326669</v>
      </c>
      <c r="B398">
        <v>291</v>
      </c>
      <c r="C398" t="s">
        <v>2476</v>
      </c>
      <c r="D398" t="s">
        <v>24</v>
      </c>
      <c r="G398" t="s">
        <v>2324</v>
      </c>
      <c r="M398" t="s">
        <v>2547</v>
      </c>
      <c r="Q398" t="s">
        <v>2579</v>
      </c>
      <c r="R398" t="s">
        <v>2515</v>
      </c>
      <c r="X398" t="str">
        <f t="shared" si="244"/>
        <v>[397] = {["ID"] = 1879326669; }; -- Of Windfola</v>
      </c>
      <c r="Y398" s="1" t="str">
        <f t="shared" si="246"/>
        <v>[397] = {["ID"] = 1879326669; ["SAVE_INDEX"] = 291; ["TYPE"] = 12;                       ["SUBTYPE"] =   0; ["NA"] = 3;                       ["VXP"] =    0; ["LP"] =  0; ["REP"] =     0; ["FACTION"] =  1;                                        ["NAME"] = { ["EN"] = "Of Windfola"; }; ["LORE"] = { ["EN"] = "You have earned the Of Windfola title."; }; ["SUMMARY"] = { ["EN"] = "Exist on Windfola prior to August, 2015"; }; ["TITLE"] = { ["EN"] = "of Windfola"; }; };</v>
      </c>
      <c r="Z398">
        <f t="shared" si="242"/>
        <v>397</v>
      </c>
      <c r="AA398" t="str">
        <f t="shared" si="247"/>
        <v>[397] = {</v>
      </c>
      <c r="AB398" t="str">
        <f t="shared" si="248"/>
        <v xml:space="preserve">["ID"] = 1879326669; </v>
      </c>
      <c r="AC398" t="str">
        <f t="shared" si="249"/>
        <v xml:space="preserve">["ID"] = 1879326669; </v>
      </c>
      <c r="AD398" t="str">
        <f t="shared" si="250"/>
        <v/>
      </c>
      <c r="AE398" t="str">
        <f t="shared" si="251"/>
        <v/>
      </c>
      <c r="AF398" s="1" t="str">
        <f t="shared" si="252"/>
        <v xml:space="preserve">["SAVE_INDEX"] = 291; </v>
      </c>
      <c r="AG398">
        <f>VLOOKUP(D398,Type!A$2:B$16,2,FALSE)</f>
        <v>12</v>
      </c>
      <c r="AH398" t="str">
        <f t="shared" si="253"/>
        <v xml:space="preserve">["TYPE"] = 12; </v>
      </c>
      <c r="AI398" t="str">
        <f t="shared" si="254"/>
        <v xml:space="preserve">                      </v>
      </c>
      <c r="AJ398" t="str">
        <f>IF(AND(F398="Class",NOT(ISBLANK(E398))),VLOOKUP(E398,Class!A$1:B$12,2,FALSE),"")</f>
        <v/>
      </c>
      <c r="AK398" t="str">
        <f>IF(AND(F398="Vocation",NOT(ISBLANK(E398))),VLOOKUP(E398,Vocation!A$1:B$8,2,FALSE),"")</f>
        <v/>
      </c>
      <c r="AL398" t="str">
        <f>IF(AND(F398="Race",NOT(ISBLANK(E398))),VLOOKUP(E398,Race!A$1:B$9,2,),"")</f>
        <v/>
      </c>
      <c r="AM398" t="str">
        <f t="shared" si="255"/>
        <v xml:space="preserve">  0</v>
      </c>
      <c r="AN398" t="str">
        <f t="shared" si="256"/>
        <v xml:space="preserve">["SUBTYPE"] =   0; </v>
      </c>
      <c r="AO398">
        <f>IF(NOT(ISBLANK(G398)),VLOOKUP(G398,Type!D$2:E$6,2,FALSE),"")</f>
        <v>3</v>
      </c>
      <c r="AP398" t="str">
        <f t="shared" si="257"/>
        <v xml:space="preserve">["NA"] = 3; </v>
      </c>
      <c r="AQ398" t="str">
        <f t="shared" si="258"/>
        <v xml:space="preserve">                      </v>
      </c>
      <c r="AR398" t="str">
        <f t="shared" si="259"/>
        <v/>
      </c>
      <c r="AS398" t="str">
        <f t="shared" si="260"/>
        <v>0</v>
      </c>
      <c r="AT398" t="str">
        <f t="shared" si="261"/>
        <v xml:space="preserve">["VXP"] =    0; </v>
      </c>
      <c r="AU398" t="str">
        <f t="shared" si="262"/>
        <v>0</v>
      </c>
      <c r="AV398" t="str">
        <f t="shared" si="263"/>
        <v xml:space="preserve">["LP"] =  0; </v>
      </c>
      <c r="AW398" t="str">
        <f t="shared" si="264"/>
        <v>0</v>
      </c>
      <c r="AX398" t="str">
        <f t="shared" si="265"/>
        <v xml:space="preserve">["REP"] =     0; </v>
      </c>
      <c r="AY398">
        <f>IF(LEN(P398)&gt;0,VLOOKUP(P398,Faction!A$2:B$77,2,FALSE),1)</f>
        <v>1</v>
      </c>
      <c r="AZ398" t="str">
        <f t="shared" si="266"/>
        <v xml:space="preserve">["FACTION"] =  1; </v>
      </c>
      <c r="BA398" t="str">
        <f t="shared" si="245"/>
        <v/>
      </c>
      <c r="BB398" t="str">
        <f t="shared" si="267"/>
        <v xml:space="preserve">                     </v>
      </c>
      <c r="BC398" t="str">
        <f t="shared" si="268"/>
        <v xml:space="preserve">                  </v>
      </c>
      <c r="BD398" t="str">
        <f t="shared" si="269"/>
        <v xml:space="preserve">["NAME"] = { ["EN"] = "Of Windfola"; }; </v>
      </c>
      <c r="BE398" t="str">
        <f t="shared" si="270"/>
        <v xml:space="preserve">["LORE"] = { ["EN"] = "You have earned the Of Windfola title."; }; </v>
      </c>
      <c r="BF398" t="str">
        <f t="shared" si="271"/>
        <v xml:space="preserve">["SUMMARY"] = { ["EN"] = "Exist on Windfola prior to August, 2015"; }; </v>
      </c>
      <c r="BG398" t="str">
        <f t="shared" si="272"/>
        <v xml:space="preserve">["TITLE"] = { ["EN"] = "of Windfola"; }; </v>
      </c>
      <c r="BH398" t="str">
        <f t="shared" si="273"/>
        <v/>
      </c>
      <c r="BI398" t="str">
        <f t="shared" si="274"/>
        <v/>
      </c>
      <c r="BJ398" t="str">
        <f t="shared" si="243"/>
        <v>};</v>
      </c>
    </row>
    <row r="399" spans="1:62" x14ac:dyDescent="0.25">
      <c r="A399">
        <v>1879326670</v>
      </c>
      <c r="B399">
        <v>292</v>
      </c>
      <c r="C399" t="s">
        <v>2477</v>
      </c>
      <c r="D399" t="s">
        <v>24</v>
      </c>
      <c r="G399" t="s">
        <v>2324</v>
      </c>
      <c r="M399" t="s">
        <v>2548</v>
      </c>
      <c r="Q399" t="s">
        <v>2580</v>
      </c>
      <c r="R399" t="s">
        <v>2516</v>
      </c>
      <c r="X399" t="str">
        <f t="shared" si="244"/>
        <v>[398] = {["ID"] = 1879326670; }; -- Of Withywindle</v>
      </c>
      <c r="Y399" s="1" t="str">
        <f t="shared" si="246"/>
        <v>[398] = {["ID"] = 1879326670; ["SAVE_INDEX"] = 292; ["TYPE"] = 12;                       ["SUBTYPE"] =   0; ["NA"] = 3;                       ["VXP"] =    0; ["LP"] =  0; ["REP"] =     0; ["FACTION"] =  1;                                        ["NAME"] = { ["EN"] = "Of Withywindle"; }; ["LORE"] = { ["EN"] = "You have earned the Of Withywindle title."; }; ["SUMMARY"] = { ["EN"] = "Exist on Withywindle prior to August, 2015"; }; ["TITLE"] = { ["EN"] = "of Withywindle"; }; };</v>
      </c>
      <c r="Z399">
        <f t="shared" si="242"/>
        <v>398</v>
      </c>
      <c r="AA399" t="str">
        <f t="shared" si="247"/>
        <v>[398] = {</v>
      </c>
      <c r="AB399" t="str">
        <f t="shared" si="248"/>
        <v xml:space="preserve">["ID"] = 1879326670; </v>
      </c>
      <c r="AC399" t="str">
        <f t="shared" si="249"/>
        <v xml:space="preserve">["ID"] = 1879326670; </v>
      </c>
      <c r="AD399" t="str">
        <f t="shared" si="250"/>
        <v/>
      </c>
      <c r="AE399" t="str">
        <f t="shared" si="251"/>
        <v/>
      </c>
      <c r="AF399" s="1" t="str">
        <f t="shared" si="252"/>
        <v xml:space="preserve">["SAVE_INDEX"] = 292; </v>
      </c>
      <c r="AG399">
        <f>VLOOKUP(D399,Type!A$2:B$16,2,FALSE)</f>
        <v>12</v>
      </c>
      <c r="AH399" t="str">
        <f t="shared" si="253"/>
        <v xml:space="preserve">["TYPE"] = 12; </v>
      </c>
      <c r="AI399" t="str">
        <f t="shared" si="254"/>
        <v xml:space="preserve">                      </v>
      </c>
      <c r="AJ399" t="str">
        <f>IF(AND(F399="Class",NOT(ISBLANK(E399))),VLOOKUP(E399,Class!A$1:B$12,2,FALSE),"")</f>
        <v/>
      </c>
      <c r="AK399" t="str">
        <f>IF(AND(F399="Vocation",NOT(ISBLANK(E399))),VLOOKUP(E399,Vocation!A$1:B$8,2,FALSE),"")</f>
        <v/>
      </c>
      <c r="AL399" t="str">
        <f>IF(AND(F399="Race",NOT(ISBLANK(E399))),VLOOKUP(E399,Race!A$1:B$9,2,),"")</f>
        <v/>
      </c>
      <c r="AM399" t="str">
        <f t="shared" si="255"/>
        <v xml:space="preserve">  0</v>
      </c>
      <c r="AN399" t="str">
        <f t="shared" si="256"/>
        <v xml:space="preserve">["SUBTYPE"] =   0; </v>
      </c>
      <c r="AO399">
        <f>IF(NOT(ISBLANK(G399)),VLOOKUP(G399,Type!D$2:E$6,2,FALSE),"")</f>
        <v>3</v>
      </c>
      <c r="AP399" t="str">
        <f t="shared" si="257"/>
        <v xml:space="preserve">["NA"] = 3; </v>
      </c>
      <c r="AQ399" t="str">
        <f t="shared" si="258"/>
        <v xml:space="preserve">                      </v>
      </c>
      <c r="AR399" t="str">
        <f t="shared" si="259"/>
        <v/>
      </c>
      <c r="AS399" t="str">
        <f t="shared" si="260"/>
        <v>0</v>
      </c>
      <c r="AT399" t="str">
        <f t="shared" si="261"/>
        <v xml:space="preserve">["VXP"] =    0; </v>
      </c>
      <c r="AU399" t="str">
        <f t="shared" si="262"/>
        <v>0</v>
      </c>
      <c r="AV399" t="str">
        <f t="shared" si="263"/>
        <v xml:space="preserve">["LP"] =  0; </v>
      </c>
      <c r="AW399" t="str">
        <f t="shared" si="264"/>
        <v>0</v>
      </c>
      <c r="AX399" t="str">
        <f t="shared" si="265"/>
        <v xml:space="preserve">["REP"] =     0; </v>
      </c>
      <c r="AY399">
        <f>IF(LEN(P399)&gt;0,VLOOKUP(P399,Faction!A$2:B$77,2,FALSE),1)</f>
        <v>1</v>
      </c>
      <c r="AZ399" t="str">
        <f t="shared" si="266"/>
        <v xml:space="preserve">["FACTION"] =  1; </v>
      </c>
      <c r="BA399" t="str">
        <f t="shared" si="245"/>
        <v/>
      </c>
      <c r="BB399" t="str">
        <f t="shared" si="267"/>
        <v xml:space="preserve">                     </v>
      </c>
      <c r="BC399" t="str">
        <f t="shared" si="268"/>
        <v xml:space="preserve">                  </v>
      </c>
      <c r="BD399" t="str">
        <f t="shared" si="269"/>
        <v xml:space="preserve">["NAME"] = { ["EN"] = "Of Withywindle"; }; </v>
      </c>
      <c r="BE399" t="str">
        <f t="shared" si="270"/>
        <v xml:space="preserve">["LORE"] = { ["EN"] = "You have earned the Of Withywindle title."; }; </v>
      </c>
      <c r="BF399" t="str">
        <f t="shared" si="271"/>
        <v xml:space="preserve">["SUMMARY"] = { ["EN"] = "Exist on Withywindle prior to August, 2015"; }; </v>
      </c>
      <c r="BG399" t="str">
        <f t="shared" si="272"/>
        <v xml:space="preserve">["TITLE"] = { ["EN"] = "of Withywindle"; }; </v>
      </c>
      <c r="BH399" t="str">
        <f t="shared" si="273"/>
        <v/>
      </c>
      <c r="BI399" t="str">
        <f t="shared" si="274"/>
        <v/>
      </c>
      <c r="BJ399" t="str">
        <f t="shared" si="243"/>
        <v>};</v>
      </c>
    </row>
    <row r="400" spans="1:62" x14ac:dyDescent="0.25">
      <c r="C400" s="3" t="s">
        <v>2603</v>
      </c>
      <c r="D400" s="2" t="s">
        <v>812</v>
      </c>
      <c r="V400">
        <v>160</v>
      </c>
      <c r="X400" t="str">
        <f t="shared" si="244"/>
        <v>[399] = {["CAT_ID"] = 160; }; -- - Mordor, 2017 -</v>
      </c>
      <c r="Y400" s="1" t="str">
        <f t="shared" si="246"/>
        <v>[399] = {                                           ["TYPE"] = 14;                       ["SUBTYPE"] =   0;                                   ["VXP"] =    0; ["LP"] =  0; ["REP"] =     0; ["FACTION"] =  1;                                        ["NAME"] = { ["EN"] = "- Mordor, 2017 -"; }; };</v>
      </c>
      <c r="Z400">
        <f t="shared" si="242"/>
        <v>399</v>
      </c>
      <c r="AA400" t="str">
        <f t="shared" si="247"/>
        <v>[399] = {</v>
      </c>
      <c r="AB400" t="str">
        <f t="shared" si="248"/>
        <v xml:space="preserve">                     </v>
      </c>
      <c r="AC400" t="str">
        <f t="shared" si="249"/>
        <v/>
      </c>
      <c r="AD400" t="str">
        <f t="shared" si="250"/>
        <v xml:space="preserve">["CAT_ID"] = 160; </v>
      </c>
      <c r="AE400" t="str">
        <f t="shared" si="251"/>
        <v/>
      </c>
      <c r="AF400" s="1" t="str">
        <f t="shared" si="252"/>
        <v xml:space="preserve">                      </v>
      </c>
      <c r="AG400">
        <f>VLOOKUP(D400,Type!A$2:B$16,2,FALSE)</f>
        <v>14</v>
      </c>
      <c r="AH400" t="str">
        <f t="shared" si="253"/>
        <v xml:space="preserve">["TYPE"] = 14; </v>
      </c>
      <c r="AI400" t="str">
        <f t="shared" si="254"/>
        <v xml:space="preserve">                      </v>
      </c>
      <c r="AJ400" t="str">
        <f>IF(AND(F400="Class",NOT(ISBLANK(E400))),VLOOKUP(E400,Class!A$1:B$12,2,FALSE),"")</f>
        <v/>
      </c>
      <c r="AK400" t="str">
        <f>IF(AND(F400="Vocation",NOT(ISBLANK(E400))),VLOOKUP(E400,Vocation!A$1:B$8,2,FALSE),"")</f>
        <v/>
      </c>
      <c r="AL400" t="str">
        <f>IF(AND(F400="Race",NOT(ISBLANK(E400))),VLOOKUP(E400,Race!A$1:B$9,2,),"")</f>
        <v/>
      </c>
      <c r="AM400" t="str">
        <f t="shared" si="255"/>
        <v xml:space="preserve">  0</v>
      </c>
      <c r="AN400" t="str">
        <f t="shared" si="256"/>
        <v xml:space="preserve">["SUBTYPE"] =   0; </v>
      </c>
      <c r="AO400" t="str">
        <f>IF(NOT(ISBLANK(G400)),VLOOKUP(G400,Type!D$2:E$6,2,FALSE),"")</f>
        <v/>
      </c>
      <c r="AP400" t="str">
        <f t="shared" si="257"/>
        <v xml:space="preserve">            </v>
      </c>
      <c r="AQ400" t="str">
        <f t="shared" si="258"/>
        <v xml:space="preserve">                      </v>
      </c>
      <c r="AR400" t="str">
        <f t="shared" si="259"/>
        <v/>
      </c>
      <c r="AS400" t="str">
        <f t="shared" si="260"/>
        <v>0</v>
      </c>
      <c r="AT400" t="str">
        <f t="shared" si="261"/>
        <v xml:space="preserve">["VXP"] =    0; </v>
      </c>
      <c r="AU400" t="str">
        <f t="shared" si="262"/>
        <v>0</v>
      </c>
      <c r="AV400" t="str">
        <f t="shared" si="263"/>
        <v xml:space="preserve">["LP"] =  0; </v>
      </c>
      <c r="AW400" t="str">
        <f t="shared" si="264"/>
        <v>0</v>
      </c>
      <c r="AX400" t="str">
        <f t="shared" si="265"/>
        <v xml:space="preserve">["REP"] =     0; </v>
      </c>
      <c r="AY400">
        <f>IF(LEN(P400)&gt;0,VLOOKUP(P400,Faction!A$2:B$77,2,FALSE),1)</f>
        <v>1</v>
      </c>
      <c r="AZ400" t="str">
        <f t="shared" si="266"/>
        <v xml:space="preserve">["FACTION"] =  1; </v>
      </c>
      <c r="BA400" t="str">
        <f t="shared" si="245"/>
        <v/>
      </c>
      <c r="BB400" t="str">
        <f t="shared" si="267"/>
        <v xml:space="preserve">                     </v>
      </c>
      <c r="BC400" t="str">
        <f t="shared" si="268"/>
        <v xml:space="preserve">                  </v>
      </c>
      <c r="BD400" t="str">
        <f t="shared" si="269"/>
        <v xml:space="preserve">["NAME"] = { ["EN"] = "- Mordor, 2017 -"; }; </v>
      </c>
      <c r="BE400" t="str">
        <f t="shared" si="270"/>
        <v/>
      </c>
      <c r="BF400" t="str">
        <f t="shared" si="271"/>
        <v/>
      </c>
      <c r="BG400" t="str">
        <f t="shared" si="272"/>
        <v/>
      </c>
      <c r="BH400" t="str">
        <f t="shared" si="273"/>
        <v/>
      </c>
      <c r="BI400" t="str">
        <f t="shared" si="274"/>
        <v/>
      </c>
      <c r="BJ400" t="str">
        <f t="shared" si="243"/>
        <v>};</v>
      </c>
    </row>
    <row r="401" spans="1:62" x14ac:dyDescent="0.25">
      <c r="A401">
        <v>1879353104</v>
      </c>
      <c r="B401">
        <v>293</v>
      </c>
      <c r="C401" t="s">
        <v>2604</v>
      </c>
      <c r="D401" t="s">
        <v>24</v>
      </c>
      <c r="G401" t="s">
        <v>2326</v>
      </c>
      <c r="M401" t="s">
        <v>2610</v>
      </c>
      <c r="Q401" t="s">
        <v>2609</v>
      </c>
      <c r="R401" t="s">
        <v>2607</v>
      </c>
      <c r="X401" t="str">
        <f t="shared" si="244"/>
        <v>[400] = {["ID"] = 1879353104; }; -- Mordor Collector</v>
      </c>
      <c r="Y401" s="1" t="str">
        <f t="shared" si="246"/>
        <v>[400]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1">
        <f t="shared" si="242"/>
        <v>400</v>
      </c>
      <c r="AA401" t="str">
        <f t="shared" si="247"/>
        <v>[400] = {</v>
      </c>
      <c r="AB401" t="str">
        <f t="shared" si="248"/>
        <v xml:space="preserve">["ID"] = 1879353104; </v>
      </c>
      <c r="AC401" t="str">
        <f t="shared" si="249"/>
        <v xml:space="preserve">["ID"] = 1879353104; </v>
      </c>
      <c r="AD401" t="str">
        <f t="shared" si="250"/>
        <v/>
      </c>
      <c r="AE401" t="str">
        <f t="shared" si="251"/>
        <v/>
      </c>
      <c r="AF401" s="1" t="str">
        <f t="shared" si="252"/>
        <v xml:space="preserve">["SAVE_INDEX"] = 293; </v>
      </c>
      <c r="AG401">
        <f>VLOOKUP(D401,Type!A$2:B$16,2,FALSE)</f>
        <v>12</v>
      </c>
      <c r="AH401" t="str">
        <f t="shared" si="253"/>
        <v xml:space="preserve">["TYPE"] = 12; </v>
      </c>
      <c r="AI401" t="str">
        <f t="shared" si="254"/>
        <v xml:space="preserve">                      </v>
      </c>
      <c r="AJ401" t="str">
        <f>IF(AND(F401="Class",NOT(ISBLANK(E401))),VLOOKUP(E401,Class!A$1:B$12,2,FALSE),"")</f>
        <v/>
      </c>
      <c r="AK401" t="str">
        <f>IF(AND(F401="Vocation",NOT(ISBLANK(E401))),VLOOKUP(E401,Vocation!A$1:B$8,2,FALSE),"")</f>
        <v/>
      </c>
      <c r="AL401" t="str">
        <f>IF(AND(F401="Race",NOT(ISBLANK(E401))),VLOOKUP(E401,Race!A$1:B$9,2,),"")</f>
        <v/>
      </c>
      <c r="AM401" t="str">
        <f t="shared" si="255"/>
        <v xml:space="preserve">  0</v>
      </c>
      <c r="AN401" t="str">
        <f t="shared" si="256"/>
        <v xml:space="preserve">["SUBTYPE"] =   0; </v>
      </c>
      <c r="AO401">
        <f>IF(NOT(ISBLANK(G401)),VLOOKUP(G401,Type!D$2:E$6,2,FALSE),"")</f>
        <v>5</v>
      </c>
      <c r="AP401" t="str">
        <f t="shared" si="257"/>
        <v xml:space="preserve">["NA"] = 5; </v>
      </c>
      <c r="AQ401" t="str">
        <f t="shared" si="258"/>
        <v xml:space="preserve">                      </v>
      </c>
      <c r="AR401" t="str">
        <f t="shared" si="259"/>
        <v/>
      </c>
      <c r="AS401" t="str">
        <f t="shared" si="260"/>
        <v>0</v>
      </c>
      <c r="AT401" t="str">
        <f t="shared" si="261"/>
        <v xml:space="preserve">["VXP"] =    0; </v>
      </c>
      <c r="AU401" t="str">
        <f t="shared" si="262"/>
        <v>0</v>
      </c>
      <c r="AV401" t="str">
        <f t="shared" si="263"/>
        <v xml:space="preserve">["LP"] =  0; </v>
      </c>
      <c r="AW401" t="str">
        <f t="shared" si="264"/>
        <v>0</v>
      </c>
      <c r="AX401" t="str">
        <f t="shared" si="265"/>
        <v xml:space="preserve">["REP"] =     0; </v>
      </c>
      <c r="AY401">
        <f>IF(LEN(P401)&gt;0,VLOOKUP(P401,Faction!A$2:B$77,2,FALSE),1)</f>
        <v>1</v>
      </c>
      <c r="AZ401" t="str">
        <f t="shared" si="266"/>
        <v xml:space="preserve">["FACTION"] =  1; </v>
      </c>
      <c r="BA401" t="str">
        <f t="shared" si="245"/>
        <v/>
      </c>
      <c r="BB401" t="str">
        <f t="shared" si="267"/>
        <v xml:space="preserve">                     </v>
      </c>
      <c r="BC401" t="str">
        <f t="shared" si="268"/>
        <v xml:space="preserve">                  </v>
      </c>
      <c r="BD401" t="str">
        <f t="shared" si="269"/>
        <v xml:space="preserve">["NAME"] = { ["EN"] = "Mordor Collector"; }; </v>
      </c>
      <c r="BE401" t="str">
        <f t="shared" si="270"/>
        <v xml:space="preserve">["LORE"] = { ["EN"] = "You have earned the Mordor Collector title."; }; </v>
      </c>
      <c r="BF401" t="str">
        <f t="shared" si="271"/>
        <v xml:space="preserve">["SUMMARY"] = { ["EN"] = "A reward for ordering the Ultimate Fan Bundle or the Collector's Edition for the Mordor expansion."; }; </v>
      </c>
      <c r="BG401" t="str">
        <f t="shared" si="272"/>
        <v xml:space="preserve">["TITLE"] = { ["EN"] = "Walked Into Mordor"; }; </v>
      </c>
      <c r="BH401" t="str">
        <f t="shared" si="273"/>
        <v/>
      </c>
      <c r="BI401" t="str">
        <f t="shared" si="274"/>
        <v/>
      </c>
      <c r="BJ401" t="str">
        <f t="shared" si="243"/>
        <v>};</v>
      </c>
    </row>
    <row r="402" spans="1:62" x14ac:dyDescent="0.25">
      <c r="A402">
        <v>1879353101</v>
      </c>
      <c r="B402">
        <v>294</v>
      </c>
      <c r="C402" t="s">
        <v>2605</v>
      </c>
      <c r="D402" t="s">
        <v>24</v>
      </c>
      <c r="G402" t="s">
        <v>2326</v>
      </c>
      <c r="M402" t="s">
        <v>2611</v>
      </c>
      <c r="Q402" t="s">
        <v>2608</v>
      </c>
      <c r="R402" t="s">
        <v>2606</v>
      </c>
      <c r="X402" t="str">
        <f t="shared" si="244"/>
        <v>[401] = {["ID"] = 1879353101; }; -- Mordor Ultimate Fan</v>
      </c>
      <c r="Y402" s="1" t="str">
        <f t="shared" si="246"/>
        <v>[401]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2">
        <f t="shared" si="242"/>
        <v>401</v>
      </c>
      <c r="AA402" t="str">
        <f t="shared" si="247"/>
        <v>[401] = {</v>
      </c>
      <c r="AB402" t="str">
        <f t="shared" si="248"/>
        <v xml:space="preserve">["ID"] = 1879353101; </v>
      </c>
      <c r="AC402" t="str">
        <f t="shared" si="249"/>
        <v xml:space="preserve">["ID"] = 1879353101; </v>
      </c>
      <c r="AD402" t="str">
        <f t="shared" si="250"/>
        <v/>
      </c>
      <c r="AE402" t="str">
        <f t="shared" si="251"/>
        <v/>
      </c>
      <c r="AF402" s="1" t="str">
        <f t="shared" si="252"/>
        <v xml:space="preserve">["SAVE_INDEX"] = 294; </v>
      </c>
      <c r="AG402">
        <f>VLOOKUP(D402,Type!A$2:B$16,2,FALSE)</f>
        <v>12</v>
      </c>
      <c r="AH402" t="str">
        <f t="shared" si="253"/>
        <v xml:space="preserve">["TYPE"] = 12; </v>
      </c>
      <c r="AI402" t="str">
        <f t="shared" si="254"/>
        <v xml:space="preserve">                      </v>
      </c>
      <c r="AJ402" t="str">
        <f>IF(AND(F402="Class",NOT(ISBLANK(E402))),VLOOKUP(E402,Class!A$1:B$12,2,FALSE),"")</f>
        <v/>
      </c>
      <c r="AK402" t="str">
        <f>IF(AND(F402="Vocation",NOT(ISBLANK(E402))),VLOOKUP(E402,Vocation!A$1:B$8,2,FALSE),"")</f>
        <v/>
      </c>
      <c r="AL402" t="str">
        <f>IF(AND(F402="Race",NOT(ISBLANK(E402))),VLOOKUP(E402,Race!A$1:B$9,2,),"")</f>
        <v/>
      </c>
      <c r="AM402" t="str">
        <f t="shared" si="255"/>
        <v xml:space="preserve">  0</v>
      </c>
      <c r="AN402" t="str">
        <f t="shared" si="256"/>
        <v xml:space="preserve">["SUBTYPE"] =   0; </v>
      </c>
      <c r="AO402">
        <f>IF(NOT(ISBLANK(G402)),VLOOKUP(G402,Type!D$2:E$6,2,FALSE),"")</f>
        <v>5</v>
      </c>
      <c r="AP402" t="str">
        <f t="shared" si="257"/>
        <v xml:space="preserve">["NA"] = 5; </v>
      </c>
      <c r="AQ402" t="str">
        <f t="shared" si="258"/>
        <v xml:space="preserve">                      </v>
      </c>
      <c r="AR402" t="str">
        <f t="shared" si="259"/>
        <v/>
      </c>
      <c r="AS402" t="str">
        <f t="shared" si="260"/>
        <v>0</v>
      </c>
      <c r="AT402" t="str">
        <f t="shared" si="261"/>
        <v xml:space="preserve">["VXP"] =    0; </v>
      </c>
      <c r="AU402" t="str">
        <f t="shared" si="262"/>
        <v>0</v>
      </c>
      <c r="AV402" t="str">
        <f t="shared" si="263"/>
        <v xml:space="preserve">["LP"] =  0; </v>
      </c>
      <c r="AW402" t="str">
        <f t="shared" si="264"/>
        <v>0</v>
      </c>
      <c r="AX402" t="str">
        <f t="shared" si="265"/>
        <v xml:space="preserve">["REP"] =     0; </v>
      </c>
      <c r="AY402">
        <f>IF(LEN(P402)&gt;0,VLOOKUP(P402,Faction!A$2:B$77,2,FALSE),1)</f>
        <v>1</v>
      </c>
      <c r="AZ402" t="str">
        <f t="shared" si="266"/>
        <v xml:space="preserve">["FACTION"] =  1; </v>
      </c>
      <c r="BA402" t="str">
        <f t="shared" si="245"/>
        <v/>
      </c>
      <c r="BB402" t="str">
        <f t="shared" si="267"/>
        <v xml:space="preserve">                     </v>
      </c>
      <c r="BC402" t="str">
        <f t="shared" si="268"/>
        <v xml:space="preserve">                  </v>
      </c>
      <c r="BD402" t="str">
        <f t="shared" si="269"/>
        <v xml:space="preserve">["NAME"] = { ["EN"] = "Mordor Ultimate Fan"; }; </v>
      </c>
      <c r="BE402" t="str">
        <f t="shared" si="270"/>
        <v xml:space="preserve">["LORE"] = { ["EN"] = "You have earned the Mordor Ultimate Fan title."; }; </v>
      </c>
      <c r="BF402" t="str">
        <f t="shared" si="271"/>
        <v xml:space="preserve">["SUMMARY"] = { ["EN"] = "A reward for ordering the Ultimate Fan Bundle for the Mordor expansion"; }; </v>
      </c>
      <c r="BG402" t="str">
        <f t="shared" si="272"/>
        <v xml:space="preserve">["TITLE"] = { ["EN"] = "the Ultimate"; }; </v>
      </c>
      <c r="BH402" t="str">
        <f t="shared" si="273"/>
        <v/>
      </c>
      <c r="BI402" t="str">
        <f t="shared" si="274"/>
        <v/>
      </c>
      <c r="BJ402" t="str">
        <f t="shared" si="243"/>
        <v>};</v>
      </c>
    </row>
    <row r="403" spans="1:62" x14ac:dyDescent="0.25">
      <c r="C403" s="3" t="s">
        <v>2896</v>
      </c>
      <c r="D403" s="2" t="s">
        <v>812</v>
      </c>
      <c r="V403">
        <v>161</v>
      </c>
      <c r="X403" t="str">
        <f t="shared" si="244"/>
        <v>[402] = {["CAT_ID"] = 161; }; -- - Collections -</v>
      </c>
      <c r="Y403" s="1" t="str">
        <f t="shared" si="246"/>
        <v>[402] = {                                           ["TYPE"] = 14;                       ["SUBTYPE"] =   0;                                   ["VXP"] =    0; ["LP"] =  0; ["REP"] =     0; ["FACTION"] =  1;                                        ["NAME"] = { ["EN"] = "- Collections -"; }; };</v>
      </c>
      <c r="Z403">
        <f t="shared" si="242"/>
        <v>402</v>
      </c>
      <c r="AA403" t="str">
        <f t="shared" si="247"/>
        <v>[402] = {</v>
      </c>
      <c r="AB403" t="str">
        <f t="shared" si="248"/>
        <v xml:space="preserve">                     </v>
      </c>
      <c r="AC403" t="str">
        <f t="shared" si="249"/>
        <v/>
      </c>
      <c r="AD403" t="str">
        <f t="shared" si="250"/>
        <v xml:space="preserve">["CAT_ID"] = 161; </v>
      </c>
      <c r="AE403" t="str">
        <f t="shared" si="251"/>
        <v/>
      </c>
      <c r="AF403" s="1" t="str">
        <f t="shared" si="252"/>
        <v xml:space="preserve">                      </v>
      </c>
      <c r="AG403">
        <f>VLOOKUP(D403,Type!A$2:B$16,2,FALSE)</f>
        <v>14</v>
      </c>
      <c r="AH403" t="str">
        <f t="shared" si="253"/>
        <v xml:space="preserve">["TYPE"] = 14; </v>
      </c>
      <c r="AI403" t="str">
        <f t="shared" si="254"/>
        <v xml:space="preserve">                      </v>
      </c>
      <c r="AJ403" t="str">
        <f>IF(AND(F403="Class",NOT(ISBLANK(E403))),VLOOKUP(E403,Class!A$1:B$12,2,FALSE),"")</f>
        <v/>
      </c>
      <c r="AK403" t="str">
        <f>IF(AND(F403="Vocation",NOT(ISBLANK(E403))),VLOOKUP(E403,Vocation!A$1:B$8,2,FALSE),"")</f>
        <v/>
      </c>
      <c r="AL403" t="str">
        <f>IF(AND(F403="Race",NOT(ISBLANK(E403))),VLOOKUP(E403,Race!A$1:B$9,2,),"")</f>
        <v/>
      </c>
      <c r="AM403" t="str">
        <f t="shared" si="255"/>
        <v xml:space="preserve">  0</v>
      </c>
      <c r="AN403" t="str">
        <f t="shared" si="256"/>
        <v xml:space="preserve">["SUBTYPE"] =   0; </v>
      </c>
      <c r="AO403" t="str">
        <f>IF(NOT(ISBLANK(G403)),VLOOKUP(G403,Type!D$2:E$6,2,FALSE),"")</f>
        <v/>
      </c>
      <c r="AP403" t="str">
        <f t="shared" si="257"/>
        <v xml:space="preserve">            </v>
      </c>
      <c r="AQ403" t="str">
        <f t="shared" si="258"/>
        <v xml:space="preserve">                      </v>
      </c>
      <c r="AR403" t="str">
        <f t="shared" si="259"/>
        <v/>
      </c>
      <c r="AS403" t="str">
        <f t="shared" si="260"/>
        <v>0</v>
      </c>
      <c r="AT403" t="str">
        <f t="shared" si="261"/>
        <v xml:space="preserve">["VXP"] =    0; </v>
      </c>
      <c r="AU403" t="str">
        <f t="shared" si="262"/>
        <v>0</v>
      </c>
      <c r="AV403" t="str">
        <f t="shared" si="263"/>
        <v xml:space="preserve">["LP"] =  0; </v>
      </c>
      <c r="AW403" t="str">
        <f t="shared" si="264"/>
        <v>0</v>
      </c>
      <c r="AX403" t="str">
        <f t="shared" si="265"/>
        <v xml:space="preserve">["REP"] =     0; </v>
      </c>
      <c r="AY403">
        <f>IF(LEN(P403)&gt;0,VLOOKUP(P403,Faction!A$2:B$77,2,FALSE),1)</f>
        <v>1</v>
      </c>
      <c r="AZ403" t="str">
        <f t="shared" si="266"/>
        <v xml:space="preserve">["FACTION"] =  1; </v>
      </c>
      <c r="BA403" t="str">
        <f t="shared" si="245"/>
        <v/>
      </c>
      <c r="BB403" t="str">
        <f t="shared" si="267"/>
        <v xml:space="preserve">                     </v>
      </c>
      <c r="BC403" t="str">
        <f t="shared" si="268"/>
        <v xml:space="preserve">                  </v>
      </c>
      <c r="BD403" t="str">
        <f t="shared" si="269"/>
        <v xml:space="preserve">["NAME"] = { ["EN"] = "- Collections -"; }; </v>
      </c>
      <c r="BE403" t="str">
        <f t="shared" si="270"/>
        <v/>
      </c>
      <c r="BF403" t="str">
        <f t="shared" si="271"/>
        <v/>
      </c>
      <c r="BG403" t="str">
        <f t="shared" si="272"/>
        <v/>
      </c>
      <c r="BH403" t="str">
        <f t="shared" si="273"/>
        <v/>
      </c>
      <c r="BI403" t="str">
        <f t="shared" si="274"/>
        <v/>
      </c>
      <c r="BJ403" t="str">
        <f t="shared" si="243"/>
        <v>};</v>
      </c>
    </row>
    <row r="404" spans="1:62" x14ac:dyDescent="0.25">
      <c r="A404">
        <v>1879361989</v>
      </c>
      <c r="B404">
        <v>245</v>
      </c>
      <c r="C404" t="s">
        <v>2616</v>
      </c>
      <c r="D404" t="s">
        <v>30</v>
      </c>
      <c r="G404" t="s">
        <v>2326</v>
      </c>
      <c r="J404" t="s">
        <v>3525</v>
      </c>
      <c r="M404" t="s">
        <v>2621</v>
      </c>
      <c r="Q404" s="4" t="s">
        <v>2623</v>
      </c>
      <c r="R404" t="s">
        <v>2622</v>
      </c>
      <c r="S404">
        <v>0</v>
      </c>
      <c r="X404" t="str">
        <f t="shared" si="244"/>
        <v>[403] = {["ID"] = 1879361989; }; -- 2013 Festival Steeds (large)</v>
      </c>
      <c r="Y404" s="1" t="str">
        <f t="shared" si="246"/>
        <v>[403]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4">
        <f t="shared" ref="Z404:Z428" si="275">ROW()-1</f>
        <v>403</v>
      </c>
      <c r="AA404" t="str">
        <f t="shared" si="247"/>
        <v>[403] = {</v>
      </c>
      <c r="AB404" t="str">
        <f t="shared" si="248"/>
        <v xml:space="preserve">["ID"] = 1879361989; </v>
      </c>
      <c r="AC404" t="str">
        <f t="shared" si="249"/>
        <v xml:space="preserve">["ID"] = 1879361989; </v>
      </c>
      <c r="AD404" t="str">
        <f t="shared" si="250"/>
        <v/>
      </c>
      <c r="AE404" t="str">
        <f t="shared" si="251"/>
        <v xml:space="preserve"> (large)</v>
      </c>
      <c r="AF404" s="1" t="str">
        <f t="shared" si="252"/>
        <v xml:space="preserve">["SAVE_INDEX"] = 245; </v>
      </c>
      <c r="AG404">
        <f>VLOOKUP(D404,Type!A$2:B$16,2,FALSE)</f>
        <v>7</v>
      </c>
      <c r="AH404" t="str">
        <f t="shared" si="253"/>
        <v xml:space="preserve">["TYPE"] =  7; </v>
      </c>
      <c r="AI404" t="str">
        <f t="shared" si="254"/>
        <v xml:space="preserve">                      </v>
      </c>
      <c r="AJ404" t="str">
        <f>IF(AND(F404="Class",NOT(ISBLANK(E404))),VLOOKUP(E404,Class!A$1:B$12,2,FALSE),"")</f>
        <v/>
      </c>
      <c r="AK404" t="str">
        <f>IF(AND(F404="Vocation",NOT(ISBLANK(E404))),VLOOKUP(E404,Vocation!A$1:B$8,2,FALSE),"")</f>
        <v/>
      </c>
      <c r="AL404" t="str">
        <f>IF(AND(F404="Race",NOT(ISBLANK(E404))),VLOOKUP(E404,Race!A$1:B$9,2,),"")</f>
        <v/>
      </c>
      <c r="AM404" t="str">
        <f t="shared" si="255"/>
        <v xml:space="preserve">  0</v>
      </c>
      <c r="AN404" t="str">
        <f t="shared" si="256"/>
        <v xml:space="preserve">["SUBTYPE"] =   0; </v>
      </c>
      <c r="AO404">
        <f>IF(NOT(ISBLANK(G404)),VLOOKUP(G404,Type!D$2:E$6,2,FALSE),"")</f>
        <v>5</v>
      </c>
      <c r="AP404" t="str">
        <f t="shared" si="257"/>
        <v xml:space="preserve">["NA"] = 5; </v>
      </c>
      <c r="AQ404" t="str">
        <f t="shared" si="258"/>
        <v xml:space="preserve">                      </v>
      </c>
      <c r="AR404" t="str">
        <f t="shared" si="259"/>
        <v xml:space="preserve">["MOUNT"] = "large"; </v>
      </c>
      <c r="AS404" t="str">
        <f t="shared" si="260"/>
        <v>0</v>
      </c>
      <c r="AT404" t="str">
        <f t="shared" si="261"/>
        <v xml:space="preserve">["VXP"] =    0; </v>
      </c>
      <c r="AU404" t="str">
        <f t="shared" si="262"/>
        <v>0</v>
      </c>
      <c r="AV404" t="str">
        <f t="shared" si="263"/>
        <v xml:space="preserve">["LP"] =  0; </v>
      </c>
      <c r="AW404" t="str">
        <f t="shared" si="264"/>
        <v>0</v>
      </c>
      <c r="AX404" t="str">
        <f t="shared" si="265"/>
        <v xml:space="preserve">["REP"] =     0; </v>
      </c>
      <c r="AY404">
        <f>IF(LEN(P404)&gt;0,VLOOKUP(P404,Faction!A$2:B$77,2,FALSE),1)</f>
        <v>1</v>
      </c>
      <c r="AZ404" t="str">
        <f t="shared" si="266"/>
        <v xml:space="preserve">["FACTION"] =  1; </v>
      </c>
      <c r="BA404" t="str">
        <f t="shared" si="245"/>
        <v/>
      </c>
      <c r="BB404" t="str">
        <f t="shared" si="267"/>
        <v xml:space="preserve">                     </v>
      </c>
      <c r="BC404" t="str">
        <f t="shared" si="268"/>
        <v xml:space="preserve">                  </v>
      </c>
      <c r="BD404" t="str">
        <f t="shared" si="269"/>
        <v xml:space="preserve">["NAME"] = { ["EN"] = "2013 Festival Steeds"; }; </v>
      </c>
      <c r="BE404" t="str">
        <f t="shared" si="270"/>
        <v xml:space="preserve">["LORE"] = { ["EN"] = "You have completed your collection of 2013 festival steeds."; }; </v>
      </c>
      <c r="BF404" t="str">
        <f t="shared" si="271"/>
        <v xml:space="preserve">["SUMMARY"] = { ["EN"] = "Mount 6 steeds from 2013"; }; </v>
      </c>
      <c r="BG404" t="str">
        <f t="shared" si="272"/>
        <v xml:space="preserve">["TITLE"] = { ["EN"] = "the Joyful Rider"; }; </v>
      </c>
      <c r="BH404" t="str">
        <f t="shared" si="273"/>
        <v/>
      </c>
      <c r="BI404" t="str">
        <f t="shared" si="274"/>
        <v/>
      </c>
      <c r="BJ404" t="str">
        <f t="shared" ref="BJ404:BJ428" si="276">CONCATENATE("};")</f>
        <v>};</v>
      </c>
    </row>
    <row r="405" spans="1:62" x14ac:dyDescent="0.25">
      <c r="A405">
        <v>1879363520</v>
      </c>
      <c r="B405">
        <v>360</v>
      </c>
      <c r="C405" t="s">
        <v>2616</v>
      </c>
      <c r="D405" t="s">
        <v>30</v>
      </c>
      <c r="G405" t="s">
        <v>2326</v>
      </c>
      <c r="J405" t="s">
        <v>3526</v>
      </c>
      <c r="M405" t="s">
        <v>2621</v>
      </c>
      <c r="Q405" s="4" t="s">
        <v>2623</v>
      </c>
      <c r="R405" t="s">
        <v>2622</v>
      </c>
      <c r="S405">
        <v>0</v>
      </c>
      <c r="X405" t="str">
        <f t="shared" si="244"/>
        <v>[404] = {["ID"] = 1879363520; }; -- 2013 Festival Steeds (small)</v>
      </c>
      <c r="Y405" s="1" t="str">
        <f t="shared" si="246"/>
        <v>[404]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5">
        <f t="shared" si="275"/>
        <v>404</v>
      </c>
      <c r="AA405" t="str">
        <f t="shared" si="247"/>
        <v>[404] = {</v>
      </c>
      <c r="AB405" t="str">
        <f t="shared" si="248"/>
        <v xml:space="preserve">["ID"] = 1879363520; </v>
      </c>
      <c r="AC405" t="str">
        <f t="shared" si="249"/>
        <v xml:space="preserve">["ID"] = 1879363520; </v>
      </c>
      <c r="AD405" t="str">
        <f t="shared" si="250"/>
        <v/>
      </c>
      <c r="AE405" t="str">
        <f t="shared" si="251"/>
        <v xml:space="preserve"> (small)</v>
      </c>
      <c r="AF405" s="1" t="str">
        <f t="shared" si="252"/>
        <v xml:space="preserve">["SAVE_INDEX"] = 360; </v>
      </c>
      <c r="AG405">
        <f>VLOOKUP(D405,Type!A$2:B$16,2,FALSE)</f>
        <v>7</v>
      </c>
      <c r="AH405" t="str">
        <f t="shared" si="253"/>
        <v xml:space="preserve">["TYPE"] =  7; </v>
      </c>
      <c r="AI405" t="str">
        <f t="shared" si="254"/>
        <v xml:space="preserve">                      </v>
      </c>
      <c r="AJ405" t="str">
        <f>IF(AND(F405="Class",NOT(ISBLANK(E405))),VLOOKUP(E405,Class!A$1:B$12,2,FALSE),"")</f>
        <v/>
      </c>
      <c r="AK405" t="str">
        <f>IF(AND(F405="Vocation",NOT(ISBLANK(E405))),VLOOKUP(E405,Vocation!A$1:B$8,2,FALSE),"")</f>
        <v/>
      </c>
      <c r="AL405" t="str">
        <f>IF(AND(F405="Race",NOT(ISBLANK(E405))),VLOOKUP(E405,Race!A$1:B$9,2,),"")</f>
        <v/>
      </c>
      <c r="AM405" t="str">
        <f t="shared" si="255"/>
        <v xml:space="preserve">  0</v>
      </c>
      <c r="AN405" t="str">
        <f t="shared" si="256"/>
        <v xml:space="preserve">["SUBTYPE"] =   0; </v>
      </c>
      <c r="AO405">
        <f>IF(NOT(ISBLANK(G405)),VLOOKUP(G405,Type!D$2:E$6,2,FALSE),"")</f>
        <v>5</v>
      </c>
      <c r="AP405" t="str">
        <f t="shared" si="257"/>
        <v xml:space="preserve">["NA"] = 5; </v>
      </c>
      <c r="AQ405" t="str">
        <f t="shared" si="258"/>
        <v xml:space="preserve">                      </v>
      </c>
      <c r="AR405" t="str">
        <f t="shared" si="259"/>
        <v xml:space="preserve">["MOUNT"] = "small"; </v>
      </c>
      <c r="AS405" t="str">
        <f t="shared" si="260"/>
        <v>0</v>
      </c>
      <c r="AT405" t="str">
        <f t="shared" si="261"/>
        <v xml:space="preserve">["VXP"] =    0; </v>
      </c>
      <c r="AU405" t="str">
        <f t="shared" si="262"/>
        <v>0</v>
      </c>
      <c r="AV405" t="str">
        <f t="shared" si="263"/>
        <v xml:space="preserve">["LP"] =  0; </v>
      </c>
      <c r="AW405" t="str">
        <f t="shared" si="264"/>
        <v>0</v>
      </c>
      <c r="AX405" t="str">
        <f t="shared" si="265"/>
        <v xml:space="preserve">["REP"] =     0; </v>
      </c>
      <c r="AY405">
        <f>IF(LEN(P405)&gt;0,VLOOKUP(P405,Faction!A$2:B$77,2,FALSE),1)</f>
        <v>1</v>
      </c>
      <c r="AZ405" t="str">
        <f t="shared" si="266"/>
        <v xml:space="preserve">["FACTION"] =  1; </v>
      </c>
      <c r="BA405" t="str">
        <f t="shared" si="245"/>
        <v/>
      </c>
      <c r="BB405" t="str">
        <f t="shared" si="267"/>
        <v xml:space="preserve">                     </v>
      </c>
      <c r="BC405" t="str">
        <f t="shared" si="268"/>
        <v xml:space="preserve">                  </v>
      </c>
      <c r="BD405" t="str">
        <f t="shared" si="269"/>
        <v xml:space="preserve">["NAME"] = { ["EN"] = "2013 Festival Steeds"; }; </v>
      </c>
      <c r="BE405" t="str">
        <f t="shared" si="270"/>
        <v xml:space="preserve">["LORE"] = { ["EN"] = "You have completed your collection of 2013 festival steeds."; }; </v>
      </c>
      <c r="BF405" t="str">
        <f t="shared" si="271"/>
        <v xml:space="preserve">["SUMMARY"] = { ["EN"] = "Mount 6 steeds from 2013"; }; </v>
      </c>
      <c r="BG405" t="str">
        <f t="shared" si="272"/>
        <v xml:space="preserve">["TITLE"] = { ["EN"] = "the Joyful Rider"; }; </v>
      </c>
      <c r="BH405" t="str">
        <f t="shared" si="273"/>
        <v/>
      </c>
      <c r="BI405" t="str">
        <f t="shared" si="274"/>
        <v/>
      </c>
      <c r="BJ405" t="str">
        <f t="shared" si="276"/>
        <v>};</v>
      </c>
    </row>
    <row r="406" spans="1:62" x14ac:dyDescent="0.25">
      <c r="A406">
        <v>1879361993</v>
      </c>
      <c r="B406">
        <v>246</v>
      </c>
      <c r="C406" t="s">
        <v>2617</v>
      </c>
      <c r="D406" t="s">
        <v>30</v>
      </c>
      <c r="G406" t="s">
        <v>2326</v>
      </c>
      <c r="J406" t="s">
        <v>3525</v>
      </c>
      <c r="M406" t="s">
        <v>2624</v>
      </c>
      <c r="Q406" s="4" t="s">
        <v>2629</v>
      </c>
      <c r="R406" t="s">
        <v>2625</v>
      </c>
      <c r="S406">
        <v>0</v>
      </c>
      <c r="X406" t="str">
        <f t="shared" si="244"/>
        <v>[405] = {["ID"] = 1879361993; }; -- 2014 Festival Steeds (large)</v>
      </c>
      <c r="Y406" s="1" t="str">
        <f t="shared" si="246"/>
        <v>[405]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6">
        <f t="shared" si="275"/>
        <v>405</v>
      </c>
      <c r="AA406" t="str">
        <f t="shared" si="247"/>
        <v>[405] = {</v>
      </c>
      <c r="AB406" t="str">
        <f t="shared" si="248"/>
        <v xml:space="preserve">["ID"] = 1879361993; </v>
      </c>
      <c r="AC406" t="str">
        <f t="shared" si="249"/>
        <v xml:space="preserve">["ID"] = 1879361993; </v>
      </c>
      <c r="AD406" t="str">
        <f t="shared" si="250"/>
        <v/>
      </c>
      <c r="AE406" t="str">
        <f t="shared" si="251"/>
        <v xml:space="preserve"> (large)</v>
      </c>
      <c r="AF406" s="1" t="str">
        <f t="shared" si="252"/>
        <v xml:space="preserve">["SAVE_INDEX"] = 246; </v>
      </c>
      <c r="AG406">
        <f>VLOOKUP(D406,Type!A$2:B$16,2,FALSE)</f>
        <v>7</v>
      </c>
      <c r="AH406" t="str">
        <f t="shared" si="253"/>
        <v xml:space="preserve">["TYPE"] =  7; </v>
      </c>
      <c r="AI406" t="str">
        <f t="shared" si="254"/>
        <v xml:space="preserve">                      </v>
      </c>
      <c r="AJ406" t="str">
        <f>IF(AND(F406="Class",NOT(ISBLANK(E406))),VLOOKUP(E406,Class!A$1:B$12,2,FALSE),"")</f>
        <v/>
      </c>
      <c r="AK406" t="str">
        <f>IF(AND(F406="Vocation",NOT(ISBLANK(E406))),VLOOKUP(E406,Vocation!A$1:B$8,2,FALSE),"")</f>
        <v/>
      </c>
      <c r="AL406" t="str">
        <f>IF(AND(F406="Race",NOT(ISBLANK(E406))),VLOOKUP(E406,Race!A$1:B$9,2,),"")</f>
        <v/>
      </c>
      <c r="AM406" t="str">
        <f t="shared" si="255"/>
        <v xml:space="preserve">  0</v>
      </c>
      <c r="AN406" t="str">
        <f t="shared" si="256"/>
        <v xml:space="preserve">["SUBTYPE"] =   0; </v>
      </c>
      <c r="AO406">
        <f>IF(NOT(ISBLANK(G406)),VLOOKUP(G406,Type!D$2:E$6,2,FALSE),"")</f>
        <v>5</v>
      </c>
      <c r="AP406" t="str">
        <f t="shared" si="257"/>
        <v xml:space="preserve">["NA"] = 5; </v>
      </c>
      <c r="AQ406" t="str">
        <f t="shared" si="258"/>
        <v xml:space="preserve">                      </v>
      </c>
      <c r="AR406" t="str">
        <f t="shared" si="259"/>
        <v xml:space="preserve">["MOUNT"] = "large"; </v>
      </c>
      <c r="AS406" t="str">
        <f t="shared" si="260"/>
        <v>0</v>
      </c>
      <c r="AT406" t="str">
        <f t="shared" si="261"/>
        <v xml:space="preserve">["VXP"] =    0; </v>
      </c>
      <c r="AU406" t="str">
        <f t="shared" si="262"/>
        <v>0</v>
      </c>
      <c r="AV406" t="str">
        <f t="shared" si="263"/>
        <v xml:space="preserve">["LP"] =  0; </v>
      </c>
      <c r="AW406" t="str">
        <f t="shared" si="264"/>
        <v>0</v>
      </c>
      <c r="AX406" t="str">
        <f t="shared" si="265"/>
        <v xml:space="preserve">["REP"] =     0; </v>
      </c>
      <c r="AY406">
        <f>IF(LEN(P406)&gt;0,VLOOKUP(P406,Faction!A$2:B$77,2,FALSE),1)</f>
        <v>1</v>
      </c>
      <c r="AZ406" t="str">
        <f t="shared" si="266"/>
        <v xml:space="preserve">["FACTION"] =  1; </v>
      </c>
      <c r="BA406" t="str">
        <f t="shared" si="245"/>
        <v/>
      </c>
      <c r="BB406" t="str">
        <f t="shared" si="267"/>
        <v xml:space="preserve">                     </v>
      </c>
      <c r="BC406" t="str">
        <f t="shared" si="268"/>
        <v xml:space="preserve">                  </v>
      </c>
      <c r="BD406" t="str">
        <f t="shared" si="269"/>
        <v xml:space="preserve">["NAME"] = { ["EN"] = "2014 Festival Steeds"; }; </v>
      </c>
      <c r="BE406" t="str">
        <f t="shared" si="270"/>
        <v xml:space="preserve">["LORE"] = { ["EN"] = "You have completed your collection of 2014 festival steeds."; }; </v>
      </c>
      <c r="BF406" t="str">
        <f t="shared" si="271"/>
        <v xml:space="preserve">["SUMMARY"] = { ["EN"] = "Mount 6 steeds from 2014"; }; </v>
      </c>
      <c r="BG406" t="str">
        <f t="shared" si="272"/>
        <v xml:space="preserve">["TITLE"] = { ["EN"] = "the Revelling Rider"; }; </v>
      </c>
      <c r="BH406" t="str">
        <f t="shared" si="273"/>
        <v/>
      </c>
      <c r="BI406" t="str">
        <f t="shared" si="274"/>
        <v/>
      </c>
      <c r="BJ406" t="str">
        <f t="shared" si="276"/>
        <v>};</v>
      </c>
    </row>
    <row r="407" spans="1:62" x14ac:dyDescent="0.25">
      <c r="A407">
        <v>1879363518</v>
      </c>
      <c r="B407">
        <v>361</v>
      </c>
      <c r="C407" t="s">
        <v>2617</v>
      </c>
      <c r="D407" t="s">
        <v>30</v>
      </c>
      <c r="G407" t="s">
        <v>2326</v>
      </c>
      <c r="J407" t="s">
        <v>3526</v>
      </c>
      <c r="M407" t="s">
        <v>2624</v>
      </c>
      <c r="Q407" s="4" t="s">
        <v>2629</v>
      </c>
      <c r="R407" t="s">
        <v>2625</v>
      </c>
      <c r="S407">
        <v>0</v>
      </c>
      <c r="X407" t="str">
        <f t="shared" si="244"/>
        <v>[406] = {["ID"] = 1879363518; }; -- 2014 Festival Steeds (small)</v>
      </c>
      <c r="Y407" s="1" t="str">
        <f t="shared" si="246"/>
        <v>[406]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7">
        <f t="shared" si="275"/>
        <v>406</v>
      </c>
      <c r="AA407" t="str">
        <f t="shared" si="247"/>
        <v>[406] = {</v>
      </c>
      <c r="AB407" t="str">
        <f t="shared" si="248"/>
        <v xml:space="preserve">["ID"] = 1879363518; </v>
      </c>
      <c r="AC407" t="str">
        <f t="shared" si="249"/>
        <v xml:space="preserve">["ID"] = 1879363518; </v>
      </c>
      <c r="AD407" t="str">
        <f t="shared" si="250"/>
        <v/>
      </c>
      <c r="AE407" t="str">
        <f t="shared" si="251"/>
        <v xml:space="preserve"> (small)</v>
      </c>
      <c r="AF407" s="1" t="str">
        <f t="shared" si="252"/>
        <v xml:space="preserve">["SAVE_INDEX"] = 361; </v>
      </c>
      <c r="AG407">
        <f>VLOOKUP(D407,Type!A$2:B$16,2,FALSE)</f>
        <v>7</v>
      </c>
      <c r="AH407" t="str">
        <f t="shared" si="253"/>
        <v xml:space="preserve">["TYPE"] =  7; </v>
      </c>
      <c r="AI407" t="str">
        <f t="shared" si="254"/>
        <v xml:space="preserve">                      </v>
      </c>
      <c r="AJ407" t="str">
        <f>IF(AND(F407="Class",NOT(ISBLANK(E407))),VLOOKUP(E407,Class!A$1:B$12,2,FALSE),"")</f>
        <v/>
      </c>
      <c r="AK407" t="str">
        <f>IF(AND(F407="Vocation",NOT(ISBLANK(E407))),VLOOKUP(E407,Vocation!A$1:B$8,2,FALSE),"")</f>
        <v/>
      </c>
      <c r="AL407" t="str">
        <f>IF(AND(F407="Race",NOT(ISBLANK(E407))),VLOOKUP(E407,Race!A$1:B$9,2,),"")</f>
        <v/>
      </c>
      <c r="AM407" t="str">
        <f t="shared" si="255"/>
        <v xml:space="preserve">  0</v>
      </c>
      <c r="AN407" t="str">
        <f t="shared" si="256"/>
        <v xml:space="preserve">["SUBTYPE"] =   0; </v>
      </c>
      <c r="AO407">
        <f>IF(NOT(ISBLANK(G407)),VLOOKUP(G407,Type!D$2:E$6,2,FALSE),"")</f>
        <v>5</v>
      </c>
      <c r="AP407" t="str">
        <f t="shared" si="257"/>
        <v xml:space="preserve">["NA"] = 5; </v>
      </c>
      <c r="AQ407" t="str">
        <f t="shared" si="258"/>
        <v xml:space="preserve">                      </v>
      </c>
      <c r="AR407" t="str">
        <f t="shared" si="259"/>
        <v xml:space="preserve">["MOUNT"] = "small"; </v>
      </c>
      <c r="AS407" t="str">
        <f t="shared" si="260"/>
        <v>0</v>
      </c>
      <c r="AT407" t="str">
        <f t="shared" si="261"/>
        <v xml:space="preserve">["VXP"] =    0; </v>
      </c>
      <c r="AU407" t="str">
        <f t="shared" si="262"/>
        <v>0</v>
      </c>
      <c r="AV407" t="str">
        <f t="shared" si="263"/>
        <v xml:space="preserve">["LP"] =  0; </v>
      </c>
      <c r="AW407" t="str">
        <f t="shared" si="264"/>
        <v>0</v>
      </c>
      <c r="AX407" t="str">
        <f t="shared" si="265"/>
        <v xml:space="preserve">["REP"] =     0; </v>
      </c>
      <c r="AY407">
        <f>IF(LEN(P407)&gt;0,VLOOKUP(P407,Faction!A$2:B$77,2,FALSE),1)</f>
        <v>1</v>
      </c>
      <c r="AZ407" t="str">
        <f t="shared" si="266"/>
        <v xml:space="preserve">["FACTION"] =  1; </v>
      </c>
      <c r="BA407" t="str">
        <f t="shared" si="245"/>
        <v/>
      </c>
      <c r="BB407" t="str">
        <f t="shared" si="267"/>
        <v xml:space="preserve">                     </v>
      </c>
      <c r="BC407" t="str">
        <f t="shared" si="268"/>
        <v xml:space="preserve">                  </v>
      </c>
      <c r="BD407" t="str">
        <f t="shared" si="269"/>
        <v xml:space="preserve">["NAME"] = { ["EN"] = "2014 Festival Steeds"; }; </v>
      </c>
      <c r="BE407" t="str">
        <f t="shared" si="270"/>
        <v xml:space="preserve">["LORE"] = { ["EN"] = "You have completed your collection of 2014 festival steeds."; }; </v>
      </c>
      <c r="BF407" t="str">
        <f t="shared" si="271"/>
        <v xml:space="preserve">["SUMMARY"] = { ["EN"] = "Mount 6 steeds from 2014"; }; </v>
      </c>
      <c r="BG407" t="str">
        <f t="shared" si="272"/>
        <v xml:space="preserve">["TITLE"] = { ["EN"] = "the Revelling Rider"; }; </v>
      </c>
      <c r="BH407" t="str">
        <f t="shared" si="273"/>
        <v/>
      </c>
      <c r="BI407" t="str">
        <f t="shared" si="274"/>
        <v/>
      </c>
      <c r="BJ407" t="str">
        <f t="shared" si="276"/>
        <v>};</v>
      </c>
    </row>
    <row r="408" spans="1:62" x14ac:dyDescent="0.25">
      <c r="A408">
        <v>1879361997</v>
      </c>
      <c r="B408">
        <v>247</v>
      </c>
      <c r="C408" t="s">
        <v>2618</v>
      </c>
      <c r="D408" t="s">
        <v>30</v>
      </c>
      <c r="G408" t="s">
        <v>2326</v>
      </c>
      <c r="J408" t="s">
        <v>3525</v>
      </c>
      <c r="M408" t="s">
        <v>2627</v>
      </c>
      <c r="Q408" s="4" t="s">
        <v>2630</v>
      </c>
      <c r="R408" t="s">
        <v>2626</v>
      </c>
      <c r="S408">
        <v>0</v>
      </c>
      <c r="X408" t="str">
        <f t="shared" si="244"/>
        <v>[407] = {["ID"] = 1879361997; }; -- 2015 Festival Steeds (large)</v>
      </c>
      <c r="Y408" s="1" t="str">
        <f t="shared" si="246"/>
        <v>[407]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08">
        <f t="shared" si="275"/>
        <v>407</v>
      </c>
      <c r="AA408" t="str">
        <f t="shared" si="247"/>
        <v>[407] = {</v>
      </c>
      <c r="AB408" t="str">
        <f t="shared" si="248"/>
        <v xml:space="preserve">["ID"] = 1879361997; </v>
      </c>
      <c r="AC408" t="str">
        <f t="shared" si="249"/>
        <v xml:space="preserve">["ID"] = 1879361997; </v>
      </c>
      <c r="AD408" t="str">
        <f t="shared" si="250"/>
        <v/>
      </c>
      <c r="AE408" t="str">
        <f t="shared" si="251"/>
        <v xml:space="preserve"> (large)</v>
      </c>
      <c r="AF408" s="1" t="str">
        <f t="shared" si="252"/>
        <v xml:space="preserve">["SAVE_INDEX"] = 247; </v>
      </c>
      <c r="AG408">
        <f>VLOOKUP(D408,Type!A$2:B$16,2,FALSE)</f>
        <v>7</v>
      </c>
      <c r="AH408" t="str">
        <f t="shared" si="253"/>
        <v xml:space="preserve">["TYPE"] =  7; </v>
      </c>
      <c r="AI408" t="str">
        <f t="shared" si="254"/>
        <v xml:space="preserve">                      </v>
      </c>
      <c r="AJ408" t="str">
        <f>IF(AND(F408="Class",NOT(ISBLANK(E408))),VLOOKUP(E408,Class!A$1:B$12,2,FALSE),"")</f>
        <v/>
      </c>
      <c r="AK408" t="str">
        <f>IF(AND(F408="Vocation",NOT(ISBLANK(E408))),VLOOKUP(E408,Vocation!A$1:B$8,2,FALSE),"")</f>
        <v/>
      </c>
      <c r="AL408" t="str">
        <f>IF(AND(F408="Race",NOT(ISBLANK(E408))),VLOOKUP(E408,Race!A$1:B$9,2,),"")</f>
        <v/>
      </c>
      <c r="AM408" t="str">
        <f t="shared" si="255"/>
        <v xml:space="preserve">  0</v>
      </c>
      <c r="AN408" t="str">
        <f t="shared" si="256"/>
        <v xml:space="preserve">["SUBTYPE"] =   0; </v>
      </c>
      <c r="AO408">
        <f>IF(NOT(ISBLANK(G408)),VLOOKUP(G408,Type!D$2:E$6,2,FALSE),"")</f>
        <v>5</v>
      </c>
      <c r="AP408" t="str">
        <f t="shared" si="257"/>
        <v xml:space="preserve">["NA"] = 5; </v>
      </c>
      <c r="AQ408" t="str">
        <f t="shared" si="258"/>
        <v xml:space="preserve">                      </v>
      </c>
      <c r="AR408" t="str">
        <f t="shared" si="259"/>
        <v xml:space="preserve">["MOUNT"] = "large"; </v>
      </c>
      <c r="AS408" t="str">
        <f t="shared" si="260"/>
        <v>0</v>
      </c>
      <c r="AT408" t="str">
        <f t="shared" si="261"/>
        <v xml:space="preserve">["VXP"] =    0; </v>
      </c>
      <c r="AU408" t="str">
        <f t="shared" si="262"/>
        <v>0</v>
      </c>
      <c r="AV408" t="str">
        <f t="shared" si="263"/>
        <v xml:space="preserve">["LP"] =  0; </v>
      </c>
      <c r="AW408" t="str">
        <f t="shared" si="264"/>
        <v>0</v>
      </c>
      <c r="AX408" t="str">
        <f t="shared" si="265"/>
        <v xml:space="preserve">["REP"] =     0; </v>
      </c>
      <c r="AY408">
        <f>IF(LEN(P408)&gt;0,VLOOKUP(P408,Faction!A$2:B$77,2,FALSE),1)</f>
        <v>1</v>
      </c>
      <c r="AZ408" t="str">
        <f t="shared" si="266"/>
        <v xml:space="preserve">["FACTION"] =  1; </v>
      </c>
      <c r="BA408" t="str">
        <f t="shared" si="245"/>
        <v/>
      </c>
      <c r="BB408" t="str">
        <f t="shared" si="267"/>
        <v xml:space="preserve">                     </v>
      </c>
      <c r="BC408" t="str">
        <f t="shared" si="268"/>
        <v xml:space="preserve">                  </v>
      </c>
      <c r="BD408" t="str">
        <f t="shared" si="269"/>
        <v xml:space="preserve">["NAME"] = { ["EN"] = "2015 Festival Steeds"; }; </v>
      </c>
      <c r="BE408" t="str">
        <f t="shared" si="270"/>
        <v xml:space="preserve">["LORE"] = { ["EN"] = "You have completed your collection of 2015 festival steeds."; }; </v>
      </c>
      <c r="BF408" t="str">
        <f t="shared" si="271"/>
        <v xml:space="preserve">["SUMMARY"] = { ["EN"] = "Mount 6 steeds from 2015"; }; </v>
      </c>
      <c r="BG408" t="str">
        <f t="shared" si="272"/>
        <v xml:space="preserve">["TITLE"] = { ["EN"] = "the Rollicking Rider"; }; </v>
      </c>
      <c r="BH408" t="str">
        <f t="shared" si="273"/>
        <v/>
      </c>
      <c r="BI408" t="str">
        <f t="shared" si="274"/>
        <v/>
      </c>
      <c r="BJ408" t="str">
        <f t="shared" si="276"/>
        <v>};</v>
      </c>
    </row>
    <row r="409" spans="1:62" x14ac:dyDescent="0.25">
      <c r="A409">
        <v>1879363513</v>
      </c>
      <c r="B409">
        <v>362</v>
      </c>
      <c r="C409" t="s">
        <v>2618</v>
      </c>
      <c r="D409" t="s">
        <v>30</v>
      </c>
      <c r="G409" t="s">
        <v>2326</v>
      </c>
      <c r="J409" t="s">
        <v>3526</v>
      </c>
      <c r="M409" t="s">
        <v>2627</v>
      </c>
      <c r="Q409" s="4" t="s">
        <v>2630</v>
      </c>
      <c r="R409" t="s">
        <v>2626</v>
      </c>
      <c r="S409">
        <v>0</v>
      </c>
      <c r="X409" t="str">
        <f t="shared" si="244"/>
        <v>[408] = {["ID"] = 1879363513; }; -- 2015 Festival Steeds (small)</v>
      </c>
      <c r="Y409" s="1" t="str">
        <f t="shared" si="246"/>
        <v>[408]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09">
        <f t="shared" si="275"/>
        <v>408</v>
      </c>
      <c r="AA409" t="str">
        <f t="shared" si="247"/>
        <v>[408] = {</v>
      </c>
      <c r="AB409" t="str">
        <f t="shared" si="248"/>
        <v xml:space="preserve">["ID"] = 1879363513; </v>
      </c>
      <c r="AC409" t="str">
        <f t="shared" si="249"/>
        <v xml:space="preserve">["ID"] = 1879363513; </v>
      </c>
      <c r="AD409" t="str">
        <f t="shared" si="250"/>
        <v/>
      </c>
      <c r="AE409" t="str">
        <f t="shared" si="251"/>
        <v xml:space="preserve"> (small)</v>
      </c>
      <c r="AF409" s="1" t="str">
        <f t="shared" si="252"/>
        <v xml:space="preserve">["SAVE_INDEX"] = 362; </v>
      </c>
      <c r="AG409">
        <f>VLOOKUP(D409,Type!A$2:B$16,2,FALSE)</f>
        <v>7</v>
      </c>
      <c r="AH409" t="str">
        <f t="shared" si="253"/>
        <v xml:space="preserve">["TYPE"] =  7; </v>
      </c>
      <c r="AI409" t="str">
        <f t="shared" si="254"/>
        <v xml:space="preserve">                      </v>
      </c>
      <c r="AJ409" t="str">
        <f>IF(AND(F409="Class",NOT(ISBLANK(E409))),VLOOKUP(E409,Class!A$1:B$12,2,FALSE),"")</f>
        <v/>
      </c>
      <c r="AK409" t="str">
        <f>IF(AND(F409="Vocation",NOT(ISBLANK(E409))),VLOOKUP(E409,Vocation!A$1:B$8,2,FALSE),"")</f>
        <v/>
      </c>
      <c r="AL409" t="str">
        <f>IF(AND(F409="Race",NOT(ISBLANK(E409))),VLOOKUP(E409,Race!A$1:B$9,2,),"")</f>
        <v/>
      </c>
      <c r="AM409" t="str">
        <f t="shared" si="255"/>
        <v xml:space="preserve">  0</v>
      </c>
      <c r="AN409" t="str">
        <f t="shared" si="256"/>
        <v xml:space="preserve">["SUBTYPE"] =   0; </v>
      </c>
      <c r="AO409">
        <f>IF(NOT(ISBLANK(G409)),VLOOKUP(G409,Type!D$2:E$6,2,FALSE),"")</f>
        <v>5</v>
      </c>
      <c r="AP409" t="str">
        <f t="shared" si="257"/>
        <v xml:space="preserve">["NA"] = 5; </v>
      </c>
      <c r="AQ409" t="str">
        <f t="shared" si="258"/>
        <v xml:space="preserve">                      </v>
      </c>
      <c r="AR409" t="str">
        <f t="shared" si="259"/>
        <v xml:space="preserve">["MOUNT"] = "small"; </v>
      </c>
      <c r="AS409" t="str">
        <f t="shared" si="260"/>
        <v>0</v>
      </c>
      <c r="AT409" t="str">
        <f t="shared" si="261"/>
        <v xml:space="preserve">["VXP"] =    0; </v>
      </c>
      <c r="AU409" t="str">
        <f t="shared" si="262"/>
        <v>0</v>
      </c>
      <c r="AV409" t="str">
        <f t="shared" si="263"/>
        <v xml:space="preserve">["LP"] =  0; </v>
      </c>
      <c r="AW409" t="str">
        <f t="shared" si="264"/>
        <v>0</v>
      </c>
      <c r="AX409" t="str">
        <f t="shared" si="265"/>
        <v xml:space="preserve">["REP"] =     0; </v>
      </c>
      <c r="AY409">
        <f>IF(LEN(P409)&gt;0,VLOOKUP(P409,Faction!A$2:B$77,2,FALSE),1)</f>
        <v>1</v>
      </c>
      <c r="AZ409" t="str">
        <f t="shared" si="266"/>
        <v xml:space="preserve">["FACTION"] =  1; </v>
      </c>
      <c r="BA409" t="str">
        <f t="shared" si="245"/>
        <v/>
      </c>
      <c r="BB409" t="str">
        <f t="shared" si="267"/>
        <v xml:space="preserve">                     </v>
      </c>
      <c r="BC409" t="str">
        <f t="shared" si="268"/>
        <v xml:space="preserve">                  </v>
      </c>
      <c r="BD409" t="str">
        <f t="shared" si="269"/>
        <v xml:space="preserve">["NAME"] = { ["EN"] = "2015 Festival Steeds"; }; </v>
      </c>
      <c r="BE409" t="str">
        <f t="shared" si="270"/>
        <v xml:space="preserve">["LORE"] = { ["EN"] = "You have completed your collection of 2015 festival steeds."; }; </v>
      </c>
      <c r="BF409" t="str">
        <f t="shared" si="271"/>
        <v xml:space="preserve">["SUMMARY"] = { ["EN"] = "Mount 6 steeds from 2015"; }; </v>
      </c>
      <c r="BG409" t="str">
        <f t="shared" si="272"/>
        <v xml:space="preserve">["TITLE"] = { ["EN"] = "the Rollicking Rider"; }; </v>
      </c>
      <c r="BH409" t="str">
        <f t="shared" si="273"/>
        <v/>
      </c>
      <c r="BI409" t="str">
        <f t="shared" si="274"/>
        <v/>
      </c>
      <c r="BJ409" t="str">
        <f t="shared" si="276"/>
        <v>};</v>
      </c>
    </row>
    <row r="410" spans="1:62" x14ac:dyDescent="0.25">
      <c r="A410">
        <v>1879362010</v>
      </c>
      <c r="B410">
        <v>248</v>
      </c>
      <c r="C410" t="s">
        <v>2619</v>
      </c>
      <c r="D410" t="s">
        <v>30</v>
      </c>
      <c r="G410" t="s">
        <v>2326</v>
      </c>
      <c r="J410" t="s">
        <v>3525</v>
      </c>
      <c r="M410" t="s">
        <v>2635</v>
      </c>
      <c r="Q410" s="4" t="s">
        <v>2631</v>
      </c>
      <c r="R410" t="s">
        <v>2628</v>
      </c>
      <c r="S410">
        <v>0</v>
      </c>
      <c r="X410" t="str">
        <f t="shared" si="244"/>
        <v>[409] = {["ID"] = 1879362010; }; -- 2016 Festival Steeds (large)</v>
      </c>
      <c r="Y410" s="1" t="str">
        <f t="shared" si="246"/>
        <v>[409]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0">
        <f t="shared" si="275"/>
        <v>409</v>
      </c>
      <c r="AA410" t="str">
        <f t="shared" si="247"/>
        <v>[409] = {</v>
      </c>
      <c r="AB410" t="str">
        <f t="shared" si="248"/>
        <v xml:space="preserve">["ID"] = 1879362010; </v>
      </c>
      <c r="AC410" t="str">
        <f t="shared" si="249"/>
        <v xml:space="preserve">["ID"] = 1879362010; </v>
      </c>
      <c r="AD410" t="str">
        <f t="shared" si="250"/>
        <v/>
      </c>
      <c r="AE410" t="str">
        <f t="shared" si="251"/>
        <v xml:space="preserve"> (large)</v>
      </c>
      <c r="AF410" s="1" t="str">
        <f t="shared" si="252"/>
        <v xml:space="preserve">["SAVE_INDEX"] = 248; </v>
      </c>
      <c r="AG410">
        <f>VLOOKUP(D410,Type!A$2:B$16,2,FALSE)</f>
        <v>7</v>
      </c>
      <c r="AH410" t="str">
        <f t="shared" si="253"/>
        <v xml:space="preserve">["TYPE"] =  7; </v>
      </c>
      <c r="AI410" t="str">
        <f t="shared" si="254"/>
        <v xml:space="preserve">                      </v>
      </c>
      <c r="AJ410" t="str">
        <f>IF(AND(F410="Class",NOT(ISBLANK(E410))),VLOOKUP(E410,Class!A$1:B$12,2,FALSE),"")</f>
        <v/>
      </c>
      <c r="AK410" t="str">
        <f>IF(AND(F410="Vocation",NOT(ISBLANK(E410))),VLOOKUP(E410,Vocation!A$1:B$8,2,FALSE),"")</f>
        <v/>
      </c>
      <c r="AL410" t="str">
        <f>IF(AND(F410="Race",NOT(ISBLANK(E410))),VLOOKUP(E410,Race!A$1:B$9,2,),"")</f>
        <v/>
      </c>
      <c r="AM410" t="str">
        <f t="shared" si="255"/>
        <v xml:space="preserve">  0</v>
      </c>
      <c r="AN410" t="str">
        <f t="shared" si="256"/>
        <v xml:space="preserve">["SUBTYPE"] =   0; </v>
      </c>
      <c r="AO410">
        <f>IF(NOT(ISBLANK(G410)),VLOOKUP(G410,Type!D$2:E$6,2,FALSE),"")</f>
        <v>5</v>
      </c>
      <c r="AP410" t="str">
        <f t="shared" si="257"/>
        <v xml:space="preserve">["NA"] = 5; </v>
      </c>
      <c r="AQ410" t="str">
        <f t="shared" si="258"/>
        <v xml:space="preserve">                      </v>
      </c>
      <c r="AR410" t="str">
        <f t="shared" si="259"/>
        <v xml:space="preserve">["MOUNT"] = "large"; </v>
      </c>
      <c r="AS410" t="str">
        <f t="shared" si="260"/>
        <v>0</v>
      </c>
      <c r="AT410" t="str">
        <f t="shared" si="261"/>
        <v xml:space="preserve">["VXP"] =    0; </v>
      </c>
      <c r="AU410" t="str">
        <f t="shared" si="262"/>
        <v>0</v>
      </c>
      <c r="AV410" t="str">
        <f t="shared" si="263"/>
        <v xml:space="preserve">["LP"] =  0; </v>
      </c>
      <c r="AW410" t="str">
        <f t="shared" si="264"/>
        <v>0</v>
      </c>
      <c r="AX410" t="str">
        <f t="shared" si="265"/>
        <v xml:space="preserve">["REP"] =     0; </v>
      </c>
      <c r="AY410">
        <f>IF(LEN(P410)&gt;0,VLOOKUP(P410,Faction!A$2:B$77,2,FALSE),1)</f>
        <v>1</v>
      </c>
      <c r="AZ410" t="str">
        <f t="shared" si="266"/>
        <v xml:space="preserve">["FACTION"] =  1; </v>
      </c>
      <c r="BA410" t="str">
        <f t="shared" si="245"/>
        <v/>
      </c>
      <c r="BB410" t="str">
        <f t="shared" si="267"/>
        <v xml:space="preserve">                     </v>
      </c>
      <c r="BC410" t="str">
        <f t="shared" si="268"/>
        <v xml:space="preserve">                  </v>
      </c>
      <c r="BD410" t="str">
        <f t="shared" si="269"/>
        <v xml:space="preserve">["NAME"] = { ["EN"] = "2016 Festival Steeds"; }; </v>
      </c>
      <c r="BE410" t="str">
        <f t="shared" si="270"/>
        <v xml:space="preserve">["LORE"] = { ["EN"] = "You have completed your collection of 2016 festival steeds."; }; </v>
      </c>
      <c r="BF410" t="str">
        <f t="shared" si="271"/>
        <v xml:space="preserve">["SUMMARY"] = { ["EN"] = "Mount 6 steeds from 2016"; }; </v>
      </c>
      <c r="BG410" t="str">
        <f t="shared" si="272"/>
        <v xml:space="preserve">["TITLE"] = { ["EN"] = "the Delightful Rider"; }; </v>
      </c>
      <c r="BH410" t="str">
        <f t="shared" si="273"/>
        <v/>
      </c>
      <c r="BI410" t="str">
        <f t="shared" si="274"/>
        <v/>
      </c>
      <c r="BJ410" t="str">
        <f t="shared" si="276"/>
        <v>};</v>
      </c>
    </row>
    <row r="411" spans="1:62" x14ac:dyDescent="0.25">
      <c r="A411">
        <v>1879363507</v>
      </c>
      <c r="B411">
        <v>363</v>
      </c>
      <c r="C411" t="s">
        <v>2619</v>
      </c>
      <c r="D411" t="s">
        <v>30</v>
      </c>
      <c r="G411" t="s">
        <v>2326</v>
      </c>
      <c r="J411" t="s">
        <v>3526</v>
      </c>
      <c r="M411" t="s">
        <v>2635</v>
      </c>
      <c r="Q411" s="4" t="s">
        <v>2631</v>
      </c>
      <c r="R411" t="s">
        <v>2628</v>
      </c>
      <c r="S411">
        <v>0</v>
      </c>
      <c r="X411" t="str">
        <f t="shared" si="244"/>
        <v>[410] = {["ID"] = 1879363507; }; -- 2016 Festival Steeds (small)</v>
      </c>
      <c r="Y411" s="1" t="str">
        <f t="shared" si="246"/>
        <v>[410]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1">
        <f t="shared" si="275"/>
        <v>410</v>
      </c>
      <c r="AA411" t="str">
        <f t="shared" si="247"/>
        <v>[410] = {</v>
      </c>
      <c r="AB411" t="str">
        <f t="shared" si="248"/>
        <v xml:space="preserve">["ID"] = 1879363507; </v>
      </c>
      <c r="AC411" t="str">
        <f t="shared" si="249"/>
        <v xml:space="preserve">["ID"] = 1879363507; </v>
      </c>
      <c r="AD411" t="str">
        <f t="shared" si="250"/>
        <v/>
      </c>
      <c r="AE411" t="str">
        <f t="shared" si="251"/>
        <v xml:space="preserve"> (small)</v>
      </c>
      <c r="AF411" s="1" t="str">
        <f t="shared" si="252"/>
        <v xml:space="preserve">["SAVE_INDEX"] = 363; </v>
      </c>
      <c r="AG411">
        <f>VLOOKUP(D411,Type!A$2:B$16,2,FALSE)</f>
        <v>7</v>
      </c>
      <c r="AH411" t="str">
        <f t="shared" si="253"/>
        <v xml:space="preserve">["TYPE"] =  7; </v>
      </c>
      <c r="AI411" t="str">
        <f t="shared" si="254"/>
        <v xml:space="preserve">                      </v>
      </c>
      <c r="AJ411" t="str">
        <f>IF(AND(F411="Class",NOT(ISBLANK(E411))),VLOOKUP(E411,Class!A$1:B$12,2,FALSE),"")</f>
        <v/>
      </c>
      <c r="AK411" t="str">
        <f>IF(AND(F411="Vocation",NOT(ISBLANK(E411))),VLOOKUP(E411,Vocation!A$1:B$8,2,FALSE),"")</f>
        <v/>
      </c>
      <c r="AL411" t="str">
        <f>IF(AND(F411="Race",NOT(ISBLANK(E411))),VLOOKUP(E411,Race!A$1:B$9,2,),"")</f>
        <v/>
      </c>
      <c r="AM411" t="str">
        <f t="shared" si="255"/>
        <v xml:space="preserve">  0</v>
      </c>
      <c r="AN411" t="str">
        <f t="shared" si="256"/>
        <v xml:space="preserve">["SUBTYPE"] =   0; </v>
      </c>
      <c r="AO411">
        <f>IF(NOT(ISBLANK(G411)),VLOOKUP(G411,Type!D$2:E$6,2,FALSE),"")</f>
        <v>5</v>
      </c>
      <c r="AP411" t="str">
        <f t="shared" si="257"/>
        <v xml:space="preserve">["NA"] = 5; </v>
      </c>
      <c r="AQ411" t="str">
        <f t="shared" si="258"/>
        <v xml:space="preserve">                      </v>
      </c>
      <c r="AR411" t="str">
        <f t="shared" si="259"/>
        <v xml:space="preserve">["MOUNT"] = "small"; </v>
      </c>
      <c r="AS411" t="str">
        <f t="shared" si="260"/>
        <v>0</v>
      </c>
      <c r="AT411" t="str">
        <f t="shared" si="261"/>
        <v xml:space="preserve">["VXP"] =    0; </v>
      </c>
      <c r="AU411" t="str">
        <f t="shared" si="262"/>
        <v>0</v>
      </c>
      <c r="AV411" t="str">
        <f t="shared" si="263"/>
        <v xml:space="preserve">["LP"] =  0; </v>
      </c>
      <c r="AW411" t="str">
        <f t="shared" si="264"/>
        <v>0</v>
      </c>
      <c r="AX411" t="str">
        <f t="shared" si="265"/>
        <v xml:space="preserve">["REP"] =     0; </v>
      </c>
      <c r="AY411">
        <f>IF(LEN(P411)&gt;0,VLOOKUP(P411,Faction!A$2:B$77,2,FALSE),1)</f>
        <v>1</v>
      </c>
      <c r="AZ411" t="str">
        <f t="shared" si="266"/>
        <v xml:space="preserve">["FACTION"] =  1; </v>
      </c>
      <c r="BA411" t="str">
        <f t="shared" si="245"/>
        <v/>
      </c>
      <c r="BB411" t="str">
        <f t="shared" si="267"/>
        <v xml:space="preserve">                     </v>
      </c>
      <c r="BC411" t="str">
        <f t="shared" si="268"/>
        <v xml:space="preserve">                  </v>
      </c>
      <c r="BD411" t="str">
        <f t="shared" si="269"/>
        <v xml:space="preserve">["NAME"] = { ["EN"] = "2016 Festival Steeds"; }; </v>
      </c>
      <c r="BE411" t="str">
        <f t="shared" si="270"/>
        <v xml:space="preserve">["LORE"] = { ["EN"] = "You have completed your collection of 2016 festival steeds."; }; </v>
      </c>
      <c r="BF411" t="str">
        <f t="shared" si="271"/>
        <v xml:space="preserve">["SUMMARY"] = { ["EN"] = "Mount 6 steeds from 2016"; }; </v>
      </c>
      <c r="BG411" t="str">
        <f t="shared" si="272"/>
        <v xml:space="preserve">["TITLE"] = { ["EN"] = "the Delightful Rider"; }; </v>
      </c>
      <c r="BH411" t="str">
        <f t="shared" si="273"/>
        <v/>
      </c>
      <c r="BI411" t="str">
        <f t="shared" si="274"/>
        <v/>
      </c>
      <c r="BJ411" t="str">
        <f t="shared" si="276"/>
        <v>};</v>
      </c>
    </row>
    <row r="412" spans="1:62" x14ac:dyDescent="0.25">
      <c r="A412">
        <v>1879362011</v>
      </c>
      <c r="B412">
        <v>249</v>
      </c>
      <c r="C412" t="s">
        <v>2620</v>
      </c>
      <c r="D412" t="s">
        <v>30</v>
      </c>
      <c r="G412" t="s">
        <v>2326</v>
      </c>
      <c r="J412" t="s">
        <v>3525</v>
      </c>
      <c r="M412" t="s">
        <v>2634</v>
      </c>
      <c r="Q412" s="4" t="s">
        <v>2633</v>
      </c>
      <c r="R412" t="s">
        <v>2632</v>
      </c>
      <c r="S412">
        <v>0</v>
      </c>
      <c r="X412" t="str">
        <f t="shared" si="244"/>
        <v>[411] = {["ID"] = 1879362011; }; -- 2017 Festival Steeds (large)</v>
      </c>
      <c r="Y412" s="1" t="str">
        <f t="shared" si="246"/>
        <v>[411]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2">
        <f t="shared" si="275"/>
        <v>411</v>
      </c>
      <c r="AA412" t="str">
        <f t="shared" si="247"/>
        <v>[411] = {</v>
      </c>
      <c r="AB412" t="str">
        <f t="shared" si="248"/>
        <v xml:space="preserve">["ID"] = 1879362011; </v>
      </c>
      <c r="AC412" t="str">
        <f t="shared" si="249"/>
        <v xml:space="preserve">["ID"] = 1879362011; </v>
      </c>
      <c r="AD412" t="str">
        <f t="shared" si="250"/>
        <v/>
      </c>
      <c r="AE412" t="str">
        <f t="shared" si="251"/>
        <v xml:space="preserve"> (large)</v>
      </c>
      <c r="AF412" s="1" t="str">
        <f t="shared" si="252"/>
        <v xml:space="preserve">["SAVE_INDEX"] = 249; </v>
      </c>
      <c r="AG412">
        <f>VLOOKUP(D412,Type!A$2:B$16,2,FALSE)</f>
        <v>7</v>
      </c>
      <c r="AH412" t="str">
        <f t="shared" si="253"/>
        <v xml:space="preserve">["TYPE"] =  7; </v>
      </c>
      <c r="AI412" t="str">
        <f t="shared" si="254"/>
        <v xml:space="preserve">                      </v>
      </c>
      <c r="AJ412" t="str">
        <f>IF(AND(F412="Class",NOT(ISBLANK(E412))),VLOOKUP(E412,Class!A$1:B$12,2,FALSE),"")</f>
        <v/>
      </c>
      <c r="AK412" t="str">
        <f>IF(AND(F412="Vocation",NOT(ISBLANK(E412))),VLOOKUP(E412,Vocation!A$1:B$8,2,FALSE),"")</f>
        <v/>
      </c>
      <c r="AL412" t="str">
        <f>IF(AND(F412="Race",NOT(ISBLANK(E412))),VLOOKUP(E412,Race!A$1:B$9,2,),"")</f>
        <v/>
      </c>
      <c r="AM412" t="str">
        <f t="shared" si="255"/>
        <v xml:space="preserve">  0</v>
      </c>
      <c r="AN412" t="str">
        <f t="shared" si="256"/>
        <v xml:space="preserve">["SUBTYPE"] =   0; </v>
      </c>
      <c r="AO412">
        <f>IF(NOT(ISBLANK(G412)),VLOOKUP(G412,Type!D$2:E$6,2,FALSE),"")</f>
        <v>5</v>
      </c>
      <c r="AP412" t="str">
        <f t="shared" si="257"/>
        <v xml:space="preserve">["NA"] = 5; </v>
      </c>
      <c r="AQ412" t="str">
        <f t="shared" si="258"/>
        <v xml:space="preserve">                      </v>
      </c>
      <c r="AR412" t="str">
        <f t="shared" si="259"/>
        <v xml:space="preserve">["MOUNT"] = "large"; </v>
      </c>
      <c r="AS412" t="str">
        <f t="shared" si="260"/>
        <v>0</v>
      </c>
      <c r="AT412" t="str">
        <f t="shared" si="261"/>
        <v xml:space="preserve">["VXP"] =    0; </v>
      </c>
      <c r="AU412" t="str">
        <f t="shared" si="262"/>
        <v>0</v>
      </c>
      <c r="AV412" t="str">
        <f t="shared" si="263"/>
        <v xml:space="preserve">["LP"] =  0; </v>
      </c>
      <c r="AW412" t="str">
        <f t="shared" si="264"/>
        <v>0</v>
      </c>
      <c r="AX412" t="str">
        <f t="shared" si="265"/>
        <v xml:space="preserve">["REP"] =     0; </v>
      </c>
      <c r="AY412">
        <f>IF(LEN(P412)&gt;0,VLOOKUP(P412,Faction!A$2:B$77,2,FALSE),1)</f>
        <v>1</v>
      </c>
      <c r="AZ412" t="str">
        <f t="shared" si="266"/>
        <v xml:space="preserve">["FACTION"] =  1; </v>
      </c>
      <c r="BA412" t="str">
        <f t="shared" si="245"/>
        <v/>
      </c>
      <c r="BB412" t="str">
        <f t="shared" si="267"/>
        <v xml:space="preserve">                     </v>
      </c>
      <c r="BC412" t="str">
        <f t="shared" si="268"/>
        <v xml:space="preserve">                  </v>
      </c>
      <c r="BD412" t="str">
        <f t="shared" si="269"/>
        <v xml:space="preserve">["NAME"] = { ["EN"] = "2017 Festival Steeds"; }; </v>
      </c>
      <c r="BE412" t="str">
        <f t="shared" si="270"/>
        <v xml:space="preserve">["LORE"] = { ["EN"] = "You have completed your collection of 2017 festival steeds."; }; </v>
      </c>
      <c r="BF412" t="str">
        <f t="shared" si="271"/>
        <v xml:space="preserve">["SUMMARY"] = { ["EN"] = "Mount 7 steeds from 2017"; }; </v>
      </c>
      <c r="BG412" t="str">
        <f t="shared" si="272"/>
        <v xml:space="preserve">["TITLE"] = { ["EN"] = "the Festive Rider"; }; </v>
      </c>
      <c r="BH412" t="str">
        <f t="shared" si="273"/>
        <v/>
      </c>
      <c r="BI412" t="str">
        <f t="shared" si="274"/>
        <v/>
      </c>
      <c r="BJ412" t="str">
        <f t="shared" si="276"/>
        <v>};</v>
      </c>
    </row>
    <row r="413" spans="1:62" x14ac:dyDescent="0.25">
      <c r="A413">
        <v>1879363519</v>
      </c>
      <c r="B413">
        <v>364</v>
      </c>
      <c r="C413" t="s">
        <v>2620</v>
      </c>
      <c r="D413" t="s">
        <v>30</v>
      </c>
      <c r="G413" t="s">
        <v>2326</v>
      </c>
      <c r="J413" t="s">
        <v>3526</v>
      </c>
      <c r="M413" t="s">
        <v>2634</v>
      </c>
      <c r="Q413" s="4" t="s">
        <v>2633</v>
      </c>
      <c r="R413" t="s">
        <v>2632</v>
      </c>
      <c r="S413">
        <v>0</v>
      </c>
      <c r="X413" t="str">
        <f t="shared" si="244"/>
        <v>[412] = {["ID"] = 1879363519; }; -- 2017 Festival Steeds (small)</v>
      </c>
      <c r="Y413" s="1" t="str">
        <f t="shared" si="246"/>
        <v>[412]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3">
        <f t="shared" si="275"/>
        <v>412</v>
      </c>
      <c r="AA413" t="str">
        <f t="shared" si="247"/>
        <v>[412] = {</v>
      </c>
      <c r="AB413" t="str">
        <f t="shared" si="248"/>
        <v xml:space="preserve">["ID"] = 1879363519; </v>
      </c>
      <c r="AC413" t="str">
        <f t="shared" si="249"/>
        <v xml:space="preserve">["ID"] = 1879363519; </v>
      </c>
      <c r="AD413" t="str">
        <f t="shared" si="250"/>
        <v/>
      </c>
      <c r="AE413" t="str">
        <f t="shared" si="251"/>
        <v xml:space="preserve"> (small)</v>
      </c>
      <c r="AF413" s="1" t="str">
        <f t="shared" si="252"/>
        <v xml:space="preserve">["SAVE_INDEX"] = 364; </v>
      </c>
      <c r="AG413">
        <f>VLOOKUP(D413,Type!A$2:B$16,2,FALSE)</f>
        <v>7</v>
      </c>
      <c r="AH413" t="str">
        <f t="shared" si="253"/>
        <v xml:space="preserve">["TYPE"] =  7; </v>
      </c>
      <c r="AI413" t="str">
        <f t="shared" si="254"/>
        <v xml:space="preserve">                      </v>
      </c>
      <c r="AJ413" t="str">
        <f>IF(AND(F413="Class",NOT(ISBLANK(E413))),VLOOKUP(E413,Class!A$1:B$12,2,FALSE),"")</f>
        <v/>
      </c>
      <c r="AK413" t="str">
        <f>IF(AND(F413="Vocation",NOT(ISBLANK(E413))),VLOOKUP(E413,Vocation!A$1:B$8,2,FALSE),"")</f>
        <v/>
      </c>
      <c r="AL413" t="str">
        <f>IF(AND(F413="Race",NOT(ISBLANK(E413))),VLOOKUP(E413,Race!A$1:B$9,2,),"")</f>
        <v/>
      </c>
      <c r="AM413" t="str">
        <f t="shared" si="255"/>
        <v xml:space="preserve">  0</v>
      </c>
      <c r="AN413" t="str">
        <f t="shared" si="256"/>
        <v xml:space="preserve">["SUBTYPE"] =   0; </v>
      </c>
      <c r="AO413">
        <f>IF(NOT(ISBLANK(G413)),VLOOKUP(G413,Type!D$2:E$6,2,FALSE),"")</f>
        <v>5</v>
      </c>
      <c r="AP413" t="str">
        <f t="shared" si="257"/>
        <v xml:space="preserve">["NA"] = 5; </v>
      </c>
      <c r="AQ413" t="str">
        <f t="shared" si="258"/>
        <v xml:space="preserve">                      </v>
      </c>
      <c r="AR413" t="str">
        <f t="shared" si="259"/>
        <v xml:space="preserve">["MOUNT"] = "small"; </v>
      </c>
      <c r="AS413" t="str">
        <f t="shared" si="260"/>
        <v>0</v>
      </c>
      <c r="AT413" t="str">
        <f t="shared" si="261"/>
        <v xml:space="preserve">["VXP"] =    0; </v>
      </c>
      <c r="AU413" t="str">
        <f t="shared" si="262"/>
        <v>0</v>
      </c>
      <c r="AV413" t="str">
        <f t="shared" si="263"/>
        <v xml:space="preserve">["LP"] =  0; </v>
      </c>
      <c r="AW413" t="str">
        <f t="shared" si="264"/>
        <v>0</v>
      </c>
      <c r="AX413" t="str">
        <f t="shared" si="265"/>
        <v xml:space="preserve">["REP"] =     0; </v>
      </c>
      <c r="AY413">
        <f>IF(LEN(P413)&gt;0,VLOOKUP(P413,Faction!A$2:B$77,2,FALSE),1)</f>
        <v>1</v>
      </c>
      <c r="AZ413" t="str">
        <f t="shared" si="266"/>
        <v xml:space="preserve">["FACTION"] =  1; </v>
      </c>
      <c r="BA413" t="str">
        <f t="shared" si="245"/>
        <v/>
      </c>
      <c r="BB413" t="str">
        <f t="shared" si="267"/>
        <v xml:space="preserve">                     </v>
      </c>
      <c r="BC413" t="str">
        <f t="shared" si="268"/>
        <v xml:space="preserve">                  </v>
      </c>
      <c r="BD413" t="str">
        <f t="shared" si="269"/>
        <v xml:space="preserve">["NAME"] = { ["EN"] = "2017 Festival Steeds"; }; </v>
      </c>
      <c r="BE413" t="str">
        <f t="shared" si="270"/>
        <v xml:space="preserve">["LORE"] = { ["EN"] = "You have completed your collection of 2017 festival steeds."; }; </v>
      </c>
      <c r="BF413" t="str">
        <f t="shared" si="271"/>
        <v xml:space="preserve">["SUMMARY"] = { ["EN"] = "Mount 7 steeds from 2017"; }; </v>
      </c>
      <c r="BG413" t="str">
        <f t="shared" si="272"/>
        <v xml:space="preserve">["TITLE"] = { ["EN"] = "the Festive Rider"; }; </v>
      </c>
      <c r="BH413" t="str">
        <f t="shared" si="273"/>
        <v/>
      </c>
      <c r="BI413" t="str">
        <f t="shared" si="274"/>
        <v/>
      </c>
      <c r="BJ413" t="str">
        <f t="shared" si="276"/>
        <v>};</v>
      </c>
    </row>
    <row r="414" spans="1:62" x14ac:dyDescent="0.25">
      <c r="A414">
        <v>1879361994</v>
      </c>
      <c r="B414">
        <v>216</v>
      </c>
      <c r="C414" t="s">
        <v>1786</v>
      </c>
      <c r="D414" t="s">
        <v>30</v>
      </c>
      <c r="G414" t="s">
        <v>2326</v>
      </c>
      <c r="J414" t="s">
        <v>3525</v>
      </c>
      <c r="M414" t="s">
        <v>1787</v>
      </c>
      <c r="Q414" t="s">
        <v>1823</v>
      </c>
      <c r="R414" t="s">
        <v>1788</v>
      </c>
      <c r="S414">
        <v>0</v>
      </c>
      <c r="X414" t="str">
        <f t="shared" si="244"/>
        <v>[413] = {["ID"] = 1879361994; }; -- Autumn Adventurer (large)</v>
      </c>
      <c r="Y414" s="1" t="str">
        <f t="shared" si="246"/>
        <v>[413]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4">
        <f t="shared" si="275"/>
        <v>413</v>
      </c>
      <c r="AA414" t="str">
        <f t="shared" si="247"/>
        <v>[413] = {</v>
      </c>
      <c r="AB414" t="str">
        <f t="shared" si="248"/>
        <v xml:space="preserve">["ID"] = 1879361994; </v>
      </c>
      <c r="AC414" t="str">
        <f t="shared" si="249"/>
        <v xml:space="preserve">["ID"] = 1879361994; </v>
      </c>
      <c r="AD414" t="str">
        <f t="shared" si="250"/>
        <v/>
      </c>
      <c r="AE414" t="str">
        <f t="shared" si="251"/>
        <v xml:space="preserve"> (large)</v>
      </c>
      <c r="AF414" s="1" t="str">
        <f t="shared" si="252"/>
        <v xml:space="preserve">["SAVE_INDEX"] = 216; </v>
      </c>
      <c r="AG414">
        <f>VLOOKUP(D414,Type!A$2:B$16,2,FALSE)</f>
        <v>7</v>
      </c>
      <c r="AH414" t="str">
        <f t="shared" si="253"/>
        <v xml:space="preserve">["TYPE"] =  7; </v>
      </c>
      <c r="AI414" t="str">
        <f t="shared" si="254"/>
        <v xml:space="preserve">                      </v>
      </c>
      <c r="AJ414" t="str">
        <f>IF(AND(F414="Class",NOT(ISBLANK(E414))),VLOOKUP(E414,Class!A$1:B$12,2,FALSE),"")</f>
        <v/>
      </c>
      <c r="AK414" t="str">
        <f>IF(AND(F414="Vocation",NOT(ISBLANK(E414))),VLOOKUP(E414,Vocation!A$1:B$8,2,FALSE),"")</f>
        <v/>
      </c>
      <c r="AL414" t="str">
        <f>IF(AND(F414="Race",NOT(ISBLANK(E414))),VLOOKUP(E414,Race!A$1:B$9,2,),"")</f>
        <v/>
      </c>
      <c r="AM414" t="str">
        <f t="shared" si="255"/>
        <v xml:space="preserve">  0</v>
      </c>
      <c r="AN414" t="str">
        <f t="shared" si="256"/>
        <v xml:space="preserve">["SUBTYPE"] =   0; </v>
      </c>
      <c r="AO414">
        <f>IF(NOT(ISBLANK(G414)),VLOOKUP(G414,Type!D$2:E$6,2,FALSE),"")</f>
        <v>5</v>
      </c>
      <c r="AP414" t="str">
        <f t="shared" si="257"/>
        <v xml:space="preserve">["NA"] = 5; </v>
      </c>
      <c r="AQ414" t="str">
        <f t="shared" si="258"/>
        <v xml:space="preserve">                      </v>
      </c>
      <c r="AR414" t="str">
        <f t="shared" si="259"/>
        <v xml:space="preserve">["MOUNT"] = "large"; </v>
      </c>
      <c r="AS414" t="str">
        <f t="shared" si="260"/>
        <v>0</v>
      </c>
      <c r="AT414" t="str">
        <f t="shared" si="261"/>
        <v xml:space="preserve">["VXP"] =    0; </v>
      </c>
      <c r="AU414" t="str">
        <f t="shared" si="262"/>
        <v>0</v>
      </c>
      <c r="AV414" t="str">
        <f t="shared" si="263"/>
        <v xml:space="preserve">["LP"] =  0; </v>
      </c>
      <c r="AW414" t="str">
        <f t="shared" si="264"/>
        <v>0</v>
      </c>
      <c r="AX414" t="str">
        <f t="shared" si="265"/>
        <v xml:space="preserve">["REP"] =     0; </v>
      </c>
      <c r="AY414">
        <f>IF(LEN(P414)&gt;0,VLOOKUP(P414,Faction!A$2:B$77,2,FALSE),1)</f>
        <v>1</v>
      </c>
      <c r="AZ414" t="str">
        <f t="shared" si="266"/>
        <v xml:space="preserve">["FACTION"] =  1; </v>
      </c>
      <c r="BA414" t="str">
        <f t="shared" si="245"/>
        <v/>
      </c>
      <c r="BB414" t="str">
        <f t="shared" si="267"/>
        <v xml:space="preserve">                     </v>
      </c>
      <c r="BC414" t="str">
        <f t="shared" si="268"/>
        <v xml:space="preserve">                  </v>
      </c>
      <c r="BD414" t="str">
        <f t="shared" si="269"/>
        <v xml:space="preserve">["NAME"] = { ["EN"] = "Autumn Adventurer"; }; </v>
      </c>
      <c r="BE414" t="str">
        <f t="shared" si="270"/>
        <v xml:space="preserve">["LORE"] = { ["EN"] = "You have completed your collection of Autumnal equines."; }; </v>
      </c>
      <c r="BF414" t="str">
        <f t="shared" si="271"/>
        <v xml:space="preserve">["SUMMARY"] = { ["EN"] = "Mount 4 different autumn equines"; }; </v>
      </c>
      <c r="BG414" t="str">
        <f t="shared" si="272"/>
        <v xml:space="preserve">["TITLE"] = { ["EN"] = "Rustler of Fallen Leaves"; }; </v>
      </c>
      <c r="BH414" t="str">
        <f t="shared" si="273"/>
        <v/>
      </c>
      <c r="BI414" t="str">
        <f t="shared" si="274"/>
        <v/>
      </c>
      <c r="BJ414" t="str">
        <f t="shared" si="276"/>
        <v>};</v>
      </c>
    </row>
    <row r="415" spans="1:62" x14ac:dyDescent="0.25">
      <c r="A415">
        <v>1879363509</v>
      </c>
      <c r="B415">
        <v>369</v>
      </c>
      <c r="C415" t="s">
        <v>1786</v>
      </c>
      <c r="D415" t="s">
        <v>30</v>
      </c>
      <c r="G415" t="s">
        <v>2326</v>
      </c>
      <c r="J415" t="s">
        <v>3526</v>
      </c>
      <c r="M415" t="s">
        <v>1787</v>
      </c>
      <c r="Q415" t="s">
        <v>1823</v>
      </c>
      <c r="R415" t="s">
        <v>1788</v>
      </c>
      <c r="S415">
        <v>0</v>
      </c>
      <c r="X415" t="str">
        <f t="shared" si="244"/>
        <v>[414] = {["ID"] = 1879363509; }; -- Autumn Adventurer (small)</v>
      </c>
      <c r="Y415" s="1" t="str">
        <f t="shared" si="246"/>
        <v>[414]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5">
        <f t="shared" si="275"/>
        <v>414</v>
      </c>
      <c r="AA415" t="str">
        <f t="shared" si="247"/>
        <v>[414] = {</v>
      </c>
      <c r="AB415" t="str">
        <f t="shared" si="248"/>
        <v xml:space="preserve">["ID"] = 1879363509; </v>
      </c>
      <c r="AC415" t="str">
        <f t="shared" si="249"/>
        <v xml:space="preserve">["ID"] = 1879363509; </v>
      </c>
      <c r="AD415" t="str">
        <f t="shared" si="250"/>
        <v/>
      </c>
      <c r="AE415" t="str">
        <f t="shared" si="251"/>
        <v xml:space="preserve"> (small)</v>
      </c>
      <c r="AF415" s="1" t="str">
        <f t="shared" si="252"/>
        <v xml:space="preserve">["SAVE_INDEX"] = 369; </v>
      </c>
      <c r="AG415">
        <f>VLOOKUP(D415,Type!A$2:B$16,2,FALSE)</f>
        <v>7</v>
      </c>
      <c r="AH415" t="str">
        <f t="shared" si="253"/>
        <v xml:space="preserve">["TYPE"] =  7; </v>
      </c>
      <c r="AI415" t="str">
        <f t="shared" si="254"/>
        <v xml:space="preserve">                      </v>
      </c>
      <c r="AJ415" t="str">
        <f>IF(AND(F415="Class",NOT(ISBLANK(E415))),VLOOKUP(E415,Class!A$1:B$12,2,FALSE),"")</f>
        <v/>
      </c>
      <c r="AK415" t="str">
        <f>IF(AND(F415="Vocation",NOT(ISBLANK(E415))),VLOOKUP(E415,Vocation!A$1:B$8,2,FALSE),"")</f>
        <v/>
      </c>
      <c r="AL415" t="str">
        <f>IF(AND(F415="Race",NOT(ISBLANK(E415))),VLOOKUP(E415,Race!A$1:B$9,2,),"")</f>
        <v/>
      </c>
      <c r="AM415" t="str">
        <f t="shared" si="255"/>
        <v xml:space="preserve">  0</v>
      </c>
      <c r="AN415" t="str">
        <f t="shared" si="256"/>
        <v xml:space="preserve">["SUBTYPE"] =   0; </v>
      </c>
      <c r="AO415">
        <f>IF(NOT(ISBLANK(G415)),VLOOKUP(G415,Type!D$2:E$6,2,FALSE),"")</f>
        <v>5</v>
      </c>
      <c r="AP415" t="str">
        <f t="shared" si="257"/>
        <v xml:space="preserve">["NA"] = 5; </v>
      </c>
      <c r="AQ415" t="str">
        <f t="shared" si="258"/>
        <v xml:space="preserve">                      </v>
      </c>
      <c r="AR415" t="str">
        <f t="shared" si="259"/>
        <v xml:space="preserve">["MOUNT"] = "small"; </v>
      </c>
      <c r="AS415" t="str">
        <f t="shared" si="260"/>
        <v>0</v>
      </c>
      <c r="AT415" t="str">
        <f t="shared" si="261"/>
        <v xml:space="preserve">["VXP"] =    0; </v>
      </c>
      <c r="AU415" t="str">
        <f t="shared" si="262"/>
        <v>0</v>
      </c>
      <c r="AV415" t="str">
        <f t="shared" si="263"/>
        <v xml:space="preserve">["LP"] =  0; </v>
      </c>
      <c r="AW415" t="str">
        <f t="shared" si="264"/>
        <v>0</v>
      </c>
      <c r="AX415" t="str">
        <f t="shared" si="265"/>
        <v xml:space="preserve">["REP"] =     0; </v>
      </c>
      <c r="AY415">
        <f>IF(LEN(P415)&gt;0,VLOOKUP(P415,Faction!A$2:B$77,2,FALSE),1)</f>
        <v>1</v>
      </c>
      <c r="AZ415" t="str">
        <f t="shared" si="266"/>
        <v xml:space="preserve">["FACTION"] =  1; </v>
      </c>
      <c r="BA415" t="str">
        <f t="shared" si="245"/>
        <v/>
      </c>
      <c r="BB415" t="str">
        <f t="shared" si="267"/>
        <v xml:space="preserve">                     </v>
      </c>
      <c r="BC415" t="str">
        <f t="shared" si="268"/>
        <v xml:space="preserve">                  </v>
      </c>
      <c r="BD415" t="str">
        <f t="shared" si="269"/>
        <v xml:space="preserve">["NAME"] = { ["EN"] = "Autumn Adventurer"; }; </v>
      </c>
      <c r="BE415" t="str">
        <f t="shared" si="270"/>
        <v xml:space="preserve">["LORE"] = { ["EN"] = "You have completed your collection of Autumnal equines."; }; </v>
      </c>
      <c r="BF415" t="str">
        <f t="shared" si="271"/>
        <v xml:space="preserve">["SUMMARY"] = { ["EN"] = "Mount 4 different autumn equines"; }; </v>
      </c>
      <c r="BG415" t="str">
        <f t="shared" si="272"/>
        <v xml:space="preserve">["TITLE"] = { ["EN"] = "Rustler of Fallen Leaves"; }; </v>
      </c>
      <c r="BH415" t="str">
        <f t="shared" si="273"/>
        <v/>
      </c>
      <c r="BI415" t="str">
        <f t="shared" si="274"/>
        <v/>
      </c>
      <c r="BJ415" t="str">
        <f t="shared" si="276"/>
        <v>};</v>
      </c>
    </row>
    <row r="416" spans="1:62" x14ac:dyDescent="0.25">
      <c r="A416">
        <v>1879362013</v>
      </c>
      <c r="B416">
        <v>221</v>
      </c>
      <c r="C416" t="s">
        <v>1803</v>
      </c>
      <c r="D416" t="s">
        <v>30</v>
      </c>
      <c r="G416" t="s">
        <v>2326</v>
      </c>
      <c r="J416" t="s">
        <v>3525</v>
      </c>
      <c r="M416" t="s">
        <v>1804</v>
      </c>
      <c r="Q416" t="s">
        <v>1806</v>
      </c>
      <c r="R416" t="s">
        <v>1805</v>
      </c>
      <c r="S416">
        <v>0</v>
      </c>
      <c r="X416" t="str">
        <f t="shared" si="244"/>
        <v>[415] = {["ID"] = 1879362013; }; -- Goat-herder (large)</v>
      </c>
      <c r="Y416" s="1" t="str">
        <f t="shared" si="246"/>
        <v>[415] = {["ID"] = 1879362013; ["SAVE_INDEX"] = 221; ["TYPE"] =  7;                       ["SUBTYPE"] =   0; ["NA"] = 5;                       ["MOUNT"] = "large"; ["VXP"] =    0; ["LP"] =  0; ["REP"] =     0; ["FACTION"] =  1;                                        ["NAME"] = { ["EN"] = "Goat-herder"; }; ["LORE"] = { ["EN"] = "You have completed your collection of goat mounts."; }; ["SUMMARY"] = { ["EN"] = "Mount 9 different goats"; }; ["TITLE"] = { ["EN"] = "Goatherd"; }; };</v>
      </c>
      <c r="Z416">
        <f t="shared" si="275"/>
        <v>415</v>
      </c>
      <c r="AA416" t="str">
        <f t="shared" si="247"/>
        <v>[415] = {</v>
      </c>
      <c r="AB416" t="str">
        <f t="shared" si="248"/>
        <v xml:space="preserve">["ID"] = 1879362013; </v>
      </c>
      <c r="AC416" t="str">
        <f t="shared" si="249"/>
        <v xml:space="preserve">["ID"] = 1879362013; </v>
      </c>
      <c r="AD416" t="str">
        <f t="shared" si="250"/>
        <v/>
      </c>
      <c r="AE416" t="str">
        <f t="shared" si="251"/>
        <v xml:space="preserve"> (large)</v>
      </c>
      <c r="AF416" s="1" t="str">
        <f t="shared" si="252"/>
        <v xml:space="preserve">["SAVE_INDEX"] = 221; </v>
      </c>
      <c r="AG416">
        <f>VLOOKUP(D416,Type!A$2:B$16,2,FALSE)</f>
        <v>7</v>
      </c>
      <c r="AH416" t="str">
        <f t="shared" si="253"/>
        <v xml:space="preserve">["TYPE"] =  7; </v>
      </c>
      <c r="AI416" t="str">
        <f t="shared" si="254"/>
        <v xml:space="preserve">                      </v>
      </c>
      <c r="AJ416" t="str">
        <f>IF(AND(F416="Class",NOT(ISBLANK(E416))),VLOOKUP(E416,Class!A$1:B$12,2,FALSE),"")</f>
        <v/>
      </c>
      <c r="AK416" t="str">
        <f>IF(AND(F416="Vocation",NOT(ISBLANK(E416))),VLOOKUP(E416,Vocation!A$1:B$8,2,FALSE),"")</f>
        <v/>
      </c>
      <c r="AL416" t="str">
        <f>IF(AND(F416="Race",NOT(ISBLANK(E416))),VLOOKUP(E416,Race!A$1:B$9,2,),"")</f>
        <v/>
      </c>
      <c r="AM416" t="str">
        <f t="shared" si="255"/>
        <v xml:space="preserve">  0</v>
      </c>
      <c r="AN416" t="str">
        <f t="shared" si="256"/>
        <v xml:space="preserve">["SUBTYPE"] =   0; </v>
      </c>
      <c r="AO416">
        <f>IF(NOT(ISBLANK(G416)),VLOOKUP(G416,Type!D$2:E$6,2,FALSE),"")</f>
        <v>5</v>
      </c>
      <c r="AP416" t="str">
        <f t="shared" si="257"/>
        <v xml:space="preserve">["NA"] = 5; </v>
      </c>
      <c r="AQ416" t="str">
        <f t="shared" si="258"/>
        <v xml:space="preserve">                      </v>
      </c>
      <c r="AR416" t="str">
        <f t="shared" si="259"/>
        <v xml:space="preserve">["MOUNT"] = "large"; </v>
      </c>
      <c r="AS416" t="str">
        <f t="shared" si="260"/>
        <v>0</v>
      </c>
      <c r="AT416" t="str">
        <f t="shared" si="261"/>
        <v xml:space="preserve">["VXP"] =    0; </v>
      </c>
      <c r="AU416" t="str">
        <f t="shared" si="262"/>
        <v>0</v>
      </c>
      <c r="AV416" t="str">
        <f t="shared" si="263"/>
        <v xml:space="preserve">["LP"] =  0; </v>
      </c>
      <c r="AW416" t="str">
        <f t="shared" si="264"/>
        <v>0</v>
      </c>
      <c r="AX416" t="str">
        <f t="shared" si="265"/>
        <v xml:space="preserve">["REP"] =     0; </v>
      </c>
      <c r="AY416">
        <f>IF(LEN(P416)&gt;0,VLOOKUP(P416,Faction!A$2:B$77,2,FALSE),1)</f>
        <v>1</v>
      </c>
      <c r="AZ416" t="str">
        <f t="shared" si="266"/>
        <v xml:space="preserve">["FACTION"] =  1; </v>
      </c>
      <c r="BA416" t="str">
        <f t="shared" si="245"/>
        <v/>
      </c>
      <c r="BB416" t="str">
        <f t="shared" si="267"/>
        <v xml:space="preserve">                     </v>
      </c>
      <c r="BC416" t="str">
        <f t="shared" si="268"/>
        <v xml:space="preserve">                  </v>
      </c>
      <c r="BD416" t="str">
        <f t="shared" si="269"/>
        <v xml:space="preserve">["NAME"] = { ["EN"] = "Goat-herder"; }; </v>
      </c>
      <c r="BE416" t="str">
        <f t="shared" si="270"/>
        <v xml:space="preserve">["LORE"] = { ["EN"] = "You have completed your collection of goat mounts."; }; </v>
      </c>
      <c r="BF416" t="str">
        <f t="shared" si="271"/>
        <v xml:space="preserve">["SUMMARY"] = { ["EN"] = "Mount 9 different goats"; }; </v>
      </c>
      <c r="BG416" t="str">
        <f t="shared" si="272"/>
        <v xml:space="preserve">["TITLE"] = { ["EN"] = "Goatherd"; }; </v>
      </c>
      <c r="BH416" t="str">
        <f t="shared" si="273"/>
        <v/>
      </c>
      <c r="BI416" t="str">
        <f t="shared" si="274"/>
        <v/>
      </c>
      <c r="BJ416" t="str">
        <f t="shared" si="276"/>
        <v>};</v>
      </c>
    </row>
    <row r="417" spans="1:62" x14ac:dyDescent="0.25">
      <c r="A417">
        <v>1879363515</v>
      </c>
      <c r="B417">
        <v>370</v>
      </c>
      <c r="C417" t="s">
        <v>1803</v>
      </c>
      <c r="D417" t="s">
        <v>30</v>
      </c>
      <c r="G417" t="s">
        <v>2326</v>
      </c>
      <c r="J417" t="s">
        <v>3526</v>
      </c>
      <c r="M417" t="s">
        <v>1804</v>
      </c>
      <c r="Q417" t="s">
        <v>1806</v>
      </c>
      <c r="R417" t="s">
        <v>1805</v>
      </c>
      <c r="S417">
        <v>0</v>
      </c>
      <c r="X417" t="str">
        <f t="shared" si="244"/>
        <v>[416] = {["ID"] = 1879363515; }; -- Goat-herder (small)</v>
      </c>
      <c r="Y417" s="1" t="str">
        <f t="shared" si="246"/>
        <v>[416] = {["ID"] = 1879363515; ["SAVE_INDEX"] = 370; ["TYPE"] =  7;                       ["SUBTYPE"] =   0; ["NA"] = 5;                       ["MOUNT"] = "small"; ["VXP"] =    0; ["LP"] =  0; ["REP"] =     0; ["FACTION"] =  1;                                        ["NAME"] = { ["EN"] = "Goat-herder"; }; ["LORE"] = { ["EN"] = "You have completed your collection of goat mounts."; }; ["SUMMARY"] = { ["EN"] = "Mount 9 different goats"; }; ["TITLE"] = { ["EN"] = "Goatherd"; }; };</v>
      </c>
      <c r="Z417">
        <f t="shared" si="275"/>
        <v>416</v>
      </c>
      <c r="AA417" t="str">
        <f t="shared" si="247"/>
        <v>[416] = {</v>
      </c>
      <c r="AB417" t="str">
        <f t="shared" si="248"/>
        <v xml:space="preserve">["ID"] = 1879363515; </v>
      </c>
      <c r="AC417" t="str">
        <f t="shared" si="249"/>
        <v xml:space="preserve">["ID"] = 1879363515; </v>
      </c>
      <c r="AD417" t="str">
        <f t="shared" si="250"/>
        <v/>
      </c>
      <c r="AE417" t="str">
        <f t="shared" si="251"/>
        <v xml:space="preserve"> (small)</v>
      </c>
      <c r="AF417" s="1" t="str">
        <f t="shared" si="252"/>
        <v xml:space="preserve">["SAVE_INDEX"] = 370; </v>
      </c>
      <c r="AG417">
        <f>VLOOKUP(D417,Type!A$2:B$16,2,FALSE)</f>
        <v>7</v>
      </c>
      <c r="AH417" t="str">
        <f t="shared" si="253"/>
        <v xml:space="preserve">["TYPE"] =  7; </v>
      </c>
      <c r="AI417" t="str">
        <f t="shared" si="254"/>
        <v xml:space="preserve">                      </v>
      </c>
      <c r="AJ417" t="str">
        <f>IF(AND(F417="Class",NOT(ISBLANK(E417))),VLOOKUP(E417,Class!A$1:B$12,2,FALSE),"")</f>
        <v/>
      </c>
      <c r="AK417" t="str">
        <f>IF(AND(F417="Vocation",NOT(ISBLANK(E417))),VLOOKUP(E417,Vocation!A$1:B$8,2,FALSE),"")</f>
        <v/>
      </c>
      <c r="AL417" t="str">
        <f>IF(AND(F417="Race",NOT(ISBLANK(E417))),VLOOKUP(E417,Race!A$1:B$9,2,),"")</f>
        <v/>
      </c>
      <c r="AM417" t="str">
        <f t="shared" si="255"/>
        <v xml:space="preserve">  0</v>
      </c>
      <c r="AN417" t="str">
        <f t="shared" si="256"/>
        <v xml:space="preserve">["SUBTYPE"] =   0; </v>
      </c>
      <c r="AO417">
        <f>IF(NOT(ISBLANK(G417)),VLOOKUP(G417,Type!D$2:E$6,2,FALSE),"")</f>
        <v>5</v>
      </c>
      <c r="AP417" t="str">
        <f t="shared" si="257"/>
        <v xml:space="preserve">["NA"] = 5; </v>
      </c>
      <c r="AQ417" t="str">
        <f t="shared" si="258"/>
        <v xml:space="preserve">                      </v>
      </c>
      <c r="AR417" t="str">
        <f t="shared" si="259"/>
        <v xml:space="preserve">["MOUNT"] = "small"; </v>
      </c>
      <c r="AS417" t="str">
        <f t="shared" si="260"/>
        <v>0</v>
      </c>
      <c r="AT417" t="str">
        <f t="shared" si="261"/>
        <v xml:space="preserve">["VXP"] =    0; </v>
      </c>
      <c r="AU417" t="str">
        <f t="shared" si="262"/>
        <v>0</v>
      </c>
      <c r="AV417" t="str">
        <f t="shared" si="263"/>
        <v xml:space="preserve">["LP"] =  0; </v>
      </c>
      <c r="AW417" t="str">
        <f t="shared" si="264"/>
        <v>0</v>
      </c>
      <c r="AX417" t="str">
        <f t="shared" si="265"/>
        <v xml:space="preserve">["REP"] =     0; </v>
      </c>
      <c r="AY417">
        <f>IF(LEN(P417)&gt;0,VLOOKUP(P417,Faction!A$2:B$77,2,FALSE),1)</f>
        <v>1</v>
      </c>
      <c r="AZ417" t="str">
        <f t="shared" si="266"/>
        <v xml:space="preserve">["FACTION"] =  1; </v>
      </c>
      <c r="BA417" t="str">
        <f t="shared" si="245"/>
        <v/>
      </c>
      <c r="BB417" t="str">
        <f t="shared" si="267"/>
        <v xml:space="preserve">                     </v>
      </c>
      <c r="BC417" t="str">
        <f t="shared" si="268"/>
        <v xml:space="preserve">                  </v>
      </c>
      <c r="BD417" t="str">
        <f t="shared" si="269"/>
        <v xml:space="preserve">["NAME"] = { ["EN"] = "Goat-herder"; }; </v>
      </c>
      <c r="BE417" t="str">
        <f t="shared" si="270"/>
        <v xml:space="preserve">["LORE"] = { ["EN"] = "You have completed your collection of goat mounts."; }; </v>
      </c>
      <c r="BF417" t="str">
        <f t="shared" si="271"/>
        <v xml:space="preserve">["SUMMARY"] = { ["EN"] = "Mount 9 different goats"; }; </v>
      </c>
      <c r="BG417" t="str">
        <f t="shared" si="272"/>
        <v xml:space="preserve">["TITLE"] = { ["EN"] = "Goatherd"; }; </v>
      </c>
      <c r="BH417" t="str">
        <f t="shared" si="273"/>
        <v/>
      </c>
      <c r="BI417" t="str">
        <f t="shared" si="274"/>
        <v/>
      </c>
      <c r="BJ417" t="str">
        <f t="shared" si="276"/>
        <v>};</v>
      </c>
    </row>
    <row r="418" spans="1:62" x14ac:dyDescent="0.25">
      <c r="A418">
        <v>1879361990</v>
      </c>
      <c r="B418">
        <v>226</v>
      </c>
      <c r="C418" t="s">
        <v>1820</v>
      </c>
      <c r="D418" t="s">
        <v>30</v>
      </c>
      <c r="G418" t="s">
        <v>2326</v>
      </c>
      <c r="J418" t="s">
        <v>3525</v>
      </c>
      <c r="M418" t="s">
        <v>3523</v>
      </c>
      <c r="Q418" t="s">
        <v>1822</v>
      </c>
      <c r="R418" t="s">
        <v>1821</v>
      </c>
      <c r="S418">
        <v>0</v>
      </c>
      <c r="X418" t="str">
        <f t="shared" si="244"/>
        <v>[417] = {["ID"] = 1879361990; }; -- Spring in Your Step (large)</v>
      </c>
      <c r="Y418" s="1" t="str">
        <f t="shared" si="246"/>
        <v>[417]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18">
        <f t="shared" si="275"/>
        <v>417</v>
      </c>
      <c r="AA418" t="str">
        <f t="shared" si="247"/>
        <v>[417] = {</v>
      </c>
      <c r="AB418" t="str">
        <f t="shared" si="248"/>
        <v xml:space="preserve">["ID"] = 1879361990; </v>
      </c>
      <c r="AC418" t="str">
        <f t="shared" si="249"/>
        <v xml:space="preserve">["ID"] = 1879361990; </v>
      </c>
      <c r="AD418" t="str">
        <f t="shared" si="250"/>
        <v/>
      </c>
      <c r="AE418" t="str">
        <f t="shared" si="251"/>
        <v xml:space="preserve"> (large)</v>
      </c>
      <c r="AF418" s="1" t="str">
        <f t="shared" si="252"/>
        <v xml:space="preserve">["SAVE_INDEX"] = 226; </v>
      </c>
      <c r="AG418">
        <f>VLOOKUP(D418,Type!A$2:B$16,2,FALSE)</f>
        <v>7</v>
      </c>
      <c r="AH418" t="str">
        <f t="shared" si="253"/>
        <v xml:space="preserve">["TYPE"] =  7; </v>
      </c>
      <c r="AI418" t="str">
        <f t="shared" si="254"/>
        <v xml:space="preserve">                      </v>
      </c>
      <c r="AJ418" t="str">
        <f>IF(AND(F418="Class",NOT(ISBLANK(E418))),VLOOKUP(E418,Class!A$1:B$12,2,FALSE),"")</f>
        <v/>
      </c>
      <c r="AK418" t="str">
        <f>IF(AND(F418="Vocation",NOT(ISBLANK(E418))),VLOOKUP(E418,Vocation!A$1:B$8,2,FALSE),"")</f>
        <v/>
      </c>
      <c r="AL418" t="str">
        <f>IF(AND(F418="Race",NOT(ISBLANK(E418))),VLOOKUP(E418,Race!A$1:B$9,2,),"")</f>
        <v/>
      </c>
      <c r="AM418" t="str">
        <f t="shared" si="255"/>
        <v xml:space="preserve">  0</v>
      </c>
      <c r="AN418" t="str">
        <f t="shared" si="256"/>
        <v xml:space="preserve">["SUBTYPE"] =   0; </v>
      </c>
      <c r="AO418">
        <f>IF(NOT(ISBLANK(G418)),VLOOKUP(G418,Type!D$2:E$6,2,FALSE),"")</f>
        <v>5</v>
      </c>
      <c r="AP418" t="str">
        <f t="shared" si="257"/>
        <v xml:space="preserve">["NA"] = 5; </v>
      </c>
      <c r="AQ418" t="str">
        <f t="shared" si="258"/>
        <v xml:space="preserve">                      </v>
      </c>
      <c r="AR418" t="str">
        <f t="shared" si="259"/>
        <v xml:space="preserve">["MOUNT"] = "large"; </v>
      </c>
      <c r="AS418" t="str">
        <f t="shared" si="260"/>
        <v>0</v>
      </c>
      <c r="AT418" t="str">
        <f t="shared" si="261"/>
        <v xml:space="preserve">["VXP"] =    0; </v>
      </c>
      <c r="AU418" t="str">
        <f t="shared" si="262"/>
        <v>0</v>
      </c>
      <c r="AV418" t="str">
        <f t="shared" si="263"/>
        <v xml:space="preserve">["LP"] =  0; </v>
      </c>
      <c r="AW418" t="str">
        <f t="shared" si="264"/>
        <v>0</v>
      </c>
      <c r="AX418" t="str">
        <f t="shared" si="265"/>
        <v xml:space="preserve">["REP"] =     0; </v>
      </c>
      <c r="AY418">
        <f>IF(LEN(P418)&gt;0,VLOOKUP(P418,Faction!A$2:B$77,2,FALSE),1)</f>
        <v>1</v>
      </c>
      <c r="AZ418" t="str">
        <f t="shared" si="266"/>
        <v xml:space="preserve">["FACTION"] =  1; </v>
      </c>
      <c r="BA418" t="str">
        <f t="shared" si="245"/>
        <v/>
      </c>
      <c r="BB418" t="str">
        <f t="shared" si="267"/>
        <v xml:space="preserve">                     </v>
      </c>
      <c r="BC418" t="str">
        <f t="shared" si="268"/>
        <v xml:space="preserve">                  </v>
      </c>
      <c r="BD418" t="str">
        <f t="shared" si="269"/>
        <v xml:space="preserve">["NAME"] = { ["EN"] = "Spring in Your Step"; }; </v>
      </c>
      <c r="BE418" t="str">
        <f t="shared" si="270"/>
        <v xml:space="preserve">["LORE"] = { ["EN"] = "You have completed your collection of Spring-time equines."; }; </v>
      </c>
      <c r="BF418" t="str">
        <f t="shared" si="271"/>
        <v xml:space="preserve">["SUMMARY"] = { ["EN"] = "Mount 4 different spring-time equines."; }; </v>
      </c>
      <c r="BG418" t="str">
        <f t="shared" si="272"/>
        <v xml:space="preserve">["TITLE"] = { ["EN"] = "Spring in His / Her step"; }; </v>
      </c>
      <c r="BH418" t="str">
        <f t="shared" si="273"/>
        <v/>
      </c>
      <c r="BI418" t="str">
        <f t="shared" si="274"/>
        <v/>
      </c>
      <c r="BJ418" t="str">
        <f t="shared" si="276"/>
        <v>};</v>
      </c>
    </row>
    <row r="419" spans="1:62" x14ac:dyDescent="0.25">
      <c r="A419">
        <v>1879363517</v>
      </c>
      <c r="B419">
        <v>371</v>
      </c>
      <c r="C419" t="s">
        <v>1820</v>
      </c>
      <c r="D419" t="s">
        <v>30</v>
      </c>
      <c r="G419" t="s">
        <v>2326</v>
      </c>
      <c r="J419" t="s">
        <v>3526</v>
      </c>
      <c r="M419" t="s">
        <v>3523</v>
      </c>
      <c r="Q419" t="s">
        <v>1822</v>
      </c>
      <c r="R419" t="s">
        <v>1821</v>
      </c>
      <c r="S419">
        <v>0</v>
      </c>
      <c r="X419" t="str">
        <f t="shared" si="244"/>
        <v>[418] = {["ID"] = 1879363517; }; -- Spring in Your Step (small)</v>
      </c>
      <c r="Y419" s="1" t="str">
        <f t="shared" si="246"/>
        <v>[418]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19">
        <f t="shared" si="275"/>
        <v>418</v>
      </c>
      <c r="AA419" t="str">
        <f t="shared" si="247"/>
        <v>[418] = {</v>
      </c>
      <c r="AB419" t="str">
        <f t="shared" si="248"/>
        <v xml:space="preserve">["ID"] = 1879363517; </v>
      </c>
      <c r="AC419" t="str">
        <f t="shared" si="249"/>
        <v xml:space="preserve">["ID"] = 1879363517; </v>
      </c>
      <c r="AD419" t="str">
        <f t="shared" si="250"/>
        <v/>
      </c>
      <c r="AE419" t="str">
        <f t="shared" si="251"/>
        <v xml:space="preserve"> (small)</v>
      </c>
      <c r="AF419" s="1" t="str">
        <f t="shared" si="252"/>
        <v xml:space="preserve">["SAVE_INDEX"] = 371; </v>
      </c>
      <c r="AG419">
        <f>VLOOKUP(D419,Type!A$2:B$16,2,FALSE)</f>
        <v>7</v>
      </c>
      <c r="AH419" t="str">
        <f t="shared" si="253"/>
        <v xml:space="preserve">["TYPE"] =  7; </v>
      </c>
      <c r="AI419" t="str">
        <f t="shared" si="254"/>
        <v xml:space="preserve">                      </v>
      </c>
      <c r="AJ419" t="str">
        <f>IF(AND(F419="Class",NOT(ISBLANK(E419))),VLOOKUP(E419,Class!A$1:B$12,2,FALSE),"")</f>
        <v/>
      </c>
      <c r="AK419" t="str">
        <f>IF(AND(F419="Vocation",NOT(ISBLANK(E419))),VLOOKUP(E419,Vocation!A$1:B$8,2,FALSE),"")</f>
        <v/>
      </c>
      <c r="AL419" t="str">
        <f>IF(AND(F419="Race",NOT(ISBLANK(E419))),VLOOKUP(E419,Race!A$1:B$9,2,),"")</f>
        <v/>
      </c>
      <c r="AM419" t="str">
        <f t="shared" si="255"/>
        <v xml:space="preserve">  0</v>
      </c>
      <c r="AN419" t="str">
        <f t="shared" si="256"/>
        <v xml:space="preserve">["SUBTYPE"] =   0; </v>
      </c>
      <c r="AO419">
        <f>IF(NOT(ISBLANK(G419)),VLOOKUP(G419,Type!D$2:E$6,2,FALSE),"")</f>
        <v>5</v>
      </c>
      <c r="AP419" t="str">
        <f t="shared" si="257"/>
        <v xml:space="preserve">["NA"] = 5; </v>
      </c>
      <c r="AQ419" t="str">
        <f t="shared" si="258"/>
        <v xml:space="preserve">                      </v>
      </c>
      <c r="AR419" t="str">
        <f t="shared" si="259"/>
        <v xml:space="preserve">["MOUNT"] = "small"; </v>
      </c>
      <c r="AS419" t="str">
        <f t="shared" si="260"/>
        <v>0</v>
      </c>
      <c r="AT419" t="str">
        <f t="shared" si="261"/>
        <v xml:space="preserve">["VXP"] =    0; </v>
      </c>
      <c r="AU419" t="str">
        <f t="shared" si="262"/>
        <v>0</v>
      </c>
      <c r="AV419" t="str">
        <f t="shared" si="263"/>
        <v xml:space="preserve">["LP"] =  0; </v>
      </c>
      <c r="AW419" t="str">
        <f t="shared" si="264"/>
        <v>0</v>
      </c>
      <c r="AX419" t="str">
        <f t="shared" si="265"/>
        <v xml:space="preserve">["REP"] =     0; </v>
      </c>
      <c r="AY419">
        <f>IF(LEN(P419)&gt;0,VLOOKUP(P419,Faction!A$2:B$77,2,FALSE),1)</f>
        <v>1</v>
      </c>
      <c r="AZ419" t="str">
        <f t="shared" si="266"/>
        <v xml:space="preserve">["FACTION"] =  1; </v>
      </c>
      <c r="BA419" t="str">
        <f t="shared" si="245"/>
        <v/>
      </c>
      <c r="BB419" t="str">
        <f t="shared" si="267"/>
        <v xml:space="preserve">                     </v>
      </c>
      <c r="BC419" t="str">
        <f t="shared" si="268"/>
        <v xml:space="preserve">                  </v>
      </c>
      <c r="BD419" t="str">
        <f t="shared" si="269"/>
        <v xml:space="preserve">["NAME"] = { ["EN"] = "Spring in Your Step"; }; </v>
      </c>
      <c r="BE419" t="str">
        <f t="shared" si="270"/>
        <v xml:space="preserve">["LORE"] = { ["EN"] = "You have completed your collection of Spring-time equines."; }; </v>
      </c>
      <c r="BF419" t="str">
        <f t="shared" si="271"/>
        <v xml:space="preserve">["SUMMARY"] = { ["EN"] = "Mount 4 different spring-time equines."; }; </v>
      </c>
      <c r="BG419" t="str">
        <f t="shared" si="272"/>
        <v xml:space="preserve">["TITLE"] = { ["EN"] = "Spring in His / Her step"; }; </v>
      </c>
      <c r="BH419" t="str">
        <f t="shared" si="273"/>
        <v/>
      </c>
      <c r="BI419" t="str">
        <f t="shared" si="274"/>
        <v/>
      </c>
      <c r="BJ419" t="str">
        <f t="shared" si="276"/>
        <v>};</v>
      </c>
    </row>
    <row r="420" spans="1:62" x14ac:dyDescent="0.25">
      <c r="A420">
        <v>1879361991</v>
      </c>
      <c r="B420">
        <v>227</v>
      </c>
      <c r="C420" t="s">
        <v>1826</v>
      </c>
      <c r="D420" t="s">
        <v>30</v>
      </c>
      <c r="G420" t="s">
        <v>2326</v>
      </c>
      <c r="J420" t="s">
        <v>3525</v>
      </c>
      <c r="M420" t="s">
        <v>1826</v>
      </c>
      <c r="Q420" t="s">
        <v>1827</v>
      </c>
      <c r="R420" t="s">
        <v>1828</v>
      </c>
      <c r="S420">
        <v>0</v>
      </c>
      <c r="X420" t="str">
        <f t="shared" si="244"/>
        <v>[419] = {["ID"] = 1879361991; }; -- Sun-strider (large)</v>
      </c>
      <c r="Y420" s="1" t="str">
        <f t="shared" si="246"/>
        <v>[419]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0">
        <f t="shared" si="275"/>
        <v>419</v>
      </c>
      <c r="AA420" t="str">
        <f t="shared" si="247"/>
        <v>[419] = {</v>
      </c>
      <c r="AB420" t="str">
        <f t="shared" si="248"/>
        <v xml:space="preserve">["ID"] = 1879361991; </v>
      </c>
      <c r="AC420" t="str">
        <f t="shared" si="249"/>
        <v xml:space="preserve">["ID"] = 1879361991; </v>
      </c>
      <c r="AD420" t="str">
        <f t="shared" si="250"/>
        <v/>
      </c>
      <c r="AE420" t="str">
        <f t="shared" si="251"/>
        <v xml:space="preserve"> (large)</v>
      </c>
      <c r="AF420" s="1" t="str">
        <f t="shared" si="252"/>
        <v xml:space="preserve">["SAVE_INDEX"] = 227; </v>
      </c>
      <c r="AG420">
        <f>VLOOKUP(D420,Type!A$2:B$16,2,FALSE)</f>
        <v>7</v>
      </c>
      <c r="AH420" t="str">
        <f t="shared" si="253"/>
        <v xml:space="preserve">["TYPE"] =  7; </v>
      </c>
      <c r="AI420" t="str">
        <f t="shared" si="254"/>
        <v xml:space="preserve">                      </v>
      </c>
      <c r="AJ420" t="str">
        <f>IF(AND(F420="Class",NOT(ISBLANK(E420))),VLOOKUP(E420,Class!A$1:B$12,2,FALSE),"")</f>
        <v/>
      </c>
      <c r="AK420" t="str">
        <f>IF(AND(F420="Vocation",NOT(ISBLANK(E420))),VLOOKUP(E420,Vocation!A$1:B$8,2,FALSE),"")</f>
        <v/>
      </c>
      <c r="AL420" t="str">
        <f>IF(AND(F420="Race",NOT(ISBLANK(E420))),VLOOKUP(E420,Race!A$1:B$9,2,),"")</f>
        <v/>
      </c>
      <c r="AM420" t="str">
        <f t="shared" si="255"/>
        <v xml:space="preserve">  0</v>
      </c>
      <c r="AN420" t="str">
        <f t="shared" si="256"/>
        <v xml:space="preserve">["SUBTYPE"] =   0; </v>
      </c>
      <c r="AO420">
        <f>IF(NOT(ISBLANK(G420)),VLOOKUP(G420,Type!D$2:E$6,2,FALSE),"")</f>
        <v>5</v>
      </c>
      <c r="AP420" t="str">
        <f t="shared" si="257"/>
        <v xml:space="preserve">["NA"] = 5; </v>
      </c>
      <c r="AQ420" t="str">
        <f t="shared" si="258"/>
        <v xml:space="preserve">                      </v>
      </c>
      <c r="AR420" t="str">
        <f t="shared" si="259"/>
        <v xml:space="preserve">["MOUNT"] = "large"; </v>
      </c>
      <c r="AS420" t="str">
        <f t="shared" si="260"/>
        <v>0</v>
      </c>
      <c r="AT420" t="str">
        <f t="shared" si="261"/>
        <v xml:space="preserve">["VXP"] =    0; </v>
      </c>
      <c r="AU420" t="str">
        <f t="shared" si="262"/>
        <v>0</v>
      </c>
      <c r="AV420" t="str">
        <f t="shared" si="263"/>
        <v xml:space="preserve">["LP"] =  0; </v>
      </c>
      <c r="AW420" t="str">
        <f t="shared" si="264"/>
        <v>0</v>
      </c>
      <c r="AX420" t="str">
        <f t="shared" si="265"/>
        <v xml:space="preserve">["REP"] =     0; </v>
      </c>
      <c r="AY420">
        <f>IF(LEN(P420)&gt;0,VLOOKUP(P420,Faction!A$2:B$77,2,FALSE),1)</f>
        <v>1</v>
      </c>
      <c r="AZ420" t="str">
        <f t="shared" si="266"/>
        <v xml:space="preserve">["FACTION"] =  1; </v>
      </c>
      <c r="BA420" t="str">
        <f t="shared" si="245"/>
        <v/>
      </c>
      <c r="BB420" t="str">
        <f t="shared" si="267"/>
        <v xml:space="preserve">                     </v>
      </c>
      <c r="BC420" t="str">
        <f t="shared" si="268"/>
        <v xml:space="preserve">                  </v>
      </c>
      <c r="BD420" t="str">
        <f t="shared" si="269"/>
        <v xml:space="preserve">["NAME"] = { ["EN"] = "Sun-strider"; }; </v>
      </c>
      <c r="BE420" t="str">
        <f t="shared" si="270"/>
        <v xml:space="preserve">["LORE"] = { ["EN"] = "You have completed your collection of Summer-time equines."; }; </v>
      </c>
      <c r="BF420" t="str">
        <f t="shared" si="271"/>
        <v xml:space="preserve">["SUMMARY"] = { ["EN"] = "Mount 4 different Summer-time equines"; }; </v>
      </c>
      <c r="BG420" t="str">
        <f t="shared" si="272"/>
        <v xml:space="preserve">["TITLE"] = { ["EN"] = "Sun-strider"; }; </v>
      </c>
      <c r="BH420" t="str">
        <f t="shared" si="273"/>
        <v/>
      </c>
      <c r="BI420" t="str">
        <f t="shared" si="274"/>
        <v/>
      </c>
      <c r="BJ420" t="str">
        <f t="shared" si="276"/>
        <v>};</v>
      </c>
    </row>
    <row r="421" spans="1:62" x14ac:dyDescent="0.25">
      <c r="A421">
        <v>1879363514</v>
      </c>
      <c r="B421">
        <v>372</v>
      </c>
      <c r="C421" t="s">
        <v>1826</v>
      </c>
      <c r="D421" t="s">
        <v>30</v>
      </c>
      <c r="G421" t="s">
        <v>2326</v>
      </c>
      <c r="J421" t="s">
        <v>3526</v>
      </c>
      <c r="M421" t="s">
        <v>1826</v>
      </c>
      <c r="Q421" t="s">
        <v>1827</v>
      </c>
      <c r="R421" t="s">
        <v>1828</v>
      </c>
      <c r="S421">
        <v>0</v>
      </c>
      <c r="X421" t="str">
        <f t="shared" si="244"/>
        <v>[420] = {["ID"] = 1879363514; }; -- Sun-strider (small)</v>
      </c>
      <c r="Y421" s="1" t="str">
        <f t="shared" si="246"/>
        <v>[420]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1">
        <f t="shared" si="275"/>
        <v>420</v>
      </c>
      <c r="AA421" t="str">
        <f t="shared" si="247"/>
        <v>[420] = {</v>
      </c>
      <c r="AB421" t="str">
        <f t="shared" si="248"/>
        <v xml:space="preserve">["ID"] = 1879363514; </v>
      </c>
      <c r="AC421" t="str">
        <f t="shared" si="249"/>
        <v xml:space="preserve">["ID"] = 1879363514; </v>
      </c>
      <c r="AD421" t="str">
        <f t="shared" si="250"/>
        <v/>
      </c>
      <c r="AE421" t="str">
        <f t="shared" si="251"/>
        <v xml:space="preserve"> (small)</v>
      </c>
      <c r="AF421" s="1" t="str">
        <f t="shared" si="252"/>
        <v xml:space="preserve">["SAVE_INDEX"] = 372; </v>
      </c>
      <c r="AG421">
        <f>VLOOKUP(D421,Type!A$2:B$16,2,FALSE)</f>
        <v>7</v>
      </c>
      <c r="AH421" t="str">
        <f t="shared" si="253"/>
        <v xml:space="preserve">["TYPE"] =  7; </v>
      </c>
      <c r="AI421" t="str">
        <f t="shared" si="254"/>
        <v xml:space="preserve">                      </v>
      </c>
      <c r="AJ421" t="str">
        <f>IF(AND(F421="Class",NOT(ISBLANK(E421))),VLOOKUP(E421,Class!A$1:B$12,2,FALSE),"")</f>
        <v/>
      </c>
      <c r="AK421" t="str">
        <f>IF(AND(F421="Vocation",NOT(ISBLANK(E421))),VLOOKUP(E421,Vocation!A$1:B$8,2,FALSE),"")</f>
        <v/>
      </c>
      <c r="AL421" t="str">
        <f>IF(AND(F421="Race",NOT(ISBLANK(E421))),VLOOKUP(E421,Race!A$1:B$9,2,),"")</f>
        <v/>
      </c>
      <c r="AM421" t="str">
        <f t="shared" si="255"/>
        <v xml:space="preserve">  0</v>
      </c>
      <c r="AN421" t="str">
        <f t="shared" si="256"/>
        <v xml:space="preserve">["SUBTYPE"] =   0; </v>
      </c>
      <c r="AO421">
        <f>IF(NOT(ISBLANK(G421)),VLOOKUP(G421,Type!D$2:E$6,2,FALSE),"")</f>
        <v>5</v>
      </c>
      <c r="AP421" t="str">
        <f t="shared" si="257"/>
        <v xml:space="preserve">["NA"] = 5; </v>
      </c>
      <c r="AQ421" t="str">
        <f t="shared" si="258"/>
        <v xml:space="preserve">                      </v>
      </c>
      <c r="AR421" t="str">
        <f t="shared" si="259"/>
        <v xml:space="preserve">["MOUNT"] = "small"; </v>
      </c>
      <c r="AS421" t="str">
        <f t="shared" si="260"/>
        <v>0</v>
      </c>
      <c r="AT421" t="str">
        <f t="shared" si="261"/>
        <v xml:space="preserve">["VXP"] =    0; </v>
      </c>
      <c r="AU421" t="str">
        <f t="shared" si="262"/>
        <v>0</v>
      </c>
      <c r="AV421" t="str">
        <f t="shared" si="263"/>
        <v xml:space="preserve">["LP"] =  0; </v>
      </c>
      <c r="AW421" t="str">
        <f t="shared" si="264"/>
        <v>0</v>
      </c>
      <c r="AX421" t="str">
        <f t="shared" si="265"/>
        <v xml:space="preserve">["REP"] =     0; </v>
      </c>
      <c r="AY421">
        <f>IF(LEN(P421)&gt;0,VLOOKUP(P421,Faction!A$2:B$77,2,FALSE),1)</f>
        <v>1</v>
      </c>
      <c r="AZ421" t="str">
        <f t="shared" si="266"/>
        <v xml:space="preserve">["FACTION"] =  1; </v>
      </c>
      <c r="BA421" t="str">
        <f t="shared" si="245"/>
        <v/>
      </c>
      <c r="BB421" t="str">
        <f t="shared" si="267"/>
        <v xml:space="preserve">                     </v>
      </c>
      <c r="BC421" t="str">
        <f t="shared" si="268"/>
        <v xml:space="preserve">                  </v>
      </c>
      <c r="BD421" t="str">
        <f t="shared" si="269"/>
        <v xml:space="preserve">["NAME"] = { ["EN"] = "Sun-strider"; }; </v>
      </c>
      <c r="BE421" t="str">
        <f t="shared" si="270"/>
        <v xml:space="preserve">["LORE"] = { ["EN"] = "You have completed your collection of Summer-time equines."; }; </v>
      </c>
      <c r="BF421" t="str">
        <f t="shared" si="271"/>
        <v xml:space="preserve">["SUMMARY"] = { ["EN"] = "Mount 4 different Summer-time equines"; }; </v>
      </c>
      <c r="BG421" t="str">
        <f t="shared" si="272"/>
        <v xml:space="preserve">["TITLE"] = { ["EN"] = "Sun-strider"; }; </v>
      </c>
      <c r="BH421" t="str">
        <f t="shared" si="273"/>
        <v/>
      </c>
      <c r="BI421" t="str">
        <f t="shared" si="274"/>
        <v/>
      </c>
      <c r="BJ421" t="str">
        <f t="shared" si="276"/>
        <v>};</v>
      </c>
    </row>
    <row r="422" spans="1:62" x14ac:dyDescent="0.25">
      <c r="A422">
        <v>1879362003</v>
      </c>
      <c r="B422">
        <v>230</v>
      </c>
      <c r="C422" t="s">
        <v>1836</v>
      </c>
      <c r="D422" t="s">
        <v>30</v>
      </c>
      <c r="G422" t="s">
        <v>2323</v>
      </c>
      <c r="M422" t="s">
        <v>1837</v>
      </c>
      <c r="Q422" t="s">
        <v>1839</v>
      </c>
      <c r="R422" t="s">
        <v>1838</v>
      </c>
      <c r="S422">
        <v>0</v>
      </c>
      <c r="X422" t="str">
        <f t="shared" si="244"/>
        <v>[421] = {["ID"] = 1879362003; }; -- The Steeds of Gorgoroth</v>
      </c>
      <c r="Y422" s="1" t="str">
        <f t="shared" si="246"/>
        <v>[421]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2">
        <f t="shared" si="275"/>
        <v>421</v>
      </c>
      <c r="AA422" t="str">
        <f t="shared" si="247"/>
        <v>[421] = {</v>
      </c>
      <c r="AB422" t="str">
        <f t="shared" si="248"/>
        <v xml:space="preserve">["ID"] = 1879362003; </v>
      </c>
      <c r="AC422" t="str">
        <f t="shared" si="249"/>
        <v xml:space="preserve">["ID"] = 1879362003; </v>
      </c>
      <c r="AD422" t="str">
        <f t="shared" si="250"/>
        <v/>
      </c>
      <c r="AE422" t="str">
        <f t="shared" si="251"/>
        <v/>
      </c>
      <c r="AF422" s="1" t="str">
        <f t="shared" si="252"/>
        <v xml:space="preserve">["SAVE_INDEX"] = 230; </v>
      </c>
      <c r="AG422">
        <f>VLOOKUP(D422,Type!A$2:B$16,2,FALSE)</f>
        <v>7</v>
      </c>
      <c r="AH422" t="str">
        <f t="shared" si="253"/>
        <v xml:space="preserve">["TYPE"] =  7; </v>
      </c>
      <c r="AI422" t="str">
        <f t="shared" si="254"/>
        <v xml:space="preserve">                      </v>
      </c>
      <c r="AJ422" t="str">
        <f>IF(AND(F422="Class",NOT(ISBLANK(E422))),VLOOKUP(E422,Class!A$1:B$12,2,FALSE),"")</f>
        <v/>
      </c>
      <c r="AK422" t="str">
        <f>IF(AND(F422="Vocation",NOT(ISBLANK(E422))),VLOOKUP(E422,Vocation!A$1:B$8,2,FALSE),"")</f>
        <v/>
      </c>
      <c r="AL422" t="str">
        <f>IF(AND(F422="Race",NOT(ISBLANK(E422))),VLOOKUP(E422,Race!A$1:B$9,2,),"")</f>
        <v/>
      </c>
      <c r="AM422" t="str">
        <f t="shared" si="255"/>
        <v xml:space="preserve">  0</v>
      </c>
      <c r="AN422" t="str">
        <f t="shared" si="256"/>
        <v xml:space="preserve">["SUBTYPE"] =   0; </v>
      </c>
      <c r="AO422">
        <f>IF(NOT(ISBLANK(G422)),VLOOKUP(G422,Type!D$2:E$6,2,FALSE),"")</f>
        <v>2</v>
      </c>
      <c r="AP422" t="str">
        <f t="shared" si="257"/>
        <v xml:space="preserve">["NA"] = 2; </v>
      </c>
      <c r="AQ422" t="str">
        <f t="shared" si="258"/>
        <v xml:space="preserve">                      </v>
      </c>
      <c r="AR422" t="str">
        <f t="shared" si="259"/>
        <v/>
      </c>
      <c r="AS422" t="str">
        <f t="shared" si="260"/>
        <v>0</v>
      </c>
      <c r="AT422" t="str">
        <f t="shared" si="261"/>
        <v xml:space="preserve">["VXP"] =    0; </v>
      </c>
      <c r="AU422" t="str">
        <f t="shared" si="262"/>
        <v>0</v>
      </c>
      <c r="AV422" t="str">
        <f t="shared" si="263"/>
        <v xml:space="preserve">["LP"] =  0; </v>
      </c>
      <c r="AW422" t="str">
        <f t="shared" si="264"/>
        <v>0</v>
      </c>
      <c r="AX422" t="str">
        <f t="shared" si="265"/>
        <v xml:space="preserve">["REP"] =     0; </v>
      </c>
      <c r="AY422">
        <f>IF(LEN(P422)&gt;0,VLOOKUP(P422,Faction!A$2:B$77,2,FALSE),1)</f>
        <v>1</v>
      </c>
      <c r="AZ422" t="str">
        <f t="shared" si="266"/>
        <v xml:space="preserve">["FACTION"] =  1; </v>
      </c>
      <c r="BA422" t="str">
        <f t="shared" si="245"/>
        <v/>
      </c>
      <c r="BB422" t="str">
        <f t="shared" si="267"/>
        <v xml:space="preserve">                     </v>
      </c>
      <c r="BC422" t="str">
        <f t="shared" si="268"/>
        <v xml:space="preserve">                  </v>
      </c>
      <c r="BD422" t="str">
        <f t="shared" si="269"/>
        <v xml:space="preserve">["NAME"] = { ["EN"] = "The Steeds of Gorgoroth"; }; </v>
      </c>
      <c r="BE422" t="str">
        <f t="shared" si="270"/>
        <v xml:space="preserve">["LORE"] = { ["EN"] = "You have completed your collection of Gorgoroth steeds."; }; </v>
      </c>
      <c r="BF422" t="str">
        <f t="shared" si="271"/>
        <v xml:space="preserve">["SUMMARY"] = { ["EN"] = "Mount 5 different steeds of Gorgoroth"; }; </v>
      </c>
      <c r="BG422" t="str">
        <f t="shared" si="272"/>
        <v xml:space="preserve">["TITLE"] = { ["EN"] = "Rode into Mordor"; }; </v>
      </c>
      <c r="BH422" t="str">
        <f t="shared" si="273"/>
        <v/>
      </c>
      <c r="BI422" t="str">
        <f t="shared" si="274"/>
        <v/>
      </c>
      <c r="BJ422" t="str">
        <f t="shared" si="276"/>
        <v>};</v>
      </c>
    </row>
    <row r="423" spans="1:62" x14ac:dyDescent="0.25">
      <c r="A423">
        <v>1879361992</v>
      </c>
      <c r="B423">
        <v>231</v>
      </c>
      <c r="C423" t="s">
        <v>1841</v>
      </c>
      <c r="D423" t="s">
        <v>30</v>
      </c>
      <c r="G423" t="s">
        <v>2326</v>
      </c>
      <c r="J423" t="s">
        <v>3525</v>
      </c>
      <c r="M423" t="s">
        <v>1841</v>
      </c>
      <c r="Q423" t="s">
        <v>1843</v>
      </c>
      <c r="R423" t="s">
        <v>1842</v>
      </c>
      <c r="S423">
        <v>0</v>
      </c>
      <c r="X423" t="str">
        <f t="shared" si="244"/>
        <v>[422] = {["ID"] = 1879361992; }; -- Veteran of the Third Age (large)</v>
      </c>
      <c r="Y423" s="1" t="str">
        <f t="shared" si="246"/>
        <v>[422]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3">
        <f t="shared" si="275"/>
        <v>422</v>
      </c>
      <c r="AA423" t="str">
        <f t="shared" si="247"/>
        <v>[422] = {</v>
      </c>
      <c r="AB423" t="str">
        <f t="shared" si="248"/>
        <v xml:space="preserve">["ID"] = 1879361992; </v>
      </c>
      <c r="AC423" t="str">
        <f t="shared" si="249"/>
        <v xml:space="preserve">["ID"] = 1879361992; </v>
      </c>
      <c r="AD423" t="str">
        <f t="shared" si="250"/>
        <v/>
      </c>
      <c r="AE423" t="str">
        <f t="shared" si="251"/>
        <v xml:space="preserve"> (large)</v>
      </c>
      <c r="AF423" s="1" t="str">
        <f t="shared" si="252"/>
        <v xml:space="preserve">["SAVE_INDEX"] = 231; </v>
      </c>
      <c r="AG423">
        <f>VLOOKUP(D423,Type!A$2:B$16,2,FALSE)</f>
        <v>7</v>
      </c>
      <c r="AH423" t="str">
        <f t="shared" si="253"/>
        <v xml:space="preserve">["TYPE"] =  7; </v>
      </c>
      <c r="AI423" t="str">
        <f t="shared" si="254"/>
        <v xml:space="preserve">                      </v>
      </c>
      <c r="AJ423" t="str">
        <f>IF(AND(F423="Class",NOT(ISBLANK(E423))),VLOOKUP(E423,Class!A$1:B$12,2,FALSE),"")</f>
        <v/>
      </c>
      <c r="AK423" t="str">
        <f>IF(AND(F423="Vocation",NOT(ISBLANK(E423))),VLOOKUP(E423,Vocation!A$1:B$8,2,FALSE),"")</f>
        <v/>
      </c>
      <c r="AL423" t="str">
        <f>IF(AND(F423="Race",NOT(ISBLANK(E423))),VLOOKUP(E423,Race!A$1:B$9,2,),"")</f>
        <v/>
      </c>
      <c r="AM423" t="str">
        <f t="shared" si="255"/>
        <v xml:space="preserve">  0</v>
      </c>
      <c r="AN423" t="str">
        <f t="shared" si="256"/>
        <v xml:space="preserve">["SUBTYPE"] =   0; </v>
      </c>
      <c r="AO423">
        <f>IF(NOT(ISBLANK(G423)),VLOOKUP(G423,Type!D$2:E$6,2,FALSE),"")</f>
        <v>5</v>
      </c>
      <c r="AP423" t="str">
        <f t="shared" si="257"/>
        <v xml:space="preserve">["NA"] = 5; </v>
      </c>
      <c r="AQ423" t="str">
        <f t="shared" si="258"/>
        <v xml:space="preserve">                      </v>
      </c>
      <c r="AR423" t="str">
        <f t="shared" si="259"/>
        <v xml:space="preserve">["MOUNT"] = "large"; </v>
      </c>
      <c r="AS423" t="str">
        <f t="shared" si="260"/>
        <v>0</v>
      </c>
      <c r="AT423" t="str">
        <f t="shared" si="261"/>
        <v xml:space="preserve">["VXP"] =    0; </v>
      </c>
      <c r="AU423" t="str">
        <f t="shared" si="262"/>
        <v>0</v>
      </c>
      <c r="AV423" t="str">
        <f t="shared" si="263"/>
        <v xml:space="preserve">["LP"] =  0; </v>
      </c>
      <c r="AW423" t="str">
        <f t="shared" si="264"/>
        <v>0</v>
      </c>
      <c r="AX423" t="str">
        <f t="shared" si="265"/>
        <v xml:space="preserve">["REP"] =     0; </v>
      </c>
      <c r="AY423">
        <f>IF(LEN(P423)&gt;0,VLOOKUP(P423,Faction!A$2:B$77,2,FALSE),1)</f>
        <v>1</v>
      </c>
      <c r="AZ423" t="str">
        <f t="shared" si="266"/>
        <v xml:space="preserve">["FACTION"] =  1; </v>
      </c>
      <c r="BA423" t="str">
        <f t="shared" si="245"/>
        <v/>
      </c>
      <c r="BB423" t="str">
        <f t="shared" si="267"/>
        <v xml:space="preserve">                     </v>
      </c>
      <c r="BC423" t="str">
        <f t="shared" si="268"/>
        <v xml:space="preserve">                  </v>
      </c>
      <c r="BD423" t="str">
        <f t="shared" si="269"/>
        <v xml:space="preserve">["NAME"] = { ["EN"] = "Veteran of the Third Age"; }; </v>
      </c>
      <c r="BE423" t="str">
        <f t="shared" si="270"/>
        <v xml:space="preserve">["LORE"] = { ["EN"] = "You have completed your collection of class mounts."; }; </v>
      </c>
      <c r="BF423" t="str">
        <f t="shared" si="271"/>
        <v xml:space="preserve">["SUMMARY"] = { ["EN"] = "Mount 9 different class mounts"; }; </v>
      </c>
      <c r="BG423" t="str">
        <f t="shared" si="272"/>
        <v xml:space="preserve">["TITLE"] = { ["EN"] = "Veteran of the Third Age"; }; </v>
      </c>
      <c r="BH423" t="str">
        <f t="shared" si="273"/>
        <v/>
      </c>
      <c r="BI423" t="str">
        <f t="shared" si="274"/>
        <v/>
      </c>
      <c r="BJ423" t="str">
        <f t="shared" si="276"/>
        <v>};</v>
      </c>
    </row>
    <row r="424" spans="1:62" x14ac:dyDescent="0.25">
      <c r="A424">
        <v>1879363508</v>
      </c>
      <c r="B424">
        <v>373</v>
      </c>
      <c r="C424" t="s">
        <v>1841</v>
      </c>
      <c r="D424" t="s">
        <v>30</v>
      </c>
      <c r="G424" t="s">
        <v>2326</v>
      </c>
      <c r="J424" t="s">
        <v>3526</v>
      </c>
      <c r="M424" t="s">
        <v>1841</v>
      </c>
      <c r="Q424" t="s">
        <v>1843</v>
      </c>
      <c r="R424" t="s">
        <v>1842</v>
      </c>
      <c r="S424">
        <v>0</v>
      </c>
      <c r="X424" t="str">
        <f t="shared" si="244"/>
        <v>[423] = {["ID"] = 1879363508; }; -- Veteran of the Third Age (small)</v>
      </c>
      <c r="Y424" s="1" t="str">
        <f t="shared" si="246"/>
        <v>[423]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4">
        <f t="shared" si="275"/>
        <v>423</v>
      </c>
      <c r="AA424" t="str">
        <f t="shared" si="247"/>
        <v>[423] = {</v>
      </c>
      <c r="AB424" t="str">
        <f t="shared" si="248"/>
        <v xml:space="preserve">["ID"] = 1879363508; </v>
      </c>
      <c r="AC424" t="str">
        <f t="shared" si="249"/>
        <v xml:space="preserve">["ID"] = 1879363508; </v>
      </c>
      <c r="AD424" t="str">
        <f t="shared" si="250"/>
        <v/>
      </c>
      <c r="AE424" t="str">
        <f t="shared" si="251"/>
        <v xml:space="preserve"> (small)</v>
      </c>
      <c r="AF424" s="1" t="str">
        <f t="shared" si="252"/>
        <v xml:space="preserve">["SAVE_INDEX"] = 373; </v>
      </c>
      <c r="AG424">
        <f>VLOOKUP(D424,Type!A$2:B$16,2,FALSE)</f>
        <v>7</v>
      </c>
      <c r="AH424" t="str">
        <f t="shared" si="253"/>
        <v xml:space="preserve">["TYPE"] =  7; </v>
      </c>
      <c r="AI424" t="str">
        <f t="shared" si="254"/>
        <v xml:space="preserve">                      </v>
      </c>
      <c r="AJ424" t="str">
        <f>IF(AND(F424="Class",NOT(ISBLANK(E424))),VLOOKUP(E424,Class!A$1:B$12,2,FALSE),"")</f>
        <v/>
      </c>
      <c r="AK424" t="str">
        <f>IF(AND(F424="Vocation",NOT(ISBLANK(E424))),VLOOKUP(E424,Vocation!A$1:B$8,2,FALSE),"")</f>
        <v/>
      </c>
      <c r="AL424" t="str">
        <f>IF(AND(F424="Race",NOT(ISBLANK(E424))),VLOOKUP(E424,Race!A$1:B$9,2,),"")</f>
        <v/>
      </c>
      <c r="AM424" t="str">
        <f t="shared" si="255"/>
        <v xml:space="preserve">  0</v>
      </c>
      <c r="AN424" t="str">
        <f t="shared" si="256"/>
        <v xml:space="preserve">["SUBTYPE"] =   0; </v>
      </c>
      <c r="AO424">
        <f>IF(NOT(ISBLANK(G424)),VLOOKUP(G424,Type!D$2:E$6,2,FALSE),"")</f>
        <v>5</v>
      </c>
      <c r="AP424" t="str">
        <f t="shared" si="257"/>
        <v xml:space="preserve">["NA"] = 5; </v>
      </c>
      <c r="AQ424" t="str">
        <f t="shared" si="258"/>
        <v xml:space="preserve">                      </v>
      </c>
      <c r="AR424" t="str">
        <f t="shared" si="259"/>
        <v xml:space="preserve">["MOUNT"] = "small"; </v>
      </c>
      <c r="AS424" t="str">
        <f t="shared" si="260"/>
        <v>0</v>
      </c>
      <c r="AT424" t="str">
        <f t="shared" si="261"/>
        <v xml:space="preserve">["VXP"] =    0; </v>
      </c>
      <c r="AU424" t="str">
        <f t="shared" si="262"/>
        <v>0</v>
      </c>
      <c r="AV424" t="str">
        <f t="shared" si="263"/>
        <v xml:space="preserve">["LP"] =  0; </v>
      </c>
      <c r="AW424" t="str">
        <f t="shared" si="264"/>
        <v>0</v>
      </c>
      <c r="AX424" t="str">
        <f t="shared" si="265"/>
        <v xml:space="preserve">["REP"] =     0; </v>
      </c>
      <c r="AY424">
        <f>IF(LEN(P424)&gt;0,VLOOKUP(P424,Faction!A$2:B$77,2,FALSE),1)</f>
        <v>1</v>
      </c>
      <c r="AZ424" t="str">
        <f t="shared" si="266"/>
        <v xml:space="preserve">["FACTION"] =  1; </v>
      </c>
      <c r="BA424" t="str">
        <f t="shared" si="245"/>
        <v/>
      </c>
      <c r="BB424" t="str">
        <f t="shared" si="267"/>
        <v xml:space="preserve">                     </v>
      </c>
      <c r="BC424" t="str">
        <f t="shared" si="268"/>
        <v xml:space="preserve">                  </v>
      </c>
      <c r="BD424" t="str">
        <f t="shared" si="269"/>
        <v xml:space="preserve">["NAME"] = { ["EN"] = "Veteran of the Third Age"; }; </v>
      </c>
      <c r="BE424" t="str">
        <f t="shared" si="270"/>
        <v xml:space="preserve">["LORE"] = { ["EN"] = "You have completed your collection of class mounts."; }; </v>
      </c>
      <c r="BF424" t="str">
        <f t="shared" si="271"/>
        <v xml:space="preserve">["SUMMARY"] = { ["EN"] = "Mount 9 different class mounts"; }; </v>
      </c>
      <c r="BG424" t="str">
        <f t="shared" si="272"/>
        <v xml:space="preserve">["TITLE"] = { ["EN"] = "Veteran of the Third Age"; }; </v>
      </c>
      <c r="BH424" t="str">
        <f t="shared" si="273"/>
        <v/>
      </c>
      <c r="BI424" t="str">
        <f t="shared" si="274"/>
        <v/>
      </c>
      <c r="BJ424" t="str">
        <f t="shared" si="276"/>
        <v>};</v>
      </c>
    </row>
    <row r="425" spans="1:62" x14ac:dyDescent="0.25">
      <c r="A425">
        <v>1879361996</v>
      </c>
      <c r="B425">
        <v>232</v>
      </c>
      <c r="C425" t="s">
        <v>1844</v>
      </c>
      <c r="D425" t="s">
        <v>30</v>
      </c>
      <c r="G425" t="s">
        <v>2326</v>
      </c>
      <c r="J425" t="s">
        <v>3525</v>
      </c>
      <c r="M425" t="s">
        <v>1845</v>
      </c>
      <c r="Q425" t="s">
        <v>1847</v>
      </c>
      <c r="R425" t="s">
        <v>1846</v>
      </c>
      <c r="S425">
        <v>0</v>
      </c>
      <c r="X425" t="str">
        <f t="shared" si="244"/>
        <v>[424] = {["ID"] = 1879361996; }; -- Winter-rider (large)</v>
      </c>
      <c r="Y425" s="1" t="str">
        <f t="shared" si="246"/>
        <v>[424]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5">
        <f t="shared" si="275"/>
        <v>424</v>
      </c>
      <c r="AA425" t="str">
        <f t="shared" si="247"/>
        <v>[424] = {</v>
      </c>
      <c r="AB425" t="str">
        <f t="shared" si="248"/>
        <v xml:space="preserve">["ID"] = 1879361996; </v>
      </c>
      <c r="AC425" t="str">
        <f t="shared" si="249"/>
        <v xml:space="preserve">["ID"] = 1879361996; </v>
      </c>
      <c r="AD425" t="str">
        <f t="shared" si="250"/>
        <v/>
      </c>
      <c r="AE425" t="str">
        <f t="shared" si="251"/>
        <v xml:space="preserve"> (large)</v>
      </c>
      <c r="AF425" s="1" t="str">
        <f t="shared" si="252"/>
        <v xml:space="preserve">["SAVE_INDEX"] = 232; </v>
      </c>
      <c r="AG425">
        <f>VLOOKUP(D425,Type!A$2:B$16,2,FALSE)</f>
        <v>7</v>
      </c>
      <c r="AH425" t="str">
        <f t="shared" si="253"/>
        <v xml:space="preserve">["TYPE"] =  7; </v>
      </c>
      <c r="AI425" t="str">
        <f t="shared" si="254"/>
        <v xml:space="preserve">                      </v>
      </c>
      <c r="AJ425" t="str">
        <f>IF(AND(F425="Class",NOT(ISBLANK(E425))),VLOOKUP(E425,Class!A$1:B$12,2,FALSE),"")</f>
        <v/>
      </c>
      <c r="AK425" t="str">
        <f>IF(AND(F425="Vocation",NOT(ISBLANK(E425))),VLOOKUP(E425,Vocation!A$1:B$8,2,FALSE),"")</f>
        <v/>
      </c>
      <c r="AL425" t="str">
        <f>IF(AND(F425="Race",NOT(ISBLANK(E425))),VLOOKUP(E425,Race!A$1:B$9,2,),"")</f>
        <v/>
      </c>
      <c r="AM425" t="str">
        <f t="shared" si="255"/>
        <v xml:space="preserve">  0</v>
      </c>
      <c r="AN425" t="str">
        <f t="shared" si="256"/>
        <v xml:space="preserve">["SUBTYPE"] =   0; </v>
      </c>
      <c r="AO425">
        <f>IF(NOT(ISBLANK(G425)),VLOOKUP(G425,Type!D$2:E$6,2,FALSE),"")</f>
        <v>5</v>
      </c>
      <c r="AP425" t="str">
        <f t="shared" si="257"/>
        <v xml:space="preserve">["NA"] = 5; </v>
      </c>
      <c r="AQ425" t="str">
        <f t="shared" si="258"/>
        <v xml:space="preserve">                      </v>
      </c>
      <c r="AR425" t="str">
        <f t="shared" si="259"/>
        <v xml:space="preserve">["MOUNT"] = "large"; </v>
      </c>
      <c r="AS425" t="str">
        <f t="shared" si="260"/>
        <v>0</v>
      </c>
      <c r="AT425" t="str">
        <f t="shared" si="261"/>
        <v xml:space="preserve">["VXP"] =    0; </v>
      </c>
      <c r="AU425" t="str">
        <f t="shared" si="262"/>
        <v>0</v>
      </c>
      <c r="AV425" t="str">
        <f t="shared" si="263"/>
        <v xml:space="preserve">["LP"] =  0; </v>
      </c>
      <c r="AW425" t="str">
        <f t="shared" si="264"/>
        <v>0</v>
      </c>
      <c r="AX425" t="str">
        <f t="shared" si="265"/>
        <v xml:space="preserve">["REP"] =     0; </v>
      </c>
      <c r="AY425">
        <f>IF(LEN(P425)&gt;0,VLOOKUP(P425,Faction!A$2:B$77,2,FALSE),1)</f>
        <v>1</v>
      </c>
      <c r="AZ425" t="str">
        <f t="shared" si="266"/>
        <v xml:space="preserve">["FACTION"] =  1; </v>
      </c>
      <c r="BA425" t="str">
        <f t="shared" si="245"/>
        <v/>
      </c>
      <c r="BB425" t="str">
        <f t="shared" si="267"/>
        <v xml:space="preserve">                     </v>
      </c>
      <c r="BC425" t="str">
        <f t="shared" si="268"/>
        <v xml:space="preserve">                  </v>
      </c>
      <c r="BD425" t="str">
        <f t="shared" si="269"/>
        <v xml:space="preserve">["NAME"] = { ["EN"] = "Winter-rider"; }; </v>
      </c>
      <c r="BE425" t="str">
        <f t="shared" si="270"/>
        <v xml:space="preserve">["LORE"] = { ["EN"] = "You have completed your collection of Winter-time equines."; }; </v>
      </c>
      <c r="BF425" t="str">
        <f t="shared" si="271"/>
        <v xml:space="preserve">["SUMMARY"] = { ["EN"] = "Mount 5 different Yule Festival equines"; }; </v>
      </c>
      <c r="BG425" t="str">
        <f t="shared" si="272"/>
        <v xml:space="preserve">["TITLE"] = { ["EN"] = "Snow-strider"; }; </v>
      </c>
      <c r="BH425" t="str">
        <f t="shared" si="273"/>
        <v/>
      </c>
      <c r="BI425" t="str">
        <f t="shared" si="274"/>
        <v/>
      </c>
      <c r="BJ425" t="str">
        <f t="shared" si="276"/>
        <v>};</v>
      </c>
    </row>
    <row r="426" spans="1:62" x14ac:dyDescent="0.25">
      <c r="A426">
        <v>1879363511</v>
      </c>
      <c r="B426">
        <v>374</v>
      </c>
      <c r="C426" t="s">
        <v>1844</v>
      </c>
      <c r="D426" t="s">
        <v>30</v>
      </c>
      <c r="G426" t="s">
        <v>2326</v>
      </c>
      <c r="J426" t="s">
        <v>3526</v>
      </c>
      <c r="M426" t="s">
        <v>1845</v>
      </c>
      <c r="Q426" t="s">
        <v>1847</v>
      </c>
      <c r="R426" t="s">
        <v>1846</v>
      </c>
      <c r="S426">
        <v>0</v>
      </c>
      <c r="X426" t="str">
        <f t="shared" si="244"/>
        <v>[425] = {["ID"] = 1879363511; }; -- Winter-rider (small)</v>
      </c>
      <c r="Y426" s="1" t="str">
        <f t="shared" si="246"/>
        <v>[425]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6">
        <f t="shared" si="275"/>
        <v>425</v>
      </c>
      <c r="AA426" t="str">
        <f t="shared" si="247"/>
        <v>[425] = {</v>
      </c>
      <c r="AB426" t="str">
        <f t="shared" si="248"/>
        <v xml:space="preserve">["ID"] = 1879363511; </v>
      </c>
      <c r="AC426" t="str">
        <f t="shared" si="249"/>
        <v xml:space="preserve">["ID"] = 1879363511; </v>
      </c>
      <c r="AD426" t="str">
        <f t="shared" si="250"/>
        <v/>
      </c>
      <c r="AE426" t="str">
        <f t="shared" si="251"/>
        <v xml:space="preserve"> (small)</v>
      </c>
      <c r="AF426" s="1" t="str">
        <f t="shared" si="252"/>
        <v xml:space="preserve">["SAVE_INDEX"] = 374; </v>
      </c>
      <c r="AG426">
        <f>VLOOKUP(D426,Type!A$2:B$16,2,FALSE)</f>
        <v>7</v>
      </c>
      <c r="AH426" t="str">
        <f t="shared" si="253"/>
        <v xml:space="preserve">["TYPE"] =  7; </v>
      </c>
      <c r="AI426" t="str">
        <f t="shared" si="254"/>
        <v xml:space="preserve">                      </v>
      </c>
      <c r="AJ426" t="str">
        <f>IF(AND(F426="Class",NOT(ISBLANK(E426))),VLOOKUP(E426,Class!A$1:B$12,2,FALSE),"")</f>
        <v/>
      </c>
      <c r="AK426" t="str">
        <f>IF(AND(F426="Vocation",NOT(ISBLANK(E426))),VLOOKUP(E426,Vocation!A$1:B$8,2,FALSE),"")</f>
        <v/>
      </c>
      <c r="AL426" t="str">
        <f>IF(AND(F426="Race",NOT(ISBLANK(E426))),VLOOKUP(E426,Race!A$1:B$9,2,),"")</f>
        <v/>
      </c>
      <c r="AM426" t="str">
        <f t="shared" si="255"/>
        <v xml:space="preserve">  0</v>
      </c>
      <c r="AN426" t="str">
        <f t="shared" si="256"/>
        <v xml:space="preserve">["SUBTYPE"] =   0; </v>
      </c>
      <c r="AO426">
        <f>IF(NOT(ISBLANK(G426)),VLOOKUP(G426,Type!D$2:E$6,2,FALSE),"")</f>
        <v>5</v>
      </c>
      <c r="AP426" t="str">
        <f t="shared" si="257"/>
        <v xml:space="preserve">["NA"] = 5; </v>
      </c>
      <c r="AQ426" t="str">
        <f t="shared" si="258"/>
        <v xml:space="preserve">                      </v>
      </c>
      <c r="AR426" t="str">
        <f t="shared" si="259"/>
        <v xml:space="preserve">["MOUNT"] = "small"; </v>
      </c>
      <c r="AS426" t="str">
        <f t="shared" si="260"/>
        <v>0</v>
      </c>
      <c r="AT426" t="str">
        <f t="shared" si="261"/>
        <v xml:space="preserve">["VXP"] =    0; </v>
      </c>
      <c r="AU426" t="str">
        <f t="shared" si="262"/>
        <v>0</v>
      </c>
      <c r="AV426" t="str">
        <f t="shared" si="263"/>
        <v xml:space="preserve">["LP"] =  0; </v>
      </c>
      <c r="AW426" t="str">
        <f t="shared" si="264"/>
        <v>0</v>
      </c>
      <c r="AX426" t="str">
        <f t="shared" si="265"/>
        <v xml:space="preserve">["REP"] =     0; </v>
      </c>
      <c r="AY426">
        <f>IF(LEN(P426)&gt;0,VLOOKUP(P426,Faction!A$2:B$77,2,FALSE),1)</f>
        <v>1</v>
      </c>
      <c r="AZ426" t="str">
        <f t="shared" si="266"/>
        <v xml:space="preserve">["FACTION"] =  1; </v>
      </c>
      <c r="BA426" t="str">
        <f t="shared" si="245"/>
        <v/>
      </c>
      <c r="BB426" t="str">
        <f t="shared" si="267"/>
        <v xml:space="preserve">                     </v>
      </c>
      <c r="BC426" t="str">
        <f t="shared" si="268"/>
        <v xml:space="preserve">                  </v>
      </c>
      <c r="BD426" t="str">
        <f t="shared" si="269"/>
        <v xml:space="preserve">["NAME"] = { ["EN"] = "Winter-rider"; }; </v>
      </c>
      <c r="BE426" t="str">
        <f t="shared" si="270"/>
        <v xml:space="preserve">["LORE"] = { ["EN"] = "You have completed your collection of Winter-time equines."; }; </v>
      </c>
      <c r="BF426" t="str">
        <f t="shared" si="271"/>
        <v xml:space="preserve">["SUMMARY"] = { ["EN"] = "Mount 5 different Yule Festival equines"; }; </v>
      </c>
      <c r="BG426" t="str">
        <f t="shared" si="272"/>
        <v xml:space="preserve">["TITLE"] = { ["EN"] = "Snow-strider"; }; </v>
      </c>
      <c r="BH426" t="str">
        <f t="shared" si="273"/>
        <v/>
      </c>
      <c r="BI426" t="str">
        <f t="shared" si="274"/>
        <v/>
      </c>
      <c r="BJ426" t="str">
        <f t="shared" si="276"/>
        <v>};</v>
      </c>
    </row>
    <row r="427" spans="1:62" x14ac:dyDescent="0.25">
      <c r="C427" s="2" t="s">
        <v>3558</v>
      </c>
      <c r="D427" s="2" t="s">
        <v>812</v>
      </c>
      <c r="V427">
        <v>286</v>
      </c>
      <c r="W427" s="1"/>
      <c r="X427" t="str">
        <f t="shared" si="244"/>
        <v>[426] = {["CAT_ID"] = 286; }; -- Valar - 140</v>
      </c>
      <c r="Y427" s="1" t="str">
        <f t="shared" si="246"/>
        <v>[426] = {                                           ["TYPE"] = 14;                       ["SUBTYPE"] =   0;                                   ["VXP"] =    0; ["LP"] =  0; ["REP"] =     0; ["FACTION"] =  1;                                        ["NAME"] = { ["EN"] = "Valar - 140"; }; };</v>
      </c>
      <c r="Z427">
        <f t="shared" si="275"/>
        <v>426</v>
      </c>
      <c r="AA427" t="str">
        <f t="shared" si="247"/>
        <v>[426] = {</v>
      </c>
      <c r="AB427" t="str">
        <f t="shared" si="248"/>
        <v xml:space="preserve">                     </v>
      </c>
      <c r="AC427" t="str">
        <f t="shared" si="249"/>
        <v/>
      </c>
      <c r="AD427" t="str">
        <f t="shared" si="250"/>
        <v xml:space="preserve">["CAT_ID"] = 286; </v>
      </c>
      <c r="AE427" t="str">
        <f t="shared" si="251"/>
        <v/>
      </c>
      <c r="AF427" s="1" t="str">
        <f t="shared" si="252"/>
        <v xml:space="preserve">                      </v>
      </c>
      <c r="AG427">
        <f>VLOOKUP(D427,Type!A$2:B$16,2,FALSE)</f>
        <v>14</v>
      </c>
      <c r="AH427" t="str">
        <f t="shared" si="253"/>
        <v xml:space="preserve">["TYPE"] = 14; </v>
      </c>
      <c r="AI427" t="str">
        <f t="shared" si="254"/>
        <v xml:space="preserve">                      </v>
      </c>
      <c r="AJ427" t="str">
        <f>IF(AND(F427="Class",NOT(ISBLANK(E427))),VLOOKUP(E427,Class!A$1:B$12,2,FALSE),"")</f>
        <v/>
      </c>
      <c r="AK427" t="str">
        <f>IF(AND(F427="Vocation",NOT(ISBLANK(E427))),VLOOKUP(E427,Vocation!A$1:B$8,2,FALSE),"")</f>
        <v/>
      </c>
      <c r="AL427" t="str">
        <f>IF(AND(F427="Race",NOT(ISBLANK(E427))),VLOOKUP(E427,Race!A$1:B$9,2,),"")</f>
        <v/>
      </c>
      <c r="AM427" t="str">
        <f t="shared" si="255"/>
        <v xml:space="preserve">  0</v>
      </c>
      <c r="AN427" t="str">
        <f t="shared" si="256"/>
        <v xml:space="preserve">["SUBTYPE"] =   0; </v>
      </c>
      <c r="AO427" t="str">
        <f>IF(NOT(ISBLANK(G427)),VLOOKUP(G427,Type!D$2:E$6,2,FALSE),"")</f>
        <v/>
      </c>
      <c r="AP427" t="str">
        <f t="shared" si="257"/>
        <v xml:space="preserve">            </v>
      </c>
      <c r="AQ427" t="str">
        <f t="shared" si="258"/>
        <v xml:space="preserve">                      </v>
      </c>
      <c r="AR427" t="str">
        <f t="shared" si="259"/>
        <v/>
      </c>
      <c r="AS427" t="str">
        <f t="shared" si="260"/>
        <v>0</v>
      </c>
      <c r="AT427" t="str">
        <f t="shared" si="261"/>
        <v xml:space="preserve">["VXP"] =    0; </v>
      </c>
      <c r="AU427" t="str">
        <f t="shared" si="262"/>
        <v>0</v>
      </c>
      <c r="AV427" t="str">
        <f t="shared" si="263"/>
        <v xml:space="preserve">["LP"] =  0; </v>
      </c>
      <c r="AW427" t="str">
        <f t="shared" si="264"/>
        <v>0</v>
      </c>
      <c r="AX427" t="str">
        <f t="shared" si="265"/>
        <v xml:space="preserve">["REP"] =     0; </v>
      </c>
      <c r="AY427">
        <f>IF(LEN(P427)&gt;0,VLOOKUP(P427,Faction!A$2:B$77,2,FALSE),1)</f>
        <v>1</v>
      </c>
      <c r="AZ427" t="str">
        <f t="shared" si="266"/>
        <v xml:space="preserve">["FACTION"] =  1; </v>
      </c>
      <c r="BA427" t="str">
        <f t="shared" si="245"/>
        <v/>
      </c>
      <c r="BB427" t="str">
        <f t="shared" si="267"/>
        <v xml:space="preserve">                     </v>
      </c>
      <c r="BC427" t="str">
        <f t="shared" si="268"/>
        <v xml:space="preserve">                  </v>
      </c>
      <c r="BD427" t="str">
        <f t="shared" si="269"/>
        <v xml:space="preserve">["NAME"] = { ["EN"] = "Valar - 140"; }; </v>
      </c>
      <c r="BE427" t="str">
        <f t="shared" si="270"/>
        <v/>
      </c>
      <c r="BF427" t="str">
        <f t="shared" si="271"/>
        <v/>
      </c>
      <c r="BG427" t="str">
        <f t="shared" si="272"/>
        <v/>
      </c>
      <c r="BH427" t="str">
        <f t="shared" si="273"/>
        <v/>
      </c>
      <c r="BI427" t="str">
        <f t="shared" si="274"/>
        <v/>
      </c>
      <c r="BJ427" t="str">
        <f t="shared" si="276"/>
        <v>};</v>
      </c>
    </row>
    <row r="428" spans="1:62" x14ac:dyDescent="0.25">
      <c r="A428">
        <v>1879463469</v>
      </c>
      <c r="C428" t="s">
        <v>3559</v>
      </c>
      <c r="D428" t="s">
        <v>26</v>
      </c>
      <c r="G428" t="s">
        <v>2326</v>
      </c>
      <c r="W428" s="1"/>
      <c r="X428" t="str">
        <f t="shared" si="244"/>
        <v>[427] = {["ID"] = 1879463469; }; -- Valar Instance and Skirmish Access - 140</v>
      </c>
      <c r="Y428" s="1" t="str">
        <f t="shared" si="246"/>
        <v>[427] = {["ID"] = 1879463469;                       ["TYPE"] =  6;                       ["SUBTYPE"] =   0; ["NA"] = 5;                       ["VXP"] =    0; ["LP"] =  0; ["REP"] =     0; ["FACTION"] =  1;                                        ["NAME"] = { ["EN"] = "Valar Instance and Skirmish Access - 140"; }; };</v>
      </c>
      <c r="Z428">
        <f t="shared" si="275"/>
        <v>427</v>
      </c>
      <c r="AA428" t="str">
        <f t="shared" si="247"/>
        <v>[427] = {</v>
      </c>
      <c r="AB428" t="str">
        <f t="shared" si="248"/>
        <v xml:space="preserve">["ID"] = 1879463469; </v>
      </c>
      <c r="AC428" t="str">
        <f t="shared" si="249"/>
        <v xml:space="preserve">["ID"] = 1879463469; </v>
      </c>
      <c r="AD428" t="str">
        <f t="shared" si="250"/>
        <v/>
      </c>
      <c r="AE428" t="str">
        <f t="shared" si="251"/>
        <v/>
      </c>
      <c r="AF428" s="1" t="str">
        <f t="shared" si="252"/>
        <v xml:space="preserve">                      </v>
      </c>
      <c r="AG428">
        <f>VLOOKUP(D428,Type!A$2:B$16,2,FALSE)</f>
        <v>6</v>
      </c>
      <c r="AH428" t="str">
        <f t="shared" si="253"/>
        <v xml:space="preserve">["TYPE"] =  6; </v>
      </c>
      <c r="AI428" t="str">
        <f t="shared" si="254"/>
        <v xml:space="preserve">                      </v>
      </c>
      <c r="AJ428" t="str">
        <f>IF(AND(F428="Class",NOT(ISBLANK(E428))),VLOOKUP(E428,Class!A$1:B$12,2,FALSE),"")</f>
        <v/>
      </c>
      <c r="AK428" t="str">
        <f>IF(AND(F428="Vocation",NOT(ISBLANK(E428))),VLOOKUP(E428,Vocation!A$1:B$8,2,FALSE),"")</f>
        <v/>
      </c>
      <c r="AL428" t="str">
        <f>IF(AND(F428="Race",NOT(ISBLANK(E428))),VLOOKUP(E428,Race!A$1:B$9,2,),"")</f>
        <v/>
      </c>
      <c r="AM428" t="str">
        <f t="shared" si="255"/>
        <v xml:space="preserve">  0</v>
      </c>
      <c r="AN428" t="str">
        <f t="shared" si="256"/>
        <v xml:space="preserve">["SUBTYPE"] =   0; </v>
      </c>
      <c r="AO428">
        <f>IF(NOT(ISBLANK(G428)),VLOOKUP(G428,Type!D$2:E$6,2,FALSE),"")</f>
        <v>5</v>
      </c>
      <c r="AP428" t="str">
        <f t="shared" si="257"/>
        <v xml:space="preserve">["NA"] = 5; </v>
      </c>
      <c r="AQ428" t="str">
        <f t="shared" si="258"/>
        <v xml:space="preserve">                      </v>
      </c>
      <c r="AR428" t="str">
        <f t="shared" si="259"/>
        <v/>
      </c>
      <c r="AS428" t="str">
        <f t="shared" si="260"/>
        <v>0</v>
      </c>
      <c r="AT428" t="str">
        <f t="shared" si="261"/>
        <v xml:space="preserve">["VXP"] =    0; </v>
      </c>
      <c r="AU428" t="str">
        <f t="shared" si="262"/>
        <v>0</v>
      </c>
      <c r="AV428" t="str">
        <f t="shared" si="263"/>
        <v xml:space="preserve">["LP"] =  0; </v>
      </c>
      <c r="AW428" t="str">
        <f t="shared" si="264"/>
        <v>0</v>
      </c>
      <c r="AX428" t="str">
        <f t="shared" si="265"/>
        <v xml:space="preserve">["REP"] =     0; </v>
      </c>
      <c r="AY428">
        <f>IF(LEN(P428)&gt;0,VLOOKUP(P428,Faction!A$2:B$77,2,FALSE),1)</f>
        <v>1</v>
      </c>
      <c r="AZ428" t="str">
        <f t="shared" si="266"/>
        <v xml:space="preserve">["FACTION"] =  1; </v>
      </c>
      <c r="BA428" t="str">
        <f t="shared" si="245"/>
        <v/>
      </c>
      <c r="BB428" t="str">
        <f t="shared" si="267"/>
        <v xml:space="preserve">                     </v>
      </c>
      <c r="BC428" t="str">
        <f t="shared" si="268"/>
        <v xml:space="preserve">                  </v>
      </c>
      <c r="BD428" t="str">
        <f t="shared" si="269"/>
        <v xml:space="preserve">["NAME"] = { ["EN"] = "Valar Instance and Skirmish Access - 140"; }; </v>
      </c>
      <c r="BE428" t="str">
        <f t="shared" si="270"/>
        <v/>
      </c>
      <c r="BF428" t="str">
        <f t="shared" si="271"/>
        <v/>
      </c>
      <c r="BG428" t="str">
        <f t="shared" si="272"/>
        <v/>
      </c>
      <c r="BH428" t="str">
        <f t="shared" si="273"/>
        <v/>
      </c>
      <c r="BI428" t="str">
        <f t="shared" si="274"/>
        <v/>
      </c>
      <c r="BJ428" t="str">
        <f t="shared" si="276"/>
        <v>};</v>
      </c>
    </row>
    <row r="429" spans="1:62" x14ac:dyDescent="0.25">
      <c r="Y429" s="1"/>
      <c r="AF429" s="1"/>
    </row>
    <row r="430" spans="1:62" x14ac:dyDescent="0.25">
      <c r="Y430" s="1"/>
      <c r="AF430" s="1"/>
    </row>
    <row r="431" spans="1:62" x14ac:dyDescent="0.25">
      <c r="Y431" s="1"/>
      <c r="AF431" s="1"/>
    </row>
    <row r="432" spans="1:62" x14ac:dyDescent="0.25">
      <c r="A432" t="s">
        <v>3308</v>
      </c>
      <c r="Y432" s="1"/>
      <c r="AF432" s="1"/>
    </row>
    <row r="433" spans="1:32" x14ac:dyDescent="0.25">
      <c r="A433">
        <f>MAX(B2:B430)+1</f>
        <v>375</v>
      </c>
      <c r="Y433" s="1"/>
      <c r="AF433" s="1"/>
    </row>
    <row r="434" spans="1:32" x14ac:dyDescent="0.25">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sheetData>
  <sortState xmlns:xlrd2="http://schemas.microsoft.com/office/spreadsheetml/2017/richdata2" ref="C368:C455">
    <sortCondition ref="C368:C455"/>
  </sortState>
  <conditionalFormatting sqref="A429:A1048576 A1:A426">
    <cfRule type="duplicateValues" dxfId="33" priority="5"/>
  </conditionalFormatting>
  <conditionalFormatting sqref="B427:B428">
    <cfRule type="duplicateValues" dxfId="32" priority="95"/>
    <cfRule type="duplicateValues" dxfId="31" priority="96"/>
  </conditionalFormatting>
  <conditionalFormatting sqref="B429:B1048576 B1:B426">
    <cfRule type="duplicateValues" dxfId="30" priority="6"/>
    <cfRule type="duplicateValues" dxfId="29" priority="7"/>
    <cfRule type="duplicateValues" dxfId="28" priority="8"/>
  </conditionalFormatting>
  <conditionalFormatting sqref="T427:T428">
    <cfRule type="duplicateValues" dxfId="27" priority="97"/>
  </conditionalFormatting>
  <conditionalFormatting sqref="V429:V430 V2:V426">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92"/>
  <sheetViews>
    <sheetView tabSelected="1" workbookViewId="0">
      <pane xSplit="3" ySplit="1" topLeftCell="S469" activePane="bottomRight" state="frozen"/>
      <selection pane="topRight" activeCell="C1" sqref="C1"/>
      <selection pane="bottomLeft" activeCell="A2" sqref="A2"/>
      <selection pane="bottomRight" activeCell="U2" sqref="U2:U487"/>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63" si="166">IF(AND(A387&gt;0,K387&gt;0),CONCATENATE("[",A387,"] = ",K387,", // ",C387),"")</f>
        <v/>
      </c>
      <c r="U387" t="str">
        <f t="shared" ref="U387:U463" si="167">CONCATENATE(X387,Z387,AA387,AO387,AW387," -- ",C387)</f>
        <v>[386] = {["ID"] = 1879490436; }; -- Amelia's Studies - Respected</v>
      </c>
      <c r="V387" s="1" t="str">
        <f t="shared" ref="V387:V463" si="168">CONCATENATE(X387,Y387,AB387,AD387,AF387,AH387,AJ387,AL387,AN387,AO387,AP387,AQ387,AR387,AS387,AT387,AU387,AV387,AW387)</f>
        <v>[386] = {["ID"] = 1879490436;                       ["TYPE"] =  7;             ["VXP"] =    0; ["LP"] =  0; ["REP"] =    0; ["FACTION"] =  1;                      ["NAME"] = { ["EN"] = "Amelia's Studies - Respected"; }; };</v>
      </c>
      <c r="W387">
        <f t="shared" ref="W387:W463" si="169">ROW()-1</f>
        <v>386</v>
      </c>
      <c r="X387" t="str">
        <f t="shared" ref="X387:X463" si="170">CONCATENATE(REPT(" ",3-LEN(W387)),"[",W387,"] = {")</f>
        <v>[386] = {</v>
      </c>
      <c r="Y387" t="str">
        <f t="shared" ref="Y387:Y463" si="171">IF(LEN(A387)&gt;0,CONCATENATE("[""ID""] = ",A387,"; "),"                     ")</f>
        <v xml:space="preserve">["ID"] = 1879490436; </v>
      </c>
      <c r="Z387" t="str">
        <f t="shared" ref="Z387:Z463" si="172">IF(LEN(A387)&gt;0,CONCATENATE("[""ID""] = ",A387,"; "),"")</f>
        <v xml:space="preserve">["ID"] = 1879490436; </v>
      </c>
      <c r="AA387" t="str">
        <f t="shared" ref="AA387:AA463" si="173">IF(LEN(R387)&gt;0,CONCATENATE("[""CAT_ID""] = ",R387,"; "),"")</f>
        <v/>
      </c>
      <c r="AB387" s="1" t="str">
        <f t="shared" ref="AB387:AB463" si="174">IF(LEN(B387)&gt;0,CONCATENATE("[""SAVE_INDEX""] = ",REPT(" ",3-LEN(B387)),B387,"; "),"                      ")</f>
        <v xml:space="preserve">                      </v>
      </c>
      <c r="AC387">
        <f>VLOOKUP(D387,Type!A$2:B$16,2,)</f>
        <v>7</v>
      </c>
      <c r="AD387" t="str">
        <f t="shared" ref="AD387:AD463" si="175">CONCATENATE("[""TYPE""] = ",REPT(" ",2-LEN(AC387)),AC387,"; ")</f>
        <v xml:space="preserve">["TYPE"] =  7; </v>
      </c>
      <c r="AE387" t="str">
        <f>IF(NOT(ISBLANK(E387)),VLOOKUP(E387,Type!D$2:E$6,2,FALSE),"")</f>
        <v/>
      </c>
      <c r="AF387" t="str">
        <f t="shared" ref="AF387:AF463" si="176">IF(NOT(ISBLANK(E387)),CONCATENATE("[""NA""] = ",AE387,"; "),"            ")</f>
        <v xml:space="preserve">            </v>
      </c>
      <c r="AG387" t="str">
        <f t="shared" ref="AG387:AG463" si="177">TEXT(O387,0)</f>
        <v>0</v>
      </c>
      <c r="AH387" t="str">
        <f t="shared" ref="AH387:AH463" si="178">CONCATENATE("[""VXP""] = ",REPT(" ",4-LEN(AG387)),TEXT(AG387,"0"),"; ")</f>
        <v xml:space="preserve">["VXP"] =    0; </v>
      </c>
      <c r="AI387" t="str">
        <f t="shared" ref="AI387:AI463" si="179">TEXT(G387,0)</f>
        <v>0</v>
      </c>
      <c r="AJ387" t="str">
        <f t="shared" ref="AJ387:AJ463" si="180">CONCATENATE("[""LP""] = ",REPT(" ",2-LEN(AI387)),TEXT(AI387,"0"),"; ")</f>
        <v xml:space="preserve">["LP"] =  0; </v>
      </c>
      <c r="AK387" t="str">
        <f t="shared" ref="AK387:AK463" si="181">TEXT(P387,0)</f>
        <v>0</v>
      </c>
      <c r="AL387" t="str">
        <f t="shared" ref="AL387:AL463" si="182">CONCATENATE("[""REP""] = ",REPT(" ",4-LEN(AK387)),TEXT(AK387,"0"),"; ")</f>
        <v xml:space="preserve">["REP"] =    0; </v>
      </c>
      <c r="AM387">
        <f>IF(LEN(Q387)&gt;0,VLOOKUP(Q387,Faction!A$2:B$77,2,),1)</f>
        <v>1</v>
      </c>
      <c r="AN387" t="str">
        <f t="shared" ref="AN387:AN463" si="183">CONCATENATE("[""FACTION""] = ",REPT(" ",2-LEN(AM387)),TEXT(AM387,"0"),"; ")</f>
        <v xml:space="preserve">["FACTION"] =  1; </v>
      </c>
      <c r="AO387" t="str">
        <f t="shared" ref="AO387:AO463" si="184">IF(K387&gt;0,CONCATENATE("[""TIER""] = ",TEXT(K387,"0"),"; "),"")</f>
        <v/>
      </c>
      <c r="AP387" t="str">
        <f t="shared" ref="AP387:AP463" si="185">IF(LEN(L387)&gt;0,CONCATENATE("[""MIN_LVL""] = ",REPT(" ",3-LEN(L387)),"""",L387,"""; "),"                     ")</f>
        <v xml:space="preserve">                     </v>
      </c>
      <c r="AQ387" t="str">
        <f t="shared" ref="AQ387:AQ463" si="186">IF(LEN(M387)&gt;0,CONCATENATE("[""MIN_LVL""] = ",REPT(" ",3-LEN(M387)),"""",M387,"""; "),"")</f>
        <v/>
      </c>
      <c r="AR387" t="str">
        <f t="shared" ref="AR387:AR463" si="187">CONCATENATE("[""NAME""] = { [""EN""] = """,C387,"""; }; ")</f>
        <v xml:space="preserve">["NAME"] = { ["EN"] = "Amelia's Studies - Respected"; }; </v>
      </c>
      <c r="AS387" t="str">
        <f t="shared" ref="AS387:AS463" si="188">IF(LEN(J387)&gt;0,CONCATENATE("[""LORE""] = { [""EN""] = """,J387,"""; }; "),"")</f>
        <v/>
      </c>
      <c r="AT387" t="str">
        <f t="shared" ref="AT387:AT463" si="189">IF(LEN(I387)&gt;0,CONCATENATE("[""SUMMARY""] = { [""EN""] = """,I387,"""; }; "),"")</f>
        <v/>
      </c>
      <c r="AU387" t="str">
        <f t="shared" ref="AU387:AU463" si="190">IF(LEN(F387)&gt;0,CONCATENATE("[""TITLE""] = { [""EN""] = """,F387,"""; }; "),"")</f>
        <v/>
      </c>
      <c r="AV387" t="str">
        <f t="shared" ref="AV387:AV463" si="191">IF(LEN(N387)&gt;0,CONCATENATE("[""PAIRED""] = { ",N387, " }; "),"")</f>
        <v/>
      </c>
      <c r="AW387" t="str">
        <f t="shared" ref="AW387:AW463"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3821</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3806</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3807</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3808</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3809</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3810</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3822</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3811</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3812</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3813</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3814</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3815</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3823</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3816</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3817</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3818</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3819</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3820</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3824</v>
      </c>
      <c r="D410" s="2" t="s">
        <v>812</v>
      </c>
      <c r="R410">
        <v>331</v>
      </c>
      <c r="U410" t="str">
        <f t="shared" ref="U410:U424" si="193">CONCATENATE(X410,Z410,AA410,AO410,AW410," -- ",C410)</f>
        <v>[409] = {["CAT_ID"] = 331; }; -- Hamât Renewed</v>
      </c>
      <c r="V410" s="1" t="str">
        <f t="shared" ref="V410:V424" si="194">CONCATENATE(X410,Y410,AB410,AD410,AF410,AH410,AJ410,AL410,AN410,AO410,AP410,AQ410,AR410,AS410,AT410,AU410,AV410,AW410)</f>
        <v>[409] = {                                           ["TYPE"] = 14;             ["VXP"] =    0; ["LP"] =  0; ["REP"] =    0; ["FACTION"] =  1;                      ["NAME"] = { ["EN"] = "Hamât Renewed"; }; };</v>
      </c>
      <c r="W410">
        <f t="shared" si="169"/>
        <v>409</v>
      </c>
      <c r="X410" t="str">
        <f t="shared" si="170"/>
        <v>[409] = {</v>
      </c>
      <c r="Y410" t="str">
        <f t="shared" ref="Y410:Y424" si="195">IF(LEN(A410)&gt;0,CONCATENATE("[""ID""] = ",A410,"; "),"                     ")</f>
        <v xml:space="preserve">                     </v>
      </c>
      <c r="Z410" t="str">
        <f t="shared" ref="Z410:Z424" si="196">IF(LEN(A410)&gt;0,CONCATENATE("[""ID""] = ",A410,"; "),"")</f>
        <v/>
      </c>
      <c r="AA410" t="str">
        <f t="shared" ref="AA410:AA424" si="197">IF(LEN(R410)&gt;0,CONCATENATE("[""CAT_ID""] = ",R410,"; "),"")</f>
        <v xml:space="preserve">["CAT_ID"] = 331; </v>
      </c>
      <c r="AB410" s="1" t="str">
        <f t="shared" ref="AB410:AB424" si="198">IF(LEN(B410)&gt;0,CONCATENATE("[""SAVE_INDEX""] = ",REPT(" ",3-LEN(B410)),B410,"; "),"                      ")</f>
        <v xml:space="preserve">                      </v>
      </c>
      <c r="AC410">
        <f>VLOOKUP(D410,Type!A$2:B$16,2,)</f>
        <v>14</v>
      </c>
      <c r="AD410" t="str">
        <f t="shared" si="175"/>
        <v xml:space="preserve">["TYPE"] = 14; </v>
      </c>
      <c r="AE410" t="str">
        <f>IF(NOT(ISBLANK(E410)),VLOOKUP(E410,Type!D$2:E$6,2,FALSE),"")</f>
        <v/>
      </c>
      <c r="AF410" t="str">
        <f t="shared" ref="AF410:AF424" si="199">IF(NOT(ISBLANK(E410)),CONCATENATE("[""NA""] = ",AE410,"; "),"            ")</f>
        <v xml:space="preserve">            </v>
      </c>
      <c r="AG410" t="str">
        <f t="shared" ref="AG410:AG424" si="200">TEXT(O410,0)</f>
        <v>0</v>
      </c>
      <c r="AH410" t="str">
        <f t="shared" si="178"/>
        <v xml:space="preserve">["VXP"] =    0; </v>
      </c>
      <c r="AI410" t="str">
        <f t="shared" ref="AI410:AI424" si="201">TEXT(G410,0)</f>
        <v>0</v>
      </c>
      <c r="AJ410" t="str">
        <f t="shared" si="180"/>
        <v xml:space="preserve">["LP"] =  0; </v>
      </c>
      <c r="AK410" t="str">
        <f t="shared" ref="AK410:AK424" si="202">TEXT(P410,0)</f>
        <v>0</v>
      </c>
      <c r="AL410" t="str">
        <f t="shared" si="182"/>
        <v xml:space="preserve">["REP"] =    0; </v>
      </c>
      <c r="AM410">
        <f>IF(LEN(Q410)&gt;0,VLOOKUP(Q410,Faction!A$2:B$77,2,),1)</f>
        <v>1</v>
      </c>
      <c r="AN410" t="str">
        <f t="shared" si="183"/>
        <v xml:space="preserve">["FACTION"] =  1; </v>
      </c>
      <c r="AO410" t="str">
        <f t="shared" ref="AO410:AO424" si="203">IF(K410&gt;0,CONCATENATE("[""TIER""] = ",TEXT(K410,"0"),"; "),"")</f>
        <v/>
      </c>
      <c r="AP410" t="str">
        <f t="shared" ref="AP410:AP424" si="204">IF(LEN(L410)&gt;0,CONCATENATE("[""MIN_LVL""] = ",REPT(" ",3-LEN(L410)),"""",L410,"""; "),"                     ")</f>
        <v xml:space="preserve">                     </v>
      </c>
      <c r="AQ410" t="str">
        <f t="shared" ref="AQ410:AQ424" si="205">IF(LEN(M410)&gt;0,CONCATENATE("[""MIN_LVL""] = ",REPT(" ",3-LEN(M410)),"""",M410,"""; "),"")</f>
        <v/>
      </c>
      <c r="AR410" t="str">
        <f t="shared" ref="AR410:AR424" si="206">CONCATENATE("[""NAME""] = { [""EN""] = """,C410,"""; }; ")</f>
        <v xml:space="preserve">["NAME"] = { ["EN"] = "Hamât Renewed"; }; </v>
      </c>
      <c r="AS410" t="str">
        <f t="shared" ref="AS410:AS424" si="207">IF(LEN(J410)&gt;0,CONCATENATE("[""LORE""] = { [""EN""] = """,J410,"""; }; "),"")</f>
        <v/>
      </c>
      <c r="AT410" t="str">
        <f t="shared" ref="AT410:AT424" si="208">IF(LEN(I410)&gt;0,CONCATENATE("[""SUMMARY""] = { [""EN""] = """,I410,"""; }; "),"")</f>
        <v/>
      </c>
      <c r="AU410" t="str">
        <f t="shared" ref="AU410:AU424" si="209">IF(LEN(F410)&gt;0,CONCATENATE("[""TITLE""] = { [""EN""] = """,F410,"""; }; "),"")</f>
        <v/>
      </c>
      <c r="AV410" t="str">
        <f t="shared" ref="AV410:AV424" si="210">IF(LEN(N410)&gt;0,CONCATENATE("[""PAIRED""] = { ",N410, " }; "),"")</f>
        <v/>
      </c>
      <c r="AW410" t="str">
        <f t="shared" si="192"/>
        <v>};</v>
      </c>
    </row>
    <row r="411" spans="1:49" x14ac:dyDescent="0.25">
      <c r="A411">
        <v>1879520645</v>
      </c>
      <c r="C411" t="s">
        <v>3825</v>
      </c>
      <c r="D411" t="s">
        <v>30</v>
      </c>
      <c r="U411" t="str">
        <f t="shared" si="193"/>
        <v>[410] = {["ID"] = 1879520645; }; -- Respected with Hamât Renewed</v>
      </c>
      <c r="V411" s="1" t="str">
        <f t="shared" si="194"/>
        <v>[410] = {["ID"] = 1879520645;                       ["TYPE"] =  7;             ["VXP"] =    0; ["LP"] =  0; ["REP"] =    0; ["FACTION"] =  1;                      ["NAME"] = { ["EN"] = "Respected with Hamât Renewed"; }; };</v>
      </c>
      <c r="W411">
        <f t="shared" si="169"/>
        <v>410</v>
      </c>
      <c r="X411" t="str">
        <f t="shared" si="170"/>
        <v>[410] = {</v>
      </c>
      <c r="Y411" t="str">
        <f t="shared" si="195"/>
        <v xml:space="preserve">["ID"] = 1879520645; </v>
      </c>
      <c r="Z411" t="str">
        <f t="shared" si="196"/>
        <v xml:space="preserve">["ID"] = 1879520645; </v>
      </c>
      <c r="AA411" t="str">
        <f t="shared" si="197"/>
        <v/>
      </c>
      <c r="AB411" s="1" t="str">
        <f t="shared" si="198"/>
        <v xml:space="preserve">                      </v>
      </c>
      <c r="AC411">
        <f>VLOOKUP(D411,Type!A$2:B$16,2,)</f>
        <v>7</v>
      </c>
      <c r="AD411" t="str">
        <f t="shared" si="175"/>
        <v xml:space="preserve">["TYPE"] =  7; </v>
      </c>
      <c r="AE411" t="str">
        <f>IF(NOT(ISBLANK(E411)),VLOOKUP(E411,Type!D$2:E$6,2,FALSE),"")</f>
        <v/>
      </c>
      <c r="AF411" t="str">
        <f t="shared" si="199"/>
        <v xml:space="preserve">            </v>
      </c>
      <c r="AG411" t="str">
        <f t="shared" si="200"/>
        <v>0</v>
      </c>
      <c r="AH411" t="str">
        <f t="shared" si="178"/>
        <v xml:space="preserve">["VXP"] =    0; </v>
      </c>
      <c r="AI411" t="str">
        <f t="shared" si="201"/>
        <v>0</v>
      </c>
      <c r="AJ411" t="str">
        <f t="shared" si="180"/>
        <v xml:space="preserve">["LP"] =  0; </v>
      </c>
      <c r="AK411" t="str">
        <f t="shared" si="202"/>
        <v>0</v>
      </c>
      <c r="AL411" t="str">
        <f t="shared" si="182"/>
        <v xml:space="preserve">["REP"] =    0; </v>
      </c>
      <c r="AM411">
        <f>IF(LEN(Q411)&gt;0,VLOOKUP(Q411,Faction!A$2:B$77,2,),1)</f>
        <v>1</v>
      </c>
      <c r="AN411" t="str">
        <f t="shared" si="183"/>
        <v xml:space="preserve">["FACTION"] =  1; </v>
      </c>
      <c r="AO411" t="str">
        <f t="shared" si="203"/>
        <v/>
      </c>
      <c r="AP411" t="str">
        <f t="shared" si="204"/>
        <v xml:space="preserve">                     </v>
      </c>
      <c r="AQ411" t="str">
        <f t="shared" si="205"/>
        <v/>
      </c>
      <c r="AR411" t="str">
        <f t="shared" si="206"/>
        <v xml:space="preserve">["NAME"] = { ["EN"] = "Respected with Hamât Renewed"; }; </v>
      </c>
      <c r="AS411" t="str">
        <f t="shared" si="207"/>
        <v/>
      </c>
      <c r="AT411" t="str">
        <f t="shared" si="208"/>
        <v/>
      </c>
      <c r="AU411" t="str">
        <f t="shared" si="209"/>
        <v/>
      </c>
      <c r="AV411" t="str">
        <f t="shared" si="210"/>
        <v/>
      </c>
      <c r="AW411" t="str">
        <f t="shared" si="192"/>
        <v>};</v>
      </c>
    </row>
    <row r="412" spans="1:49" x14ac:dyDescent="0.25">
      <c r="A412">
        <v>1879520527</v>
      </c>
      <c r="C412" t="s">
        <v>3826</v>
      </c>
      <c r="D412" t="s">
        <v>30</v>
      </c>
      <c r="K412">
        <v>1</v>
      </c>
      <c r="U412" t="str">
        <f t="shared" si="193"/>
        <v>[411] = {["ID"] = 1879520527; ["TIER"] = 1; }; -- Kindred with Hamât Renewed</v>
      </c>
      <c r="V412" s="1" t="str">
        <f t="shared" si="194"/>
        <v>[411] = {["ID"] = 1879520527;                       ["TYPE"] =  7;             ["VXP"] =    0; ["LP"] =  0; ["REP"] =    0; ["FACTION"] =  1; ["TIER"] = 1;                      ["NAME"] = { ["EN"] = "Kindred with Hamât Renewed"; }; };</v>
      </c>
      <c r="W412">
        <f t="shared" si="169"/>
        <v>411</v>
      </c>
      <c r="X412" t="str">
        <f t="shared" si="170"/>
        <v>[411] = {</v>
      </c>
      <c r="Y412" t="str">
        <f t="shared" si="195"/>
        <v xml:space="preserve">["ID"] = 1879520527; </v>
      </c>
      <c r="Z412" t="str">
        <f t="shared" si="196"/>
        <v xml:space="preserve">["ID"] = 1879520527; </v>
      </c>
      <c r="AA412" t="str">
        <f t="shared" si="197"/>
        <v/>
      </c>
      <c r="AB412" s="1" t="str">
        <f t="shared" si="198"/>
        <v xml:space="preserve">                      </v>
      </c>
      <c r="AC412">
        <f>VLOOKUP(D412,Type!A$2:B$16,2,)</f>
        <v>7</v>
      </c>
      <c r="AD412" t="str">
        <f t="shared" si="175"/>
        <v xml:space="preserve">["TYPE"] =  7; </v>
      </c>
      <c r="AE412" t="str">
        <f>IF(NOT(ISBLANK(E412)),VLOOKUP(E412,Type!D$2:E$6,2,FALSE),"")</f>
        <v/>
      </c>
      <c r="AF412" t="str">
        <f t="shared" si="199"/>
        <v xml:space="preserve">            </v>
      </c>
      <c r="AG412" t="str">
        <f t="shared" si="200"/>
        <v>0</v>
      </c>
      <c r="AH412" t="str">
        <f t="shared" si="178"/>
        <v xml:space="preserve">["VXP"] =    0; </v>
      </c>
      <c r="AI412" t="str">
        <f t="shared" si="201"/>
        <v>0</v>
      </c>
      <c r="AJ412" t="str">
        <f t="shared" si="180"/>
        <v xml:space="preserve">["LP"] =  0; </v>
      </c>
      <c r="AK412" t="str">
        <f t="shared" si="202"/>
        <v>0</v>
      </c>
      <c r="AL412" t="str">
        <f t="shared" si="182"/>
        <v xml:space="preserve">["REP"] =    0; </v>
      </c>
      <c r="AM412">
        <f>IF(LEN(Q412)&gt;0,VLOOKUP(Q412,Faction!A$2:B$77,2,),1)</f>
        <v>1</v>
      </c>
      <c r="AN412" t="str">
        <f t="shared" si="183"/>
        <v xml:space="preserve">["FACTION"] =  1; </v>
      </c>
      <c r="AO412" t="str">
        <f t="shared" si="203"/>
        <v xml:space="preserve">["TIER"] = 1; </v>
      </c>
      <c r="AP412" t="str">
        <f t="shared" si="204"/>
        <v xml:space="preserve">                     </v>
      </c>
      <c r="AQ412" t="str">
        <f t="shared" si="205"/>
        <v/>
      </c>
      <c r="AR412" t="str">
        <f t="shared" si="206"/>
        <v xml:space="preserve">["NAME"] = { ["EN"] = "Kindred with Hamât Renewed"; }; </v>
      </c>
      <c r="AS412" t="str">
        <f t="shared" si="207"/>
        <v/>
      </c>
      <c r="AT412" t="str">
        <f t="shared" si="208"/>
        <v/>
      </c>
      <c r="AU412" t="str">
        <f t="shared" si="209"/>
        <v/>
      </c>
      <c r="AV412" t="str">
        <f t="shared" si="210"/>
        <v/>
      </c>
      <c r="AW412" t="str">
        <f t="shared" si="192"/>
        <v>};</v>
      </c>
    </row>
    <row r="413" spans="1:49" x14ac:dyDescent="0.25">
      <c r="A413">
        <v>1879520526</v>
      </c>
      <c r="C413" t="s">
        <v>3827</v>
      </c>
      <c r="D413" t="s">
        <v>30</v>
      </c>
      <c r="K413">
        <v>2</v>
      </c>
      <c r="U413" t="str">
        <f t="shared" si="193"/>
        <v>[412] = {["ID"] = 1879520526; ["TIER"] = 2; }; -- Ally of Hamât Renewed</v>
      </c>
      <c r="V413" s="1" t="str">
        <f t="shared" si="194"/>
        <v>[412] = {["ID"] = 1879520526;                       ["TYPE"] =  7;             ["VXP"] =    0; ["LP"] =  0; ["REP"] =    0; ["FACTION"] =  1; ["TIER"] = 2;                      ["NAME"] = { ["EN"] = "Ally of Hamât Renewed"; }; };</v>
      </c>
      <c r="W413">
        <f t="shared" si="169"/>
        <v>412</v>
      </c>
      <c r="X413" t="str">
        <f t="shared" si="170"/>
        <v>[412] = {</v>
      </c>
      <c r="Y413" t="str">
        <f t="shared" si="195"/>
        <v xml:space="preserve">["ID"] = 1879520526; </v>
      </c>
      <c r="Z413" t="str">
        <f t="shared" si="196"/>
        <v xml:space="preserve">["ID"] = 1879520526; </v>
      </c>
      <c r="AA413" t="str">
        <f t="shared" si="197"/>
        <v/>
      </c>
      <c r="AB413" s="1" t="str">
        <f t="shared" si="198"/>
        <v xml:space="preserve">                      </v>
      </c>
      <c r="AC413">
        <f>VLOOKUP(D413,Type!A$2:B$16,2,)</f>
        <v>7</v>
      </c>
      <c r="AD413" t="str">
        <f t="shared" si="175"/>
        <v xml:space="preserve">["TYPE"] =  7; </v>
      </c>
      <c r="AE413" t="str">
        <f>IF(NOT(ISBLANK(E413)),VLOOKUP(E413,Type!D$2:E$6,2,FALSE),"")</f>
        <v/>
      </c>
      <c r="AF413" t="str">
        <f t="shared" si="199"/>
        <v xml:space="preserve">            </v>
      </c>
      <c r="AG413" t="str">
        <f t="shared" si="200"/>
        <v>0</v>
      </c>
      <c r="AH413" t="str">
        <f t="shared" si="178"/>
        <v xml:space="preserve">["VXP"] =    0; </v>
      </c>
      <c r="AI413" t="str">
        <f t="shared" si="201"/>
        <v>0</v>
      </c>
      <c r="AJ413" t="str">
        <f t="shared" si="180"/>
        <v xml:space="preserve">["LP"] =  0; </v>
      </c>
      <c r="AK413" t="str">
        <f t="shared" si="202"/>
        <v>0</v>
      </c>
      <c r="AL413" t="str">
        <f t="shared" si="182"/>
        <v xml:space="preserve">["REP"] =    0; </v>
      </c>
      <c r="AM413">
        <f>IF(LEN(Q413)&gt;0,VLOOKUP(Q413,Faction!A$2:B$77,2,),1)</f>
        <v>1</v>
      </c>
      <c r="AN413" t="str">
        <f t="shared" si="183"/>
        <v xml:space="preserve">["FACTION"] =  1; </v>
      </c>
      <c r="AO413" t="str">
        <f t="shared" si="203"/>
        <v xml:space="preserve">["TIER"] = 2; </v>
      </c>
      <c r="AP413" t="str">
        <f t="shared" si="204"/>
        <v xml:space="preserve">                     </v>
      </c>
      <c r="AQ413" t="str">
        <f t="shared" si="205"/>
        <v/>
      </c>
      <c r="AR413" t="str">
        <f t="shared" si="206"/>
        <v xml:space="preserve">["NAME"] = { ["EN"] = "Ally of Hamât Renewed"; }; </v>
      </c>
      <c r="AS413" t="str">
        <f t="shared" si="207"/>
        <v/>
      </c>
      <c r="AT413" t="str">
        <f t="shared" si="208"/>
        <v/>
      </c>
      <c r="AU413" t="str">
        <f t="shared" si="209"/>
        <v/>
      </c>
      <c r="AV413" t="str">
        <f t="shared" si="210"/>
        <v/>
      </c>
      <c r="AW413" t="str">
        <f t="shared" si="192"/>
        <v>};</v>
      </c>
    </row>
    <row r="414" spans="1:49" x14ac:dyDescent="0.25">
      <c r="A414">
        <v>1879520525</v>
      </c>
      <c r="C414" t="s">
        <v>3828</v>
      </c>
      <c r="D414" t="s">
        <v>30</v>
      </c>
      <c r="K414">
        <v>3</v>
      </c>
      <c r="U414" t="str">
        <f t="shared" si="193"/>
        <v>[413] = {["ID"] = 1879520525; ["TIER"] = 3; }; -- Friend of Hamât Renewed</v>
      </c>
      <c r="V414" s="1" t="str">
        <f t="shared" si="194"/>
        <v>[413] = {["ID"] = 1879520525;                       ["TYPE"] =  7;             ["VXP"] =    0; ["LP"] =  0; ["REP"] =    0; ["FACTION"] =  1; ["TIER"] = 3;                      ["NAME"] = { ["EN"] = "Friend of Hamât Renewed"; }; };</v>
      </c>
      <c r="W414">
        <f t="shared" si="169"/>
        <v>413</v>
      </c>
      <c r="X414" t="str">
        <f t="shared" si="170"/>
        <v>[413] = {</v>
      </c>
      <c r="Y414" t="str">
        <f t="shared" si="195"/>
        <v xml:space="preserve">["ID"] = 1879520525; </v>
      </c>
      <c r="Z414" t="str">
        <f t="shared" si="196"/>
        <v xml:space="preserve">["ID"] = 1879520525; </v>
      </c>
      <c r="AA414" t="str">
        <f t="shared" si="197"/>
        <v/>
      </c>
      <c r="AB414" s="1" t="str">
        <f t="shared" si="198"/>
        <v xml:space="preserve">                      </v>
      </c>
      <c r="AC414">
        <f>VLOOKUP(D414,Type!A$2:B$16,2,)</f>
        <v>7</v>
      </c>
      <c r="AD414" t="str">
        <f t="shared" si="175"/>
        <v xml:space="preserve">["TYPE"] =  7; </v>
      </c>
      <c r="AE414" t="str">
        <f>IF(NOT(ISBLANK(E414)),VLOOKUP(E414,Type!D$2:E$6,2,FALSE),"")</f>
        <v/>
      </c>
      <c r="AF414" t="str">
        <f t="shared" si="199"/>
        <v xml:space="preserve">            </v>
      </c>
      <c r="AG414" t="str">
        <f t="shared" si="200"/>
        <v>0</v>
      </c>
      <c r="AH414" t="str">
        <f t="shared" si="178"/>
        <v xml:space="preserve">["VXP"] =    0; </v>
      </c>
      <c r="AI414" t="str">
        <f t="shared" si="201"/>
        <v>0</v>
      </c>
      <c r="AJ414" t="str">
        <f t="shared" si="180"/>
        <v xml:space="preserve">["LP"] =  0; </v>
      </c>
      <c r="AK414" t="str">
        <f t="shared" si="202"/>
        <v>0</v>
      </c>
      <c r="AL414" t="str">
        <f t="shared" si="182"/>
        <v xml:space="preserve">["REP"] =    0; </v>
      </c>
      <c r="AM414">
        <f>IF(LEN(Q414)&gt;0,VLOOKUP(Q414,Faction!A$2:B$77,2,),1)</f>
        <v>1</v>
      </c>
      <c r="AN414" t="str">
        <f t="shared" si="183"/>
        <v xml:space="preserve">["FACTION"] =  1; </v>
      </c>
      <c r="AO414" t="str">
        <f t="shared" si="203"/>
        <v xml:space="preserve">["TIER"] = 3; </v>
      </c>
      <c r="AP414" t="str">
        <f t="shared" si="204"/>
        <v xml:space="preserve">                     </v>
      </c>
      <c r="AQ414" t="str">
        <f t="shared" si="205"/>
        <v/>
      </c>
      <c r="AR414" t="str">
        <f t="shared" si="206"/>
        <v xml:space="preserve">["NAME"] = { ["EN"] = "Friend of Hamât Renewed"; }; </v>
      </c>
      <c r="AS414" t="str">
        <f t="shared" si="207"/>
        <v/>
      </c>
      <c r="AT414" t="str">
        <f t="shared" si="208"/>
        <v/>
      </c>
      <c r="AU414" t="str">
        <f t="shared" si="209"/>
        <v/>
      </c>
      <c r="AV414" t="str">
        <f t="shared" si="210"/>
        <v/>
      </c>
      <c r="AW414" t="str">
        <f t="shared" si="192"/>
        <v>};</v>
      </c>
    </row>
    <row r="415" spans="1:49" x14ac:dyDescent="0.25">
      <c r="A415">
        <v>1879520524</v>
      </c>
      <c r="C415" t="s">
        <v>3829</v>
      </c>
      <c r="D415" t="s">
        <v>30</v>
      </c>
      <c r="K415">
        <v>4</v>
      </c>
      <c r="U415" t="str">
        <f t="shared" si="193"/>
        <v>[414] = {["ID"] = 1879520524; ["TIER"] = 4; }; -- Acquaintance of Hamât Renewed</v>
      </c>
      <c r="V415" s="1" t="str">
        <f t="shared" si="194"/>
        <v>[414] = {["ID"] = 1879520524;                       ["TYPE"] =  7;             ["VXP"] =    0; ["LP"] =  0; ["REP"] =    0; ["FACTION"] =  1; ["TIER"] = 4;                      ["NAME"] = { ["EN"] = "Acquaintance of Hamât Renewed"; }; };</v>
      </c>
      <c r="W415">
        <f t="shared" si="169"/>
        <v>414</v>
      </c>
      <c r="X415" t="str">
        <f t="shared" si="170"/>
        <v>[414] = {</v>
      </c>
      <c r="Y415" t="str">
        <f t="shared" si="195"/>
        <v xml:space="preserve">["ID"] = 1879520524; </v>
      </c>
      <c r="Z415" t="str">
        <f t="shared" si="196"/>
        <v xml:space="preserve">["ID"] = 1879520524; </v>
      </c>
      <c r="AA415" t="str">
        <f t="shared" si="197"/>
        <v/>
      </c>
      <c r="AB415" s="1" t="str">
        <f t="shared" si="198"/>
        <v xml:space="preserve">                      </v>
      </c>
      <c r="AC415">
        <f>VLOOKUP(D415,Type!A$2:B$16,2,)</f>
        <v>7</v>
      </c>
      <c r="AD415" t="str">
        <f t="shared" si="175"/>
        <v xml:space="preserve">["TYPE"] =  7; </v>
      </c>
      <c r="AE415" t="str">
        <f>IF(NOT(ISBLANK(E415)),VLOOKUP(E415,Type!D$2:E$6,2,FALSE),"")</f>
        <v/>
      </c>
      <c r="AF415" t="str">
        <f t="shared" si="199"/>
        <v xml:space="preserve">            </v>
      </c>
      <c r="AG415" t="str">
        <f t="shared" si="200"/>
        <v>0</v>
      </c>
      <c r="AH415" t="str">
        <f t="shared" si="178"/>
        <v xml:space="preserve">["VXP"] =    0; </v>
      </c>
      <c r="AI415" t="str">
        <f t="shared" si="201"/>
        <v>0</v>
      </c>
      <c r="AJ415" t="str">
        <f t="shared" si="180"/>
        <v xml:space="preserve">["LP"] =  0; </v>
      </c>
      <c r="AK415" t="str">
        <f t="shared" si="202"/>
        <v>0</v>
      </c>
      <c r="AL415" t="str">
        <f t="shared" si="182"/>
        <v xml:space="preserve">["REP"] =    0; </v>
      </c>
      <c r="AM415">
        <f>IF(LEN(Q415)&gt;0,VLOOKUP(Q415,Faction!A$2:B$77,2,),1)</f>
        <v>1</v>
      </c>
      <c r="AN415" t="str">
        <f t="shared" si="183"/>
        <v xml:space="preserve">["FACTION"] =  1; </v>
      </c>
      <c r="AO415" t="str">
        <f t="shared" si="203"/>
        <v xml:space="preserve">["TIER"] = 4; </v>
      </c>
      <c r="AP415" t="str">
        <f t="shared" si="204"/>
        <v xml:space="preserve">                     </v>
      </c>
      <c r="AQ415" t="str">
        <f t="shared" si="205"/>
        <v/>
      </c>
      <c r="AR415" t="str">
        <f t="shared" si="206"/>
        <v xml:space="preserve">["NAME"] = { ["EN"] = "Acquaintance of Hamât Renewed"; }; </v>
      </c>
      <c r="AS415" t="str">
        <f t="shared" si="207"/>
        <v/>
      </c>
      <c r="AT415" t="str">
        <f t="shared" si="208"/>
        <v/>
      </c>
      <c r="AU415" t="str">
        <f t="shared" si="209"/>
        <v/>
      </c>
      <c r="AV415" t="str">
        <f t="shared" si="210"/>
        <v/>
      </c>
      <c r="AW415" t="str">
        <f t="shared" si="192"/>
        <v>};</v>
      </c>
    </row>
    <row r="416" spans="1:49" x14ac:dyDescent="0.25">
      <c r="A416">
        <v>1879520523</v>
      </c>
      <c r="C416" t="s">
        <v>3830</v>
      </c>
      <c r="D416" t="s">
        <v>30</v>
      </c>
      <c r="K416">
        <v>5</v>
      </c>
      <c r="U416" t="str">
        <f t="shared" si="193"/>
        <v>[415] = {["ID"] = 1879520523; ["TIER"] = 5; }; -- Neutral with Hamât Renewed</v>
      </c>
      <c r="V416" s="1" t="str">
        <f t="shared" si="194"/>
        <v>[415] = {["ID"] = 1879520523;                       ["TYPE"] =  7;             ["VXP"] =    0; ["LP"] =  0; ["REP"] =    0; ["FACTION"] =  1; ["TIER"] = 5;                      ["NAME"] = { ["EN"] = "Neutral with Hamât Renewed"; }; };</v>
      </c>
      <c r="W416">
        <f t="shared" si="169"/>
        <v>415</v>
      </c>
      <c r="X416" t="str">
        <f t="shared" si="170"/>
        <v>[415] = {</v>
      </c>
      <c r="Y416" t="str">
        <f t="shared" si="195"/>
        <v xml:space="preserve">["ID"] = 1879520523; </v>
      </c>
      <c r="Z416" t="str">
        <f t="shared" si="196"/>
        <v xml:space="preserve">["ID"] = 1879520523; </v>
      </c>
      <c r="AA416" t="str">
        <f t="shared" si="197"/>
        <v/>
      </c>
      <c r="AB416" s="1" t="str">
        <f t="shared" si="198"/>
        <v xml:space="preserve">                      </v>
      </c>
      <c r="AC416">
        <f>VLOOKUP(D416,Type!A$2:B$16,2,)</f>
        <v>7</v>
      </c>
      <c r="AD416" t="str">
        <f t="shared" si="175"/>
        <v xml:space="preserve">["TYPE"] =  7; </v>
      </c>
      <c r="AE416" t="str">
        <f>IF(NOT(ISBLANK(E416)),VLOOKUP(E416,Type!D$2:E$6,2,FALSE),"")</f>
        <v/>
      </c>
      <c r="AF416" t="str">
        <f t="shared" si="199"/>
        <v xml:space="preserve">            </v>
      </c>
      <c r="AG416" t="str">
        <f t="shared" si="200"/>
        <v>0</v>
      </c>
      <c r="AH416" t="str">
        <f t="shared" si="178"/>
        <v xml:space="preserve">["VXP"] =    0; </v>
      </c>
      <c r="AI416" t="str">
        <f t="shared" si="201"/>
        <v>0</v>
      </c>
      <c r="AJ416" t="str">
        <f t="shared" si="180"/>
        <v xml:space="preserve">["LP"] =  0; </v>
      </c>
      <c r="AK416" t="str">
        <f t="shared" si="202"/>
        <v>0</v>
      </c>
      <c r="AL416" t="str">
        <f t="shared" si="182"/>
        <v xml:space="preserve">["REP"] =    0; </v>
      </c>
      <c r="AM416">
        <f>IF(LEN(Q416)&gt;0,VLOOKUP(Q416,Faction!A$2:B$77,2,),1)</f>
        <v>1</v>
      </c>
      <c r="AN416" t="str">
        <f t="shared" si="183"/>
        <v xml:space="preserve">["FACTION"] =  1; </v>
      </c>
      <c r="AO416" t="str">
        <f t="shared" si="203"/>
        <v xml:space="preserve">["TIER"] = 5; </v>
      </c>
      <c r="AP416" t="str">
        <f t="shared" si="204"/>
        <v xml:space="preserve">                     </v>
      </c>
      <c r="AQ416" t="str">
        <f t="shared" si="205"/>
        <v/>
      </c>
      <c r="AR416" t="str">
        <f t="shared" si="206"/>
        <v xml:space="preserve">["NAME"] = { ["EN"] = "Neutral with Hamât Renewed"; }; </v>
      </c>
      <c r="AS416" t="str">
        <f t="shared" si="207"/>
        <v/>
      </c>
      <c r="AT416" t="str">
        <f t="shared" si="208"/>
        <v/>
      </c>
      <c r="AU416" t="str">
        <f t="shared" si="209"/>
        <v/>
      </c>
      <c r="AV416" t="str">
        <f t="shared" si="210"/>
        <v/>
      </c>
      <c r="AW416" t="str">
        <f t="shared" si="192"/>
        <v>};</v>
      </c>
    </row>
    <row r="417" spans="1:49" x14ac:dyDescent="0.25">
      <c r="C417" s="2" t="s">
        <v>3831</v>
      </c>
      <c r="D417" s="2" t="s">
        <v>812</v>
      </c>
      <c r="R417">
        <v>332</v>
      </c>
      <c r="U417" t="str">
        <f t="shared" si="193"/>
        <v>[416] = {["CAT_ID"] = 332; }; -- Hunter's Guild of Mûr Ghala</v>
      </c>
      <c r="V417" s="1" t="str">
        <f t="shared" si="194"/>
        <v>[416] = {                                           ["TYPE"] = 14;             ["VXP"] =    0; ["LP"] =  0; ["REP"] =    0; ["FACTION"] =  1;                      ["NAME"] = { ["EN"] = "Hunter's Guild of Mûr Ghala"; }; };</v>
      </c>
      <c r="W417">
        <f t="shared" si="169"/>
        <v>416</v>
      </c>
      <c r="X417" t="str">
        <f t="shared" si="170"/>
        <v>[416] = {</v>
      </c>
      <c r="Y417" t="str">
        <f t="shared" si="195"/>
        <v xml:space="preserve">                     </v>
      </c>
      <c r="Z417" t="str">
        <f t="shared" si="196"/>
        <v/>
      </c>
      <c r="AA417" t="str">
        <f t="shared" si="197"/>
        <v xml:space="preserve">["CAT_ID"] = 332; </v>
      </c>
      <c r="AB417" s="1" t="str">
        <f t="shared" si="198"/>
        <v xml:space="preserve">                      </v>
      </c>
      <c r="AC417">
        <f>VLOOKUP(D417,Type!A$2:B$16,2,)</f>
        <v>14</v>
      </c>
      <c r="AD417" t="str">
        <f t="shared" si="175"/>
        <v xml:space="preserve">["TYPE"] = 14; </v>
      </c>
      <c r="AE417" t="str">
        <f>IF(NOT(ISBLANK(E417)),VLOOKUP(E417,Type!D$2:E$6,2,FALSE),"")</f>
        <v/>
      </c>
      <c r="AF417" t="str">
        <f t="shared" si="199"/>
        <v xml:space="preserve">            </v>
      </c>
      <c r="AG417" t="str">
        <f t="shared" si="200"/>
        <v>0</v>
      </c>
      <c r="AH417" t="str">
        <f t="shared" si="178"/>
        <v xml:space="preserve">["VXP"] =    0; </v>
      </c>
      <c r="AI417" t="str">
        <f t="shared" si="201"/>
        <v>0</v>
      </c>
      <c r="AJ417" t="str">
        <f t="shared" si="180"/>
        <v xml:space="preserve">["LP"] =  0; </v>
      </c>
      <c r="AK417" t="str">
        <f t="shared" si="202"/>
        <v>0</v>
      </c>
      <c r="AL417" t="str">
        <f t="shared" si="182"/>
        <v xml:space="preserve">["REP"] =    0; </v>
      </c>
      <c r="AM417">
        <f>IF(LEN(Q417)&gt;0,VLOOKUP(Q417,Faction!A$2:B$77,2,),1)</f>
        <v>1</v>
      </c>
      <c r="AN417" t="str">
        <f t="shared" si="183"/>
        <v xml:space="preserve">["FACTION"] =  1; </v>
      </c>
      <c r="AO417" t="str">
        <f t="shared" si="203"/>
        <v/>
      </c>
      <c r="AP417" t="str">
        <f t="shared" si="204"/>
        <v xml:space="preserve">                     </v>
      </c>
      <c r="AQ417" t="str">
        <f t="shared" si="205"/>
        <v/>
      </c>
      <c r="AR417" t="str">
        <f t="shared" si="206"/>
        <v xml:space="preserve">["NAME"] = { ["EN"] = "Hunter's Guild of Mûr Ghala"; }; </v>
      </c>
      <c r="AS417" t="str">
        <f t="shared" si="207"/>
        <v/>
      </c>
      <c r="AT417" t="str">
        <f t="shared" si="208"/>
        <v/>
      </c>
      <c r="AU417" t="str">
        <f t="shared" si="209"/>
        <v/>
      </c>
      <c r="AV417" t="str">
        <f t="shared" si="210"/>
        <v/>
      </c>
      <c r="AW417" t="str">
        <f t="shared" si="192"/>
        <v>};</v>
      </c>
    </row>
    <row r="418" spans="1:49" x14ac:dyDescent="0.25">
      <c r="A418">
        <v>1879520519</v>
      </c>
      <c r="C418" t="s">
        <v>3832</v>
      </c>
      <c r="D418" t="s">
        <v>30</v>
      </c>
      <c r="U418" t="str">
        <f t="shared" si="193"/>
        <v>[417] = {["ID"] = 1879520519; }; -- Kindred of the Hunter's Guild of Mûr Ghala</v>
      </c>
      <c r="V418" s="1" t="str">
        <f t="shared" si="194"/>
        <v>[417] = {["ID"] = 1879520519;                       ["TYPE"] =  7;             ["VXP"] =    0; ["LP"] =  0; ["REP"] =    0; ["FACTION"] =  1;                      ["NAME"] = { ["EN"] = "Kindred of the Hunter's Guild of Mûr Ghala"; }; };</v>
      </c>
      <c r="W418">
        <f t="shared" si="169"/>
        <v>417</v>
      </c>
      <c r="X418" t="str">
        <f t="shared" si="170"/>
        <v>[417] = {</v>
      </c>
      <c r="Y418" t="str">
        <f t="shared" si="195"/>
        <v xml:space="preserve">["ID"] = 1879520519; </v>
      </c>
      <c r="Z418" t="str">
        <f t="shared" si="196"/>
        <v xml:space="preserve">["ID"] = 1879520519; </v>
      </c>
      <c r="AA418" t="str">
        <f t="shared" si="197"/>
        <v/>
      </c>
      <c r="AB418" s="1" t="str">
        <f t="shared" si="198"/>
        <v xml:space="preserve">                      </v>
      </c>
      <c r="AC418">
        <f>VLOOKUP(D418,Type!A$2:B$16,2,)</f>
        <v>7</v>
      </c>
      <c r="AD418" t="str">
        <f t="shared" si="175"/>
        <v xml:space="preserve">["TYPE"] =  7; </v>
      </c>
      <c r="AE418" t="str">
        <f>IF(NOT(ISBLANK(E418)),VLOOKUP(E418,Type!D$2:E$6,2,FALSE),"")</f>
        <v/>
      </c>
      <c r="AF418" t="str">
        <f t="shared" si="199"/>
        <v xml:space="preserve">            </v>
      </c>
      <c r="AG418" t="str">
        <f t="shared" si="200"/>
        <v>0</v>
      </c>
      <c r="AH418" t="str">
        <f t="shared" si="178"/>
        <v xml:space="preserve">["VXP"] =    0; </v>
      </c>
      <c r="AI418" t="str">
        <f t="shared" si="201"/>
        <v>0</v>
      </c>
      <c r="AJ418" t="str">
        <f t="shared" si="180"/>
        <v xml:space="preserve">["LP"] =  0; </v>
      </c>
      <c r="AK418" t="str">
        <f t="shared" si="202"/>
        <v>0</v>
      </c>
      <c r="AL418" t="str">
        <f t="shared" si="182"/>
        <v xml:space="preserve">["REP"] =    0; </v>
      </c>
      <c r="AM418">
        <f>IF(LEN(Q418)&gt;0,VLOOKUP(Q418,Faction!A$2:B$77,2,),1)</f>
        <v>1</v>
      </c>
      <c r="AN418" t="str">
        <f t="shared" si="183"/>
        <v xml:space="preserve">["FACTION"] =  1; </v>
      </c>
      <c r="AO418" t="str">
        <f t="shared" si="203"/>
        <v/>
      </c>
      <c r="AP418" t="str">
        <f t="shared" si="204"/>
        <v xml:space="preserve">                     </v>
      </c>
      <c r="AQ418" t="str">
        <f t="shared" si="205"/>
        <v/>
      </c>
      <c r="AR418" t="str">
        <f t="shared" si="206"/>
        <v xml:space="preserve">["NAME"] = { ["EN"] = "Kindred of the Hunter's Guild of Mûr Ghala"; }; </v>
      </c>
      <c r="AS418" t="str">
        <f t="shared" si="207"/>
        <v/>
      </c>
      <c r="AT418" t="str">
        <f t="shared" si="208"/>
        <v/>
      </c>
      <c r="AU418" t="str">
        <f t="shared" si="209"/>
        <v/>
      </c>
      <c r="AV418" t="str">
        <f t="shared" si="210"/>
        <v/>
      </c>
      <c r="AW418" t="str">
        <f t="shared" si="192"/>
        <v>};</v>
      </c>
    </row>
    <row r="419" spans="1:49" x14ac:dyDescent="0.25">
      <c r="A419">
        <v>1879520520</v>
      </c>
      <c r="C419" t="s">
        <v>3833</v>
      </c>
      <c r="D419" t="s">
        <v>30</v>
      </c>
      <c r="K419">
        <v>1</v>
      </c>
      <c r="U419" t="str">
        <f t="shared" si="193"/>
        <v>[418] = {["ID"] = 1879520520; ["TIER"] = 1; }; -- Ally of the Hunter's Guild of Mûr Ghala</v>
      </c>
      <c r="V419" s="1" t="str">
        <f t="shared" si="194"/>
        <v>[418] = {["ID"] = 1879520520;                       ["TYPE"] =  7;             ["VXP"] =    0; ["LP"] =  0; ["REP"] =    0; ["FACTION"] =  1; ["TIER"] = 1;                      ["NAME"] = { ["EN"] = "Ally of the Hunter's Guild of Mûr Ghala"; }; };</v>
      </c>
      <c r="W419">
        <f t="shared" si="169"/>
        <v>418</v>
      </c>
      <c r="X419" t="str">
        <f t="shared" si="170"/>
        <v>[418] = {</v>
      </c>
      <c r="Y419" t="str">
        <f t="shared" si="195"/>
        <v xml:space="preserve">["ID"] = 1879520520; </v>
      </c>
      <c r="Z419" t="str">
        <f t="shared" si="196"/>
        <v xml:space="preserve">["ID"] = 1879520520; </v>
      </c>
      <c r="AA419" t="str">
        <f t="shared" si="197"/>
        <v/>
      </c>
      <c r="AB419" s="1" t="str">
        <f t="shared" si="198"/>
        <v xml:space="preserve">                      </v>
      </c>
      <c r="AC419">
        <f>VLOOKUP(D419,Type!A$2:B$16,2,)</f>
        <v>7</v>
      </c>
      <c r="AD419" t="str">
        <f t="shared" si="175"/>
        <v xml:space="preserve">["TYPE"] =  7; </v>
      </c>
      <c r="AE419" t="str">
        <f>IF(NOT(ISBLANK(E419)),VLOOKUP(E419,Type!D$2:E$6,2,FALSE),"")</f>
        <v/>
      </c>
      <c r="AF419" t="str">
        <f t="shared" si="199"/>
        <v xml:space="preserve">            </v>
      </c>
      <c r="AG419" t="str">
        <f t="shared" si="200"/>
        <v>0</v>
      </c>
      <c r="AH419" t="str">
        <f t="shared" si="178"/>
        <v xml:space="preserve">["VXP"] =    0; </v>
      </c>
      <c r="AI419" t="str">
        <f t="shared" si="201"/>
        <v>0</v>
      </c>
      <c r="AJ419" t="str">
        <f t="shared" si="180"/>
        <v xml:space="preserve">["LP"] =  0; </v>
      </c>
      <c r="AK419" t="str">
        <f t="shared" si="202"/>
        <v>0</v>
      </c>
      <c r="AL419" t="str">
        <f t="shared" si="182"/>
        <v xml:space="preserve">["REP"] =    0; </v>
      </c>
      <c r="AM419">
        <f>IF(LEN(Q419)&gt;0,VLOOKUP(Q419,Faction!A$2:B$77,2,),1)</f>
        <v>1</v>
      </c>
      <c r="AN419" t="str">
        <f t="shared" si="183"/>
        <v xml:space="preserve">["FACTION"] =  1; </v>
      </c>
      <c r="AO419" t="str">
        <f t="shared" si="203"/>
        <v xml:space="preserve">["TIER"] = 1; </v>
      </c>
      <c r="AP419" t="str">
        <f t="shared" si="204"/>
        <v xml:space="preserve">                     </v>
      </c>
      <c r="AQ419" t="str">
        <f t="shared" si="205"/>
        <v/>
      </c>
      <c r="AR419" t="str">
        <f t="shared" si="206"/>
        <v xml:space="preserve">["NAME"] = { ["EN"] = "Ally of the Hunter's Guild of Mûr Ghala"; }; </v>
      </c>
      <c r="AS419" t="str">
        <f t="shared" si="207"/>
        <v/>
      </c>
      <c r="AT419" t="str">
        <f t="shared" si="208"/>
        <v/>
      </c>
      <c r="AU419" t="str">
        <f t="shared" si="209"/>
        <v/>
      </c>
      <c r="AV419" t="str">
        <f t="shared" si="210"/>
        <v/>
      </c>
      <c r="AW419" t="str">
        <f t="shared" si="192"/>
        <v>};</v>
      </c>
    </row>
    <row r="420" spans="1:49" x14ac:dyDescent="0.25">
      <c r="A420">
        <v>1879520521</v>
      </c>
      <c r="C420" t="s">
        <v>3834</v>
      </c>
      <c r="D420" t="s">
        <v>30</v>
      </c>
      <c r="K420">
        <v>2</v>
      </c>
      <c r="U420" t="str">
        <f t="shared" si="193"/>
        <v>[419] = {["ID"] = 1879520521; ["TIER"] = 2; }; -- Friend of the Hunter's Guild of Mûr Ghala</v>
      </c>
      <c r="V420" s="1" t="str">
        <f t="shared" si="194"/>
        <v>[419] = {["ID"] = 1879520521;                       ["TYPE"] =  7;             ["VXP"] =    0; ["LP"] =  0; ["REP"] =    0; ["FACTION"] =  1; ["TIER"] = 2;                      ["NAME"] = { ["EN"] = "Friend of the Hunter's Guild of Mûr Ghala"; }; };</v>
      </c>
      <c r="W420">
        <f t="shared" si="169"/>
        <v>419</v>
      </c>
      <c r="X420" t="str">
        <f t="shared" si="170"/>
        <v>[419] = {</v>
      </c>
      <c r="Y420" t="str">
        <f t="shared" si="195"/>
        <v xml:space="preserve">["ID"] = 1879520521; </v>
      </c>
      <c r="Z420" t="str">
        <f t="shared" si="196"/>
        <v xml:space="preserve">["ID"] = 1879520521; </v>
      </c>
      <c r="AA420" t="str">
        <f t="shared" si="197"/>
        <v/>
      </c>
      <c r="AB420" s="1" t="str">
        <f t="shared" si="198"/>
        <v xml:space="preserve">                      </v>
      </c>
      <c r="AC420">
        <f>VLOOKUP(D420,Type!A$2:B$16,2,)</f>
        <v>7</v>
      </c>
      <c r="AD420" t="str">
        <f t="shared" si="175"/>
        <v xml:space="preserve">["TYPE"] =  7; </v>
      </c>
      <c r="AE420" t="str">
        <f>IF(NOT(ISBLANK(E420)),VLOOKUP(E420,Type!D$2:E$6,2,FALSE),"")</f>
        <v/>
      </c>
      <c r="AF420" t="str">
        <f t="shared" si="199"/>
        <v xml:space="preserve">            </v>
      </c>
      <c r="AG420" t="str">
        <f t="shared" si="200"/>
        <v>0</v>
      </c>
      <c r="AH420" t="str">
        <f t="shared" si="178"/>
        <v xml:space="preserve">["VXP"] =    0; </v>
      </c>
      <c r="AI420" t="str">
        <f t="shared" si="201"/>
        <v>0</v>
      </c>
      <c r="AJ420" t="str">
        <f t="shared" si="180"/>
        <v xml:space="preserve">["LP"] =  0; </v>
      </c>
      <c r="AK420" t="str">
        <f t="shared" si="202"/>
        <v>0</v>
      </c>
      <c r="AL420" t="str">
        <f t="shared" si="182"/>
        <v xml:space="preserve">["REP"] =    0; </v>
      </c>
      <c r="AM420">
        <f>IF(LEN(Q420)&gt;0,VLOOKUP(Q420,Faction!A$2:B$77,2,),1)</f>
        <v>1</v>
      </c>
      <c r="AN420" t="str">
        <f t="shared" si="183"/>
        <v xml:space="preserve">["FACTION"] =  1; </v>
      </c>
      <c r="AO420" t="str">
        <f t="shared" si="203"/>
        <v xml:space="preserve">["TIER"] = 2; </v>
      </c>
      <c r="AP420" t="str">
        <f t="shared" si="204"/>
        <v xml:space="preserve">                     </v>
      </c>
      <c r="AQ420" t="str">
        <f t="shared" si="205"/>
        <v/>
      </c>
      <c r="AR420" t="str">
        <f t="shared" si="206"/>
        <v xml:space="preserve">["NAME"] = { ["EN"] = "Friend of the Hunter's Guild of Mûr Ghala"; }; </v>
      </c>
      <c r="AS420" t="str">
        <f t="shared" si="207"/>
        <v/>
      </c>
      <c r="AT420" t="str">
        <f t="shared" si="208"/>
        <v/>
      </c>
      <c r="AU420" t="str">
        <f t="shared" si="209"/>
        <v/>
      </c>
      <c r="AV420" t="str">
        <f t="shared" si="210"/>
        <v/>
      </c>
      <c r="AW420" t="str">
        <f t="shared" si="192"/>
        <v>};</v>
      </c>
    </row>
    <row r="421" spans="1:49" x14ac:dyDescent="0.25">
      <c r="A421">
        <v>1879520522</v>
      </c>
      <c r="C421" t="s">
        <v>3835</v>
      </c>
      <c r="D421" t="s">
        <v>30</v>
      </c>
      <c r="K421">
        <v>3</v>
      </c>
      <c r="U421" t="str">
        <f t="shared" si="193"/>
        <v>[420] = {["ID"] = 1879520522; ["TIER"] = 3; }; -- Acquaintance of the Hunter's Guild of Mûr Ghala</v>
      </c>
      <c r="V421" s="1" t="str">
        <f t="shared" si="194"/>
        <v>[420] = {["ID"] = 1879520522;                       ["TYPE"] =  7;             ["VXP"] =    0; ["LP"] =  0; ["REP"] =    0; ["FACTION"] =  1; ["TIER"] = 3;                      ["NAME"] = { ["EN"] = "Acquaintance of the Hunter's Guild of Mûr Ghala"; }; };</v>
      </c>
      <c r="W421">
        <f t="shared" si="169"/>
        <v>420</v>
      </c>
      <c r="X421" t="str">
        <f t="shared" si="170"/>
        <v>[420] = {</v>
      </c>
      <c r="Y421" t="str">
        <f t="shared" si="195"/>
        <v xml:space="preserve">["ID"] = 1879520522; </v>
      </c>
      <c r="Z421" t="str">
        <f t="shared" si="196"/>
        <v xml:space="preserve">["ID"] = 1879520522; </v>
      </c>
      <c r="AA421" t="str">
        <f t="shared" si="197"/>
        <v/>
      </c>
      <c r="AB421" s="1" t="str">
        <f t="shared" si="198"/>
        <v xml:space="preserve">                      </v>
      </c>
      <c r="AC421">
        <f>VLOOKUP(D421,Type!A$2:B$16,2,)</f>
        <v>7</v>
      </c>
      <c r="AD421" t="str">
        <f t="shared" si="175"/>
        <v xml:space="preserve">["TYPE"] =  7; </v>
      </c>
      <c r="AE421" t="str">
        <f>IF(NOT(ISBLANK(E421)),VLOOKUP(E421,Type!D$2:E$6,2,FALSE),"")</f>
        <v/>
      </c>
      <c r="AF421" t="str">
        <f t="shared" si="199"/>
        <v xml:space="preserve">            </v>
      </c>
      <c r="AG421" t="str">
        <f t="shared" si="200"/>
        <v>0</v>
      </c>
      <c r="AH421" t="str">
        <f t="shared" si="178"/>
        <v xml:space="preserve">["VXP"] =    0; </v>
      </c>
      <c r="AI421" t="str">
        <f t="shared" si="201"/>
        <v>0</v>
      </c>
      <c r="AJ421" t="str">
        <f t="shared" si="180"/>
        <v xml:space="preserve">["LP"] =  0; </v>
      </c>
      <c r="AK421" t="str">
        <f t="shared" si="202"/>
        <v>0</v>
      </c>
      <c r="AL421" t="str">
        <f t="shared" si="182"/>
        <v xml:space="preserve">["REP"] =    0; </v>
      </c>
      <c r="AM421">
        <f>IF(LEN(Q421)&gt;0,VLOOKUP(Q421,Faction!A$2:B$77,2,),1)</f>
        <v>1</v>
      </c>
      <c r="AN421" t="str">
        <f t="shared" si="183"/>
        <v xml:space="preserve">["FACTION"] =  1; </v>
      </c>
      <c r="AO421" t="str">
        <f t="shared" si="203"/>
        <v xml:space="preserve">["TIER"] = 3; </v>
      </c>
      <c r="AP421" t="str">
        <f t="shared" si="204"/>
        <v xml:space="preserve">                     </v>
      </c>
      <c r="AQ421" t="str">
        <f t="shared" si="205"/>
        <v/>
      </c>
      <c r="AR421" t="str">
        <f t="shared" si="206"/>
        <v xml:space="preserve">["NAME"] = { ["EN"] = "Acquaintance of the Hunter's Guild of Mûr Ghala"; }; </v>
      </c>
      <c r="AS421" t="str">
        <f t="shared" si="207"/>
        <v/>
      </c>
      <c r="AT421" t="str">
        <f t="shared" si="208"/>
        <v/>
      </c>
      <c r="AU421" t="str">
        <f t="shared" si="209"/>
        <v/>
      </c>
      <c r="AV421" t="str">
        <f t="shared" si="210"/>
        <v/>
      </c>
      <c r="AW421" t="str">
        <f t="shared" si="192"/>
        <v>};</v>
      </c>
    </row>
    <row r="422" spans="1:49" x14ac:dyDescent="0.25">
      <c r="A422">
        <v>1879520518</v>
      </c>
      <c r="C422" t="s">
        <v>3836</v>
      </c>
      <c r="D422" t="s">
        <v>30</v>
      </c>
      <c r="K422">
        <v>4</v>
      </c>
      <c r="U422" t="str">
        <f t="shared" ref="U422" si="211">CONCATENATE(X422,Z422,AA422,AO422,AW422," -- ",C422)</f>
        <v>[421] = {["ID"] = 1879520518; ["TIER"] = 4; }; -- Neutral with the Hunter's Guild of Mûr Ghala</v>
      </c>
      <c r="V422" s="1" t="str">
        <f t="shared" ref="V422" si="212">CONCATENATE(X422,Y422,AB422,AD422,AF422,AH422,AJ422,AL422,AN422,AO422,AP422,AQ422,AR422,AS422,AT422,AU422,AV422,AW422)</f>
        <v>[421] = {["ID"] = 1879520518;                       ["TYPE"] =  7;             ["VXP"] =    0; ["LP"] =  0; ["REP"] =    0; ["FACTION"] =  1; ["TIER"] = 4;                      ["NAME"] = { ["EN"] = "Neutral with the Hunter's Guild of Mûr Ghala"; }; };</v>
      </c>
      <c r="W422">
        <f t="shared" si="169"/>
        <v>421</v>
      </c>
      <c r="X422" t="str">
        <f t="shared" ref="X422" si="213">CONCATENATE(REPT(" ",3-LEN(W422)),"[",W422,"] = {")</f>
        <v>[421] = {</v>
      </c>
      <c r="Y422" t="str">
        <f t="shared" ref="Y422" si="214">IF(LEN(A422)&gt;0,CONCATENATE("[""ID""] = ",A422,"; "),"                     ")</f>
        <v xml:space="preserve">["ID"] = 1879520518; </v>
      </c>
      <c r="Z422" t="str">
        <f t="shared" ref="Z422" si="215">IF(LEN(A422)&gt;0,CONCATENATE("[""ID""] = ",A422,"; "),"")</f>
        <v xml:space="preserve">["ID"] = 1879520518; </v>
      </c>
      <c r="AA422" t="str">
        <f t="shared" ref="AA422" si="216">IF(LEN(R422)&gt;0,CONCATENATE("[""CAT_ID""] = ",R422,"; "),"")</f>
        <v/>
      </c>
      <c r="AB422" s="1" t="str">
        <f t="shared" ref="AB422" si="217">IF(LEN(B422)&gt;0,CONCATENATE("[""SAVE_INDEX""] = ",REPT(" ",3-LEN(B422)),B422,"; "),"                      ")</f>
        <v xml:space="preserve">                      </v>
      </c>
      <c r="AC422">
        <f>VLOOKUP(D422,Type!A$2:B$16,2,)</f>
        <v>7</v>
      </c>
      <c r="AD422" t="str">
        <f t="shared" ref="AD422" si="218">CONCATENATE("[""TYPE""] = ",REPT(" ",2-LEN(AC422)),AC422,"; ")</f>
        <v xml:space="preserve">["TYPE"] =  7; </v>
      </c>
      <c r="AE422" t="str">
        <f>IF(NOT(ISBLANK(E422)),VLOOKUP(E422,Type!D$2:E$6,2,FALSE),"")</f>
        <v/>
      </c>
      <c r="AF422" t="str">
        <f t="shared" ref="AF422" si="219">IF(NOT(ISBLANK(E422)),CONCATENATE("[""NA""] = ",AE422,"; "),"            ")</f>
        <v xml:space="preserve">            </v>
      </c>
      <c r="AG422" t="str">
        <f t="shared" ref="AG422" si="220">TEXT(O422,0)</f>
        <v>0</v>
      </c>
      <c r="AH422" t="str">
        <f t="shared" ref="AH422" si="221">CONCATENATE("[""VXP""] = ",REPT(" ",4-LEN(AG422)),TEXT(AG422,"0"),"; ")</f>
        <v xml:space="preserve">["VXP"] =    0; </v>
      </c>
      <c r="AI422" t="str">
        <f t="shared" ref="AI422" si="222">TEXT(G422,0)</f>
        <v>0</v>
      </c>
      <c r="AJ422" t="str">
        <f t="shared" ref="AJ422" si="223">CONCATENATE("[""LP""] = ",REPT(" ",2-LEN(AI422)),TEXT(AI422,"0"),"; ")</f>
        <v xml:space="preserve">["LP"] =  0; </v>
      </c>
      <c r="AK422" t="str">
        <f t="shared" ref="AK422" si="224">TEXT(P422,0)</f>
        <v>0</v>
      </c>
      <c r="AL422" t="str">
        <f t="shared" ref="AL422" si="225">CONCATENATE("[""REP""] = ",REPT(" ",4-LEN(AK422)),TEXT(AK422,"0"),"; ")</f>
        <v xml:space="preserve">["REP"] =    0; </v>
      </c>
      <c r="AM422">
        <f>IF(LEN(Q422)&gt;0,VLOOKUP(Q422,Faction!A$2:B$77,2,),1)</f>
        <v>1</v>
      </c>
      <c r="AN422" t="str">
        <f t="shared" ref="AN422" si="226">CONCATENATE("[""FACTION""] = ",REPT(" ",2-LEN(AM422)),TEXT(AM422,"0"),"; ")</f>
        <v xml:space="preserve">["FACTION"] =  1; </v>
      </c>
      <c r="AO422" t="str">
        <f t="shared" ref="AO422" si="227">IF(K422&gt;0,CONCATENATE("[""TIER""] = ",TEXT(K422,"0"),"; "),"")</f>
        <v xml:space="preserve">["TIER"] = 4; </v>
      </c>
      <c r="AP422" t="str">
        <f t="shared" ref="AP422" si="228">IF(LEN(L422)&gt;0,CONCATENATE("[""MIN_LVL""] = ",REPT(" ",3-LEN(L422)),"""",L422,"""; "),"                     ")</f>
        <v xml:space="preserve">                     </v>
      </c>
      <c r="AQ422" t="str">
        <f t="shared" ref="AQ422" si="229">IF(LEN(M422)&gt;0,CONCATENATE("[""MIN_LVL""] = ",REPT(" ",3-LEN(M422)),"""",M422,"""; "),"")</f>
        <v/>
      </c>
      <c r="AR422" t="str">
        <f t="shared" ref="AR422" si="230">CONCATENATE("[""NAME""] = { [""EN""] = """,C422,"""; }; ")</f>
        <v xml:space="preserve">["NAME"] = { ["EN"] = "Neutral with the Hunter's Guild of Mûr Ghala"; }; </v>
      </c>
      <c r="AS422" t="str">
        <f t="shared" ref="AS422" si="231">IF(LEN(J422)&gt;0,CONCATENATE("[""LORE""] = { [""EN""] = """,J422,"""; }; "),"")</f>
        <v/>
      </c>
      <c r="AT422" t="str">
        <f t="shared" ref="AT422" si="232">IF(LEN(I422)&gt;0,CONCATENATE("[""SUMMARY""] = { [""EN""] = """,I422,"""; }; "),"")</f>
        <v/>
      </c>
      <c r="AU422" t="str">
        <f t="shared" ref="AU422" si="233">IF(LEN(F422)&gt;0,CONCATENATE("[""TITLE""] = { [""EN""] = """,F422,"""; }; "),"")</f>
        <v/>
      </c>
      <c r="AV422" t="str">
        <f t="shared" ref="AV422" si="234">IF(LEN(N422)&gt;0,CONCATENATE("[""PAIRED""] = { ",N422, " }; "),"")</f>
        <v/>
      </c>
      <c r="AW422" t="str">
        <f t="shared" si="192"/>
        <v>};</v>
      </c>
    </row>
    <row r="423" spans="1:49" x14ac:dyDescent="0.25">
      <c r="C423" s="3" t="s">
        <v>3713</v>
      </c>
      <c r="D423" s="2" t="s">
        <v>812</v>
      </c>
      <c r="R423">
        <v>306</v>
      </c>
      <c r="T423" t="str">
        <f t="shared" si="166"/>
        <v/>
      </c>
      <c r="U423" t="str">
        <f t="shared" si="193"/>
        <v>[422] = {["CAT_ID"] = 306; }; -- - Crafting Events -</v>
      </c>
      <c r="V423" s="1" t="str">
        <f t="shared" si="194"/>
        <v>[422] = {                                           ["TYPE"] = 14;             ["VXP"] =    0; ["LP"] =  0; ["REP"] =    0; ["FACTION"] =  1;                      ["NAME"] = { ["EN"] = "- Crafting Events -"; }; };</v>
      </c>
      <c r="W423">
        <f t="shared" si="169"/>
        <v>422</v>
      </c>
      <c r="X423" t="str">
        <f t="shared" si="170"/>
        <v>[422] = {</v>
      </c>
      <c r="Y423" t="str">
        <f t="shared" si="195"/>
        <v xml:space="preserve">                     </v>
      </c>
      <c r="Z423" t="str">
        <f t="shared" si="196"/>
        <v/>
      </c>
      <c r="AA423" t="str">
        <f t="shared" si="197"/>
        <v xml:space="preserve">["CAT_ID"] = 306; </v>
      </c>
      <c r="AB423" s="1" t="str">
        <f t="shared" si="198"/>
        <v xml:space="preserve">                      </v>
      </c>
      <c r="AC423">
        <f>VLOOKUP(D423,Type!A$2:B$16,2,)</f>
        <v>14</v>
      </c>
      <c r="AD423" t="str">
        <f t="shared" si="175"/>
        <v xml:space="preserve">["TYPE"] = 14; </v>
      </c>
      <c r="AE423" t="str">
        <f>IF(NOT(ISBLANK(E423)),VLOOKUP(E423,Type!D$2:E$6,2,FALSE),"")</f>
        <v/>
      </c>
      <c r="AF423" t="str">
        <f t="shared" si="199"/>
        <v xml:space="preserve">            </v>
      </c>
      <c r="AG423" t="str">
        <f t="shared" si="200"/>
        <v>0</v>
      </c>
      <c r="AH423" t="str">
        <f t="shared" si="178"/>
        <v xml:space="preserve">["VXP"] =    0; </v>
      </c>
      <c r="AI423" t="str">
        <f t="shared" si="201"/>
        <v>0</v>
      </c>
      <c r="AJ423" t="str">
        <f t="shared" si="180"/>
        <v xml:space="preserve">["LP"] =  0; </v>
      </c>
      <c r="AK423" t="str">
        <f t="shared" si="202"/>
        <v>0</v>
      </c>
      <c r="AL423" t="str">
        <f t="shared" si="182"/>
        <v xml:space="preserve">["REP"] =    0; </v>
      </c>
      <c r="AM423">
        <f>IF(LEN(Q423)&gt;0,VLOOKUP(Q423,Faction!A$2:B$77,2,),1)</f>
        <v>1</v>
      </c>
      <c r="AN423" t="str">
        <f t="shared" si="183"/>
        <v xml:space="preserve">["FACTION"] =  1; </v>
      </c>
      <c r="AO423" t="str">
        <f t="shared" si="203"/>
        <v/>
      </c>
      <c r="AP423" t="str">
        <f t="shared" si="204"/>
        <v xml:space="preserve">                     </v>
      </c>
      <c r="AQ423" t="str">
        <f t="shared" si="205"/>
        <v/>
      </c>
      <c r="AR423" t="str">
        <f t="shared" si="206"/>
        <v xml:space="preserve">["NAME"] = { ["EN"] = "- Crafting Events -"; }; </v>
      </c>
      <c r="AS423" t="str">
        <f t="shared" si="207"/>
        <v/>
      </c>
      <c r="AT423" t="str">
        <f t="shared" si="208"/>
        <v/>
      </c>
      <c r="AU423" t="str">
        <f t="shared" si="209"/>
        <v/>
      </c>
      <c r="AV423" t="str">
        <f t="shared" si="210"/>
        <v/>
      </c>
      <c r="AW423" t="str">
        <f t="shared" si="192"/>
        <v>};</v>
      </c>
    </row>
    <row r="424" spans="1:49" x14ac:dyDescent="0.25">
      <c r="C424" s="3" t="s">
        <v>3715</v>
      </c>
      <c r="D424" s="2" t="s">
        <v>812</v>
      </c>
      <c r="K424">
        <v>1</v>
      </c>
      <c r="R424">
        <v>289</v>
      </c>
      <c r="T424" t="str">
        <f t="shared" si="166"/>
        <v/>
      </c>
      <c r="U424" t="str">
        <f t="shared" si="193"/>
        <v>[423] = {["CAT_ID"] = 289; ["TIER"] = 1; }; -- - The Combe Forester Event -</v>
      </c>
      <c r="V424" s="1" t="str">
        <f t="shared" si="194"/>
        <v>[423] = {                                           ["TYPE"] = 14;             ["VXP"] =    0; ["LP"] =  0; ["REP"] =    0; ["FACTION"] =  1; ["TIER"] = 1;                      ["NAME"] = { ["EN"] = "- The Combe Forester Event -"; }; };</v>
      </c>
      <c r="W424">
        <f t="shared" si="169"/>
        <v>423</v>
      </c>
      <c r="X424" t="str">
        <f t="shared" si="170"/>
        <v>[423] = {</v>
      </c>
      <c r="Y424" t="str">
        <f t="shared" si="195"/>
        <v xml:space="preserve">                     </v>
      </c>
      <c r="Z424" t="str">
        <f t="shared" si="196"/>
        <v/>
      </c>
      <c r="AA424" t="str">
        <f t="shared" si="197"/>
        <v xml:space="preserve">["CAT_ID"] = 289; </v>
      </c>
      <c r="AB424" s="1" t="str">
        <f t="shared" si="198"/>
        <v xml:space="preserve">                      </v>
      </c>
      <c r="AC424">
        <f>VLOOKUP(D424,Type!A$2:B$16,2,)</f>
        <v>14</v>
      </c>
      <c r="AD424" t="str">
        <f t="shared" si="175"/>
        <v xml:space="preserve">["TYPE"] = 14; </v>
      </c>
      <c r="AE424" t="str">
        <f>IF(NOT(ISBLANK(E424)),VLOOKUP(E424,Type!D$2:E$6,2,FALSE),"")</f>
        <v/>
      </c>
      <c r="AF424" t="str">
        <f t="shared" si="199"/>
        <v xml:space="preserve">            </v>
      </c>
      <c r="AG424" t="str">
        <f t="shared" si="200"/>
        <v>0</v>
      </c>
      <c r="AH424" t="str">
        <f t="shared" si="178"/>
        <v xml:space="preserve">["VXP"] =    0; </v>
      </c>
      <c r="AI424" t="str">
        <f t="shared" si="201"/>
        <v>0</v>
      </c>
      <c r="AJ424" t="str">
        <f t="shared" si="180"/>
        <v xml:space="preserve">["LP"] =  0; </v>
      </c>
      <c r="AK424" t="str">
        <f t="shared" si="202"/>
        <v>0</v>
      </c>
      <c r="AL424" t="str">
        <f t="shared" si="182"/>
        <v xml:space="preserve">["REP"] =    0; </v>
      </c>
      <c r="AM424">
        <f>IF(LEN(Q424)&gt;0,VLOOKUP(Q424,Faction!A$2:B$77,2,),1)</f>
        <v>1</v>
      </c>
      <c r="AN424" t="str">
        <f t="shared" si="183"/>
        <v xml:space="preserve">["FACTION"] =  1; </v>
      </c>
      <c r="AO424" t="str">
        <f t="shared" si="203"/>
        <v xml:space="preserve">["TIER"] = 1; </v>
      </c>
      <c r="AP424" t="str">
        <f t="shared" si="204"/>
        <v xml:space="preserve">                     </v>
      </c>
      <c r="AQ424" t="str">
        <f t="shared" si="205"/>
        <v/>
      </c>
      <c r="AR424" t="str">
        <f t="shared" si="206"/>
        <v xml:space="preserve">["NAME"] = { ["EN"] = "- The Combe Forester Event -"; }; </v>
      </c>
      <c r="AS424" t="str">
        <f t="shared" si="207"/>
        <v/>
      </c>
      <c r="AT424" t="str">
        <f t="shared" si="208"/>
        <v/>
      </c>
      <c r="AU424" t="str">
        <f t="shared" si="209"/>
        <v/>
      </c>
      <c r="AV424" t="str">
        <f t="shared" si="210"/>
        <v/>
      </c>
      <c r="AW424" t="str">
        <f t="shared" si="192"/>
        <v>};</v>
      </c>
    </row>
    <row r="425" spans="1:49" x14ac:dyDescent="0.25">
      <c r="A425">
        <v>1879467122</v>
      </c>
      <c r="C425" t="s">
        <v>3578</v>
      </c>
      <c r="D425" t="s">
        <v>24</v>
      </c>
      <c r="E425" t="s">
        <v>2325</v>
      </c>
      <c r="I425" t="s">
        <v>3579</v>
      </c>
      <c r="K425">
        <v>1</v>
      </c>
      <c r="T425" t="str">
        <f t="shared" si="166"/>
        <v>[1879467122] = 1, // Is a Lumberjack</v>
      </c>
      <c r="U425" t="str">
        <f t="shared" si="167"/>
        <v>[424] = {["ID"] = 1879467122; ["TIER"] = 1; }; -- Is a Lumberjack</v>
      </c>
      <c r="V425" s="1" t="str">
        <f t="shared" si="168"/>
        <v>[424] = {["ID"] = 1879467122;                       ["TYPE"] = 12; ["NA"] = 4; ["VXP"] =    0; ["LP"] =  0; ["REP"] =    0; ["FACTION"] =  1; ["TIER"] = 1;                      ["NAME"] = { ["EN"] = "Is a Lumberjack"; }; ["SUMMARY"] = { ["EN"] = "Obtain Title Writ - Is a Lumberjack"; }; };</v>
      </c>
      <c r="W425">
        <f t="shared" si="169"/>
        <v>424</v>
      </c>
      <c r="X425" t="str">
        <f t="shared" si="170"/>
        <v>[424] = {</v>
      </c>
      <c r="Y425" t="str">
        <f t="shared" si="171"/>
        <v xml:space="preserve">["ID"] = 1879467122; </v>
      </c>
      <c r="Z425" t="str">
        <f t="shared" si="172"/>
        <v xml:space="preserve">["ID"] = 1879467122; </v>
      </c>
      <c r="AA425" t="str">
        <f t="shared" si="173"/>
        <v/>
      </c>
      <c r="AB425" s="1" t="str">
        <f t="shared" si="174"/>
        <v xml:space="preserve">                      </v>
      </c>
      <c r="AC425">
        <f>VLOOKUP(D425,Type!A$2:B$16,2,)</f>
        <v>12</v>
      </c>
      <c r="AD425" t="str">
        <f t="shared" si="175"/>
        <v xml:space="preserve">["TYPE"] = 12; </v>
      </c>
      <c r="AE425">
        <f>IF(NOT(ISBLANK(E425)),VLOOKUP(E425,Type!D$2:E$6,2,FALSE),"")</f>
        <v>4</v>
      </c>
      <c r="AF425" t="str">
        <f t="shared" si="176"/>
        <v xml:space="preserve">["NA"] = 4;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xml:space="preserve">["TIER"] = 1; </v>
      </c>
      <c r="AP425" t="str">
        <f t="shared" si="185"/>
        <v xml:space="preserve">                     </v>
      </c>
      <c r="AQ425" t="str">
        <f t="shared" si="186"/>
        <v/>
      </c>
      <c r="AR425" t="str">
        <f t="shared" si="187"/>
        <v xml:space="preserve">["NAME"] = { ["EN"] = "Is a Lumberjack"; }; </v>
      </c>
      <c r="AS425" t="str">
        <f t="shared" si="188"/>
        <v/>
      </c>
      <c r="AT425" t="str">
        <f t="shared" si="189"/>
        <v xml:space="preserve">["SUMMARY"] = { ["EN"] = "Obtain Title Writ - Is a Lumberjack"; }; </v>
      </c>
      <c r="AU425" t="str">
        <f t="shared" si="190"/>
        <v/>
      </c>
      <c r="AV425" t="str">
        <f t="shared" si="191"/>
        <v/>
      </c>
      <c r="AW425" t="str">
        <f t="shared" si="192"/>
        <v>};</v>
      </c>
    </row>
    <row r="426" spans="1:49" x14ac:dyDescent="0.25">
      <c r="A426">
        <v>1879467125</v>
      </c>
      <c r="C426" t="s">
        <v>3580</v>
      </c>
      <c r="D426" t="s">
        <v>24</v>
      </c>
      <c r="E426" t="s">
        <v>2325</v>
      </c>
      <c r="I426" t="s">
        <v>3581</v>
      </c>
      <c r="K426">
        <v>1</v>
      </c>
      <c r="T426" t="str">
        <f t="shared" si="166"/>
        <v>[1879467125] = 1, // Sleep at Night</v>
      </c>
      <c r="U426" t="str">
        <f t="shared" si="167"/>
        <v>[425] = {["ID"] = 1879467125; ["TIER"] = 1; }; -- Sleep at Night</v>
      </c>
      <c r="V426" s="1" t="str">
        <f t="shared" si="168"/>
        <v>[425] = {["ID"] = 1879467125;                       ["TYPE"] = 12; ["NA"] = 4; ["VXP"] =    0; ["LP"] =  0; ["REP"] =    0; ["FACTION"] =  1; ["TIER"] = 1;                      ["NAME"] = { ["EN"] = "Sleep at Night"; }; ["SUMMARY"] = { ["EN"] = "Obtain Title Writ - Sleeps at Night"; }; };</v>
      </c>
      <c r="W426">
        <f t="shared" si="169"/>
        <v>425</v>
      </c>
      <c r="X426" t="str">
        <f t="shared" si="170"/>
        <v>[425] = {</v>
      </c>
      <c r="Y426" t="str">
        <f t="shared" si="171"/>
        <v xml:space="preserve">["ID"] = 1879467125; </v>
      </c>
      <c r="Z426" t="str">
        <f t="shared" si="172"/>
        <v xml:space="preserve">["ID"] = 1879467125; </v>
      </c>
      <c r="AA426" t="str">
        <f t="shared" si="173"/>
        <v/>
      </c>
      <c r="AB426" s="1" t="str">
        <f t="shared" si="174"/>
        <v xml:space="preserve">                      </v>
      </c>
      <c r="AC426">
        <f>VLOOKUP(D426,Type!A$2:B$16,2,)</f>
        <v>12</v>
      </c>
      <c r="AD426" t="str">
        <f t="shared" si="175"/>
        <v xml:space="preserve">["TYPE"] = 12; </v>
      </c>
      <c r="AE426">
        <f>IF(NOT(ISBLANK(E426)),VLOOKUP(E426,Type!D$2:E$6,2,FALSE),"")</f>
        <v>4</v>
      </c>
      <c r="AF426" t="str">
        <f t="shared" si="176"/>
        <v xml:space="preserve">["NA"] = 4;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"Sleep at Night"; }; </v>
      </c>
      <c r="AS426" t="str">
        <f t="shared" si="188"/>
        <v/>
      </c>
      <c r="AT426" t="str">
        <f t="shared" si="189"/>
        <v xml:space="preserve">["SUMMARY"] = { ["EN"] = "Obtain Title Writ - Sleeps at Night"; }; </v>
      </c>
      <c r="AU426" t="str">
        <f t="shared" si="190"/>
        <v/>
      </c>
      <c r="AV426" t="str">
        <f t="shared" si="191"/>
        <v/>
      </c>
      <c r="AW426" t="str">
        <f t="shared" si="192"/>
        <v>};</v>
      </c>
    </row>
    <row r="427" spans="1:49" x14ac:dyDescent="0.25">
      <c r="A427">
        <v>1879467127</v>
      </c>
      <c r="C427" t="s">
        <v>3582</v>
      </c>
      <c r="D427" t="s">
        <v>24</v>
      </c>
      <c r="E427" t="s">
        <v>2325</v>
      </c>
      <c r="I427" t="s">
        <v>3583</v>
      </c>
      <c r="K427">
        <v>1</v>
      </c>
      <c r="T427" t="str">
        <f t="shared" si="166"/>
        <v>[1879467127] = 1, // Eats Their Bread</v>
      </c>
      <c r="U427" t="str">
        <f t="shared" si="167"/>
        <v>[426] = {["ID"] = 1879467127; ["TIER"] = 1; }; -- Eats Their Bread</v>
      </c>
      <c r="V427" s="1" t="str">
        <f t="shared" si="168"/>
        <v>[426] = {["ID"] = 1879467127;                       ["TYPE"] = 12; ["NA"] = 4; ["VXP"] =    0; ["LP"] =  0; ["REP"] =    0; ["FACTION"] =  1; ["TIER"] = 1;                      ["NAME"] = { ["EN"] = "Eats Their Bread"; }; ["SUMMARY"] = { ["EN"] = "Obtain Title Writ - Eats Their Lunch"; }; };</v>
      </c>
      <c r="W427">
        <f t="shared" si="169"/>
        <v>426</v>
      </c>
      <c r="X427" t="str">
        <f t="shared" si="170"/>
        <v>[426] = {</v>
      </c>
      <c r="Y427" t="str">
        <f t="shared" si="171"/>
        <v xml:space="preserve">["ID"] = 1879467127; </v>
      </c>
      <c r="Z427" t="str">
        <f t="shared" si="172"/>
        <v xml:space="preserve">["ID"] = 1879467127;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"Eats Their Bread"; }; </v>
      </c>
      <c r="AS427" t="str">
        <f t="shared" si="188"/>
        <v/>
      </c>
      <c r="AT427" t="str">
        <f t="shared" si="189"/>
        <v xml:space="preserve">["SUMMARY"] = { ["EN"] = "Obtain Title Writ - Eats Their Lunch"; }; </v>
      </c>
      <c r="AU427" t="str">
        <f t="shared" si="190"/>
        <v/>
      </c>
      <c r="AV427" t="str">
        <f t="shared" si="191"/>
        <v/>
      </c>
      <c r="AW427" t="str">
        <f t="shared" si="192"/>
        <v>};</v>
      </c>
    </row>
    <row r="428" spans="1:49" x14ac:dyDescent="0.25">
      <c r="A428">
        <v>1879467133</v>
      </c>
      <c r="C428" t="s">
        <v>3584</v>
      </c>
      <c r="D428" t="s">
        <v>24</v>
      </c>
      <c r="E428" t="s">
        <v>2325</v>
      </c>
      <c r="I428" t="s">
        <v>3585</v>
      </c>
      <c r="K428">
        <v>1</v>
      </c>
      <c r="T428" t="str">
        <f t="shared" si="166"/>
        <v>[1879467133] = 1, // Hangs in Taverns</v>
      </c>
      <c r="U428" t="str">
        <f t="shared" si="167"/>
        <v>[427] = {["ID"] = 1879467133; ["TIER"] = 1; }; -- Hangs in Taverns</v>
      </c>
      <c r="V428" s="1" t="str">
        <f t="shared" si="168"/>
        <v>[427] = {["ID"] = 1879467133;                       ["TYPE"] = 12; ["NA"] = 4; ["VXP"] =    0; ["LP"] =  0; ["REP"] =    0; ["FACTION"] =  1; ["TIER"] = 1;                      ["NAME"] = { ["EN"] = "Hangs in Taverns"; }; ["SUMMARY"] = { ["EN"] = "Obtain Title Writ - Hangs in Taverns"; }; };</v>
      </c>
      <c r="W428">
        <f t="shared" si="169"/>
        <v>427</v>
      </c>
      <c r="X428" t="str">
        <f t="shared" si="170"/>
        <v>[427] = {</v>
      </c>
      <c r="Y428" t="str">
        <f t="shared" si="171"/>
        <v xml:space="preserve">["ID"] = 1879467133; </v>
      </c>
      <c r="Z428" t="str">
        <f t="shared" si="172"/>
        <v xml:space="preserve">["ID"] = 1879467133;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"Hangs in Taverns"; }; </v>
      </c>
      <c r="AS428" t="str">
        <f t="shared" si="188"/>
        <v/>
      </c>
      <c r="AT428" t="str">
        <f t="shared" si="189"/>
        <v xml:space="preserve">["SUMMARY"] = { ["EN"] = "Obtain Title Writ - Hangs in Taverns"; }; </v>
      </c>
      <c r="AU428" t="str">
        <f t="shared" si="190"/>
        <v/>
      </c>
      <c r="AV428" t="str">
        <f t="shared" si="191"/>
        <v/>
      </c>
      <c r="AW428" t="str">
        <f t="shared" si="192"/>
        <v>};</v>
      </c>
    </row>
    <row r="429" spans="1:49" x14ac:dyDescent="0.25">
      <c r="A429">
        <v>1879467139</v>
      </c>
      <c r="C429" t="s">
        <v>3586</v>
      </c>
      <c r="D429" t="s">
        <v>24</v>
      </c>
      <c r="E429" t="s">
        <v>2325</v>
      </c>
      <c r="I429" t="s">
        <v>3587</v>
      </c>
      <c r="K429">
        <v>1</v>
      </c>
      <c r="T429" t="str">
        <f t="shared" si="166"/>
        <v>[1879467139] = 1, // Hacks All Day</v>
      </c>
      <c r="U429" t="str">
        <f t="shared" si="167"/>
        <v>[428] = {["ID"] = 1879467139; ["TIER"] = 1; }; -- Hacks All Day</v>
      </c>
      <c r="V429" s="1" t="str">
        <f t="shared" si="168"/>
        <v>[428] = {["ID"] = 1879467139;                       ["TYPE"] = 12; ["NA"] = 4; ["VXP"] =    0; ["LP"] =  0; ["REP"] =    0; ["FACTION"] =  1; ["TIER"] = 1;                      ["NAME"] = { ["EN"] = "Hacks All Day"; }; ["SUMMARY"] = { ["EN"] = "Obtain Title Writ - Hacks All Day"; }; };</v>
      </c>
      <c r="W429">
        <f t="shared" si="169"/>
        <v>428</v>
      </c>
      <c r="X429" t="str">
        <f t="shared" si="170"/>
        <v>[428] = {</v>
      </c>
      <c r="Y429" t="str">
        <f t="shared" si="171"/>
        <v xml:space="preserve">["ID"] = 1879467139; </v>
      </c>
      <c r="Z429" t="str">
        <f t="shared" si="172"/>
        <v xml:space="preserve">["ID"] = 1879467139;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"Hacks All Day"; }; </v>
      </c>
      <c r="AS429" t="str">
        <f t="shared" si="188"/>
        <v/>
      </c>
      <c r="AT429" t="str">
        <f t="shared" si="189"/>
        <v xml:space="preserve">["SUMMARY"] = { ["EN"] = "Obtain Title Writ - Hacks All Day"; }; </v>
      </c>
      <c r="AU429" t="str">
        <f t="shared" si="190"/>
        <v/>
      </c>
      <c r="AV429" t="str">
        <f t="shared" si="191"/>
        <v/>
      </c>
      <c r="AW429" t="str">
        <f t="shared" si="192"/>
        <v>};</v>
      </c>
    </row>
    <row r="430" spans="1:49" x14ac:dyDescent="0.25">
      <c r="A430">
        <v>1879467142</v>
      </c>
      <c r="C430" t="s">
        <v>3588</v>
      </c>
      <c r="D430" t="s">
        <v>24</v>
      </c>
      <c r="E430" t="s">
        <v>2325</v>
      </c>
      <c r="I430" t="s">
        <v>3589</v>
      </c>
      <c r="K430">
        <v>1</v>
      </c>
      <c r="T430" t="str">
        <f t="shared" si="166"/>
        <v>[1879467142] = 1, // Drinks Their Bread</v>
      </c>
      <c r="U430" t="str">
        <f t="shared" si="167"/>
        <v>[429] = {["ID"] = 1879467142; ["TIER"] = 1; }; -- Drinks Their Bread</v>
      </c>
      <c r="V430" s="1" t="str">
        <f t="shared" si="168"/>
        <v>[429] = {["ID"] = 1879467142;                       ["TYPE"] = 12; ["NA"] = 4; ["VXP"] =    0; ["LP"] =  0; ["REP"] =    0; ["FACTION"] =  1; ["TIER"] = 1;                      ["NAME"] = { ["EN"] = "Drinks Their Bread"; }; ["SUMMARY"] = { ["EN"] = "Obtain Title Writ - Drinks Their Bread"; }; };</v>
      </c>
      <c r="W430">
        <f t="shared" si="169"/>
        <v>429</v>
      </c>
      <c r="X430" t="str">
        <f t="shared" si="170"/>
        <v>[429] = {</v>
      </c>
      <c r="Y430" t="str">
        <f t="shared" si="171"/>
        <v xml:space="preserve">["ID"] = 1879467142; </v>
      </c>
      <c r="Z430" t="str">
        <f t="shared" si="172"/>
        <v xml:space="preserve">["ID"] = 1879467142;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"Drinks Their Bread"; }; </v>
      </c>
      <c r="AS430" t="str">
        <f t="shared" si="188"/>
        <v/>
      </c>
      <c r="AT430" t="str">
        <f t="shared" si="189"/>
        <v xml:space="preserve">["SUMMARY"] = { ["EN"] = "Obtain Title Writ - Drinks Their Bread"; }; </v>
      </c>
      <c r="AU430" t="str">
        <f t="shared" si="190"/>
        <v/>
      </c>
      <c r="AV430" t="str">
        <f t="shared" si="191"/>
        <v/>
      </c>
      <c r="AW430" t="str">
        <f t="shared" si="192"/>
        <v>};</v>
      </c>
    </row>
    <row r="431" spans="1:49" x14ac:dyDescent="0.25">
      <c r="A431">
        <v>1879467151</v>
      </c>
      <c r="C431" t="s">
        <v>3590</v>
      </c>
      <c r="D431" t="s">
        <v>24</v>
      </c>
      <c r="E431" t="s">
        <v>2325</v>
      </c>
      <c r="I431" t="s">
        <v>3591</v>
      </c>
      <c r="K431">
        <v>1</v>
      </c>
      <c r="T431" t="str">
        <f t="shared" si="166"/>
        <v>[1879467151] = 1, // Cuts Down Trees</v>
      </c>
      <c r="U431" t="str">
        <f t="shared" si="167"/>
        <v>[430] = {["ID"] = 1879467151; ["TIER"] = 1; }; -- Cuts Down Trees</v>
      </c>
      <c r="V431" s="1" t="str">
        <f t="shared" si="168"/>
        <v>[430] = {["ID"] = 1879467151;                       ["TYPE"] = 12; ["NA"] = 4; ["VXP"] =    0; ["LP"] =  0; ["REP"] =    0; ["FACTION"] =  1; ["TIER"] = 1;                      ["NAME"] = { ["EN"] = "Cuts Down Trees"; }; ["SUMMARY"] = { ["EN"] = "Obtain Title Writ - Cuts Down Trees"; }; };</v>
      </c>
      <c r="W431">
        <f t="shared" si="169"/>
        <v>430</v>
      </c>
      <c r="X431" t="str">
        <f t="shared" si="170"/>
        <v>[430] = {</v>
      </c>
      <c r="Y431" t="str">
        <f t="shared" si="171"/>
        <v xml:space="preserve">["ID"] = 1879467151; </v>
      </c>
      <c r="Z431" t="str">
        <f t="shared" si="172"/>
        <v xml:space="preserve">["ID"] = 1879467151;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"Cuts Down Trees"; }; </v>
      </c>
      <c r="AS431" t="str">
        <f t="shared" si="188"/>
        <v/>
      </c>
      <c r="AT431" t="str">
        <f t="shared" si="189"/>
        <v xml:space="preserve">["SUMMARY"] = { ["EN"] = "Obtain Title Writ - Cuts Down Trees"; }; </v>
      </c>
      <c r="AU431" t="str">
        <f t="shared" si="190"/>
        <v/>
      </c>
      <c r="AV431" t="str">
        <f t="shared" si="191"/>
        <v/>
      </c>
      <c r="AW431" t="str">
        <f t="shared" si="192"/>
        <v>};</v>
      </c>
    </row>
    <row r="432" spans="1:49" x14ac:dyDescent="0.25">
      <c r="A432">
        <v>1879467152</v>
      </c>
      <c r="C432" t="s">
        <v>3592</v>
      </c>
      <c r="D432" t="s">
        <v>24</v>
      </c>
      <c r="E432" t="s">
        <v>2325</v>
      </c>
      <c r="I432" t="s">
        <v>3593</v>
      </c>
      <c r="K432">
        <v>1</v>
      </c>
      <c r="T432" t="str">
        <f t="shared" si="166"/>
        <v>[1879467152] = 1, // Feels Strong</v>
      </c>
      <c r="U432" t="str">
        <f t="shared" si="167"/>
        <v>[431] = {["ID"] = 1879467152; ["TIER"] = 1; }; -- Feels Strong</v>
      </c>
      <c r="V432" s="1" t="str">
        <f t="shared" si="168"/>
        <v>[431] = {["ID"] = 1879467152;                       ["TYPE"] = 12; ["NA"] = 4; ["VXP"] =    0; ["LP"] =  0; ["REP"] =    0; ["FACTION"] =  1; ["TIER"] = 1;                      ["NAME"] = { ["EN"] = "Feels Strong"; }; ["SUMMARY"] = { ["EN"] = "Obtain Title Writ - Feels Strong"; }; };</v>
      </c>
      <c r="W432">
        <f t="shared" si="169"/>
        <v>431</v>
      </c>
      <c r="X432" t="str">
        <f t="shared" si="170"/>
        <v>[431] = {</v>
      </c>
      <c r="Y432" t="str">
        <f t="shared" si="171"/>
        <v xml:space="preserve">["ID"] = 1879467152; </v>
      </c>
      <c r="Z432" t="str">
        <f t="shared" si="172"/>
        <v xml:space="preserve">["ID"] = 1879467152;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"Feels Strong"; }; </v>
      </c>
      <c r="AS432" t="str">
        <f t="shared" si="188"/>
        <v/>
      </c>
      <c r="AT432" t="str">
        <f t="shared" si="189"/>
        <v xml:space="preserve">["SUMMARY"] = { ["EN"] = "Obtain Title Writ - Feels Strong"; }; </v>
      </c>
      <c r="AU432" t="str">
        <f t="shared" si="190"/>
        <v/>
      </c>
      <c r="AV432" t="str">
        <f t="shared" si="191"/>
        <v/>
      </c>
      <c r="AW432" t="str">
        <f t="shared" si="192"/>
        <v>};</v>
      </c>
    </row>
    <row r="433" spans="1:49" x14ac:dyDescent="0.25">
      <c r="A433">
        <v>1879467129</v>
      </c>
      <c r="C433" t="s">
        <v>3594</v>
      </c>
      <c r="D433" t="s">
        <v>30</v>
      </c>
      <c r="E433" t="s">
        <v>2325</v>
      </c>
      <c r="I433" t="s">
        <v>3599</v>
      </c>
      <c r="K433">
        <v>1</v>
      </c>
      <c r="T433" t="str">
        <f t="shared" si="166"/>
        <v>[1879467129] = 1, // The Competitive Forester - Tier V</v>
      </c>
      <c r="U433" t="str">
        <f t="shared" si="167"/>
        <v>[432] = {["ID"] = 1879467129; ["TIER"] = 1; }; -- The Competitive Forester - Tier V</v>
      </c>
      <c r="V433" s="1" t="str">
        <f t="shared" si="168"/>
        <v>[432] = {["ID"] = 1879467129;                       ["TYPE"] =  7; ["NA"] = 4; ["VXP"] =    0; ["LP"] =  0; ["REP"] =    0; ["FACTION"] =  1; ["TIER"] = 1;                      ["NAME"] = { ["EN"] = "The Competitive Forester - Tier V"; }; ["SUMMARY"] = { ["EN"] = "Complete the quest 'Combe: I'm a Lumberjack' 100 times"; }; };</v>
      </c>
      <c r="W433">
        <f t="shared" si="169"/>
        <v>432</v>
      </c>
      <c r="X433" t="str">
        <f t="shared" si="170"/>
        <v>[432] = {</v>
      </c>
      <c r="Y433" t="str">
        <f t="shared" si="171"/>
        <v xml:space="preserve">["ID"] = 1879467129; </v>
      </c>
      <c r="Z433" t="str">
        <f t="shared" si="172"/>
        <v xml:space="preserve">["ID"] = 1879467129; </v>
      </c>
      <c r="AA433" t="str">
        <f t="shared" si="173"/>
        <v/>
      </c>
      <c r="AB433" s="1" t="str">
        <f t="shared" si="174"/>
        <v xml:space="preserve">                      </v>
      </c>
      <c r="AC433">
        <f>VLOOKUP(D433,Type!A$2:B$16,2,)</f>
        <v>7</v>
      </c>
      <c r="AD433" t="str">
        <f t="shared" si="175"/>
        <v xml:space="preserve">["TYPE"] =  7;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"The Competitive Forester - Tier V"; }; </v>
      </c>
      <c r="AS433" t="str">
        <f t="shared" si="188"/>
        <v/>
      </c>
      <c r="AT433" t="str">
        <f t="shared" si="189"/>
        <v xml:space="preserve">["SUMMARY"] = { ["EN"] = "Complete the quest 'Combe: I'm a Lumberjack' 100 times"; }; </v>
      </c>
      <c r="AU433" t="str">
        <f t="shared" si="190"/>
        <v/>
      </c>
      <c r="AV433" t="str">
        <f t="shared" si="191"/>
        <v/>
      </c>
      <c r="AW433" t="str">
        <f t="shared" si="192"/>
        <v>};</v>
      </c>
    </row>
    <row r="434" spans="1:49" x14ac:dyDescent="0.25">
      <c r="A434">
        <v>1879467126</v>
      </c>
      <c r="C434" t="s">
        <v>3700</v>
      </c>
      <c r="D434" t="s">
        <v>30</v>
      </c>
      <c r="E434" t="s">
        <v>2325</v>
      </c>
      <c r="I434" t="s">
        <v>3598</v>
      </c>
      <c r="K434">
        <v>2</v>
      </c>
      <c r="T434" t="str">
        <f t="shared" si="166"/>
        <v>[1879467126] = 2, // The Competitive Forester - Tier IV</v>
      </c>
      <c r="U434" t="str">
        <f t="shared" si="167"/>
        <v>[433] = {["ID"] = 1879467126; ["TIER"] = 2; }; -- The Competitive Forester - Tier IV</v>
      </c>
      <c r="V434" s="1" t="str">
        <f t="shared" si="168"/>
        <v>[433] = {["ID"] = 1879467126;                       ["TYPE"] =  7; ["NA"] = 4; ["VXP"] =    0; ["LP"] =  0; ["REP"] =    0; ["FACTION"] =  1; ["TIER"] = 2;                      ["NAME"] = { ["EN"] = "The Competitive Forester - Tier IV"; }; ["SUMMARY"] = { ["EN"] = "Complete the quest 'Combe: I'm a Lumberjack' 50 times"; }; };</v>
      </c>
      <c r="W434">
        <f t="shared" si="169"/>
        <v>433</v>
      </c>
      <c r="X434" t="str">
        <f t="shared" si="170"/>
        <v>[433] = {</v>
      </c>
      <c r="Y434" t="str">
        <f t="shared" si="171"/>
        <v xml:space="preserve">["ID"] = 1879467126; </v>
      </c>
      <c r="Z434" t="str">
        <f t="shared" si="172"/>
        <v xml:space="preserve">["ID"] = 1879467126; </v>
      </c>
      <c r="AA434" t="str">
        <f t="shared" si="173"/>
        <v/>
      </c>
      <c r="AB434" s="1" t="str">
        <f t="shared" si="174"/>
        <v xml:space="preserve">                      </v>
      </c>
      <c r="AC434">
        <f>VLOOKUP(D434,Type!A$2:B$16,2,)</f>
        <v>7</v>
      </c>
      <c r="AD434" t="str">
        <f t="shared" si="175"/>
        <v xml:space="preserve">["TYPE"] =  7;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2; </v>
      </c>
      <c r="AP434" t="str">
        <f t="shared" si="185"/>
        <v xml:space="preserve">                     </v>
      </c>
      <c r="AQ434" t="str">
        <f t="shared" si="186"/>
        <v/>
      </c>
      <c r="AR434" t="str">
        <f t="shared" si="187"/>
        <v xml:space="preserve">["NAME"] = { ["EN"] = "The Competitive Forester - Tier IV"; }; </v>
      </c>
      <c r="AS434" t="str">
        <f t="shared" si="188"/>
        <v/>
      </c>
      <c r="AT434" t="str">
        <f t="shared" si="189"/>
        <v xml:space="preserve">["SUMMARY"] = { ["EN"] = "Complete the quest 'Combe: I'm a Lumberjack' 50 times"; }; </v>
      </c>
      <c r="AU434" t="str">
        <f t="shared" si="190"/>
        <v/>
      </c>
      <c r="AV434" t="str">
        <f t="shared" si="191"/>
        <v/>
      </c>
      <c r="AW434" t="str">
        <f t="shared" si="192"/>
        <v>};</v>
      </c>
    </row>
    <row r="435" spans="1:49" x14ac:dyDescent="0.25">
      <c r="A435">
        <v>1879467145</v>
      </c>
      <c r="C435" t="s">
        <v>3595</v>
      </c>
      <c r="D435" t="s">
        <v>30</v>
      </c>
      <c r="E435" t="s">
        <v>2325</v>
      </c>
      <c r="I435" t="s">
        <v>3601</v>
      </c>
      <c r="K435">
        <v>3</v>
      </c>
      <c r="T435" t="str">
        <f t="shared" si="166"/>
        <v>[1879467145] = 3, // The Competitive Forester - Tier III</v>
      </c>
      <c r="U435" t="str">
        <f t="shared" si="167"/>
        <v>[434] = {["ID"] = 1879467145; ["TIER"] = 3; }; -- The Competitive Forester - Tier III</v>
      </c>
      <c r="V435" s="1" t="str">
        <f t="shared" si="168"/>
        <v>[434] = {["ID"] = 1879467145;                       ["TYPE"] =  7; ["NA"] = 4; ["VXP"] =    0; ["LP"] =  0; ["REP"] =    0; ["FACTION"] =  1; ["TIER"] = 3;                      ["NAME"] = { ["EN"] = "The Competitive Forester - Tier III"; }; ["SUMMARY"] = { ["EN"] = "Complete the quest 'Combe: I'm a Lumberjack' 25 times"; }; };</v>
      </c>
      <c r="W435">
        <f t="shared" si="169"/>
        <v>434</v>
      </c>
      <c r="X435" t="str">
        <f t="shared" si="170"/>
        <v>[434] = {</v>
      </c>
      <c r="Y435" t="str">
        <f t="shared" si="171"/>
        <v xml:space="preserve">["ID"] = 1879467145; </v>
      </c>
      <c r="Z435" t="str">
        <f t="shared" si="172"/>
        <v xml:space="preserve">["ID"] = 1879467145;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3; </v>
      </c>
      <c r="AP435" t="str">
        <f t="shared" si="185"/>
        <v xml:space="preserve">                     </v>
      </c>
      <c r="AQ435" t="str">
        <f t="shared" si="186"/>
        <v/>
      </c>
      <c r="AR435" t="str">
        <f t="shared" si="187"/>
        <v xml:space="preserve">["NAME"] = { ["EN"] = "The Competitive Forester - Tier III"; }; </v>
      </c>
      <c r="AS435" t="str">
        <f t="shared" si="188"/>
        <v/>
      </c>
      <c r="AT435" t="str">
        <f t="shared" si="189"/>
        <v xml:space="preserve">["SUMMARY"] = { ["EN"] = "Complete the quest 'Combe: I'm a Lumberjack' 25 times"; }; </v>
      </c>
      <c r="AU435" t="str">
        <f t="shared" si="190"/>
        <v/>
      </c>
      <c r="AV435" t="str">
        <f t="shared" si="191"/>
        <v/>
      </c>
      <c r="AW435" t="str">
        <f t="shared" si="192"/>
        <v>};</v>
      </c>
    </row>
    <row r="436" spans="1:49" x14ac:dyDescent="0.25">
      <c r="A436">
        <v>1879467140</v>
      </c>
      <c r="C436" t="s">
        <v>3596</v>
      </c>
      <c r="D436" t="s">
        <v>30</v>
      </c>
      <c r="E436" t="s">
        <v>2325</v>
      </c>
      <c r="I436" t="s">
        <v>3600</v>
      </c>
      <c r="K436">
        <v>4</v>
      </c>
      <c r="T436" t="str">
        <f t="shared" si="166"/>
        <v>[1879467140] = 4, // The Competitive Forester - Tier II</v>
      </c>
      <c r="U436" t="str">
        <f t="shared" si="167"/>
        <v>[435] = {["ID"] = 1879467140; ["TIER"] = 4; }; -- The Competitive Forester - Tier II</v>
      </c>
      <c r="V436" s="1" t="str">
        <f t="shared" si="168"/>
        <v>[435] = {["ID"] = 1879467140;                       ["TYPE"] =  7; ["NA"] = 4; ["VXP"] =    0; ["LP"] =  0; ["REP"] =    0; ["FACTION"] =  1; ["TIER"] = 4;                      ["NAME"] = { ["EN"] = "The Competitive Forester - Tier II"; }; ["SUMMARY"] = { ["EN"] = "Complete the quest 'Combe: I'm a Lumberjack' 10 times"; }; };</v>
      </c>
      <c r="W436">
        <f t="shared" si="169"/>
        <v>435</v>
      </c>
      <c r="X436" t="str">
        <f t="shared" si="170"/>
        <v>[435] = {</v>
      </c>
      <c r="Y436" t="str">
        <f t="shared" si="171"/>
        <v xml:space="preserve">["ID"] = 1879467140; </v>
      </c>
      <c r="Z436" t="str">
        <f t="shared" si="172"/>
        <v xml:space="preserve">["ID"] = 1879467140;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4; </v>
      </c>
      <c r="AP436" t="str">
        <f t="shared" si="185"/>
        <v xml:space="preserve">                     </v>
      </c>
      <c r="AQ436" t="str">
        <f t="shared" si="186"/>
        <v/>
      </c>
      <c r="AR436" t="str">
        <f t="shared" si="187"/>
        <v xml:space="preserve">["NAME"] = { ["EN"] = "The Competitive Forester - Tier II"; }; </v>
      </c>
      <c r="AS436" t="str">
        <f t="shared" si="188"/>
        <v/>
      </c>
      <c r="AT436" t="str">
        <f t="shared" si="189"/>
        <v xml:space="preserve">["SUMMARY"] = { ["EN"] = "Complete the quest 'Combe: I'm a Lumberjack' 10 times"; }; </v>
      </c>
      <c r="AU436" t="str">
        <f t="shared" si="190"/>
        <v/>
      </c>
      <c r="AV436" t="str">
        <f t="shared" si="191"/>
        <v/>
      </c>
      <c r="AW436" t="str">
        <f t="shared" si="192"/>
        <v>};</v>
      </c>
    </row>
    <row r="437" spans="1:49" x14ac:dyDescent="0.25">
      <c r="A437">
        <v>1879467149</v>
      </c>
      <c r="C437" t="s">
        <v>3597</v>
      </c>
      <c r="D437" t="s">
        <v>30</v>
      </c>
      <c r="E437" t="s">
        <v>2325</v>
      </c>
      <c r="I437" t="s">
        <v>3602</v>
      </c>
      <c r="K437">
        <v>5</v>
      </c>
      <c r="T437" t="str">
        <f t="shared" si="166"/>
        <v>[1879467149] = 5, // The Competitive Forester - Tier I</v>
      </c>
      <c r="U437" t="str">
        <f t="shared" si="167"/>
        <v>[436] = {["ID"] = 1879467149; ["TIER"] = 5; }; -- The Competitive Forester - Tier I</v>
      </c>
      <c r="V437" s="1" t="str">
        <f t="shared" si="168"/>
        <v>[436] = {["ID"] = 1879467149;                       ["TYPE"] =  7; ["NA"] = 4; ["VXP"] =    0; ["LP"] =  0; ["REP"] =    0; ["FACTION"] =  1; ["TIER"] = 5;                      ["NAME"] = { ["EN"] = "The Competitive Forester - Tier I"; }; ["SUMMARY"] = { ["EN"] = "Complete the quest 'Combe: I'm a Lumberjack' 1 time"; }; };</v>
      </c>
      <c r="W437">
        <f t="shared" si="169"/>
        <v>436</v>
      </c>
      <c r="X437" t="str">
        <f t="shared" si="170"/>
        <v>[436] = {</v>
      </c>
      <c r="Y437" t="str">
        <f t="shared" si="171"/>
        <v xml:space="preserve">["ID"] = 1879467149; </v>
      </c>
      <c r="Z437" t="str">
        <f t="shared" si="172"/>
        <v xml:space="preserve">["ID"] = 1879467149;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5; </v>
      </c>
      <c r="AP437" t="str">
        <f t="shared" si="185"/>
        <v xml:space="preserve">                     </v>
      </c>
      <c r="AQ437" t="str">
        <f t="shared" si="186"/>
        <v/>
      </c>
      <c r="AR437" t="str">
        <f t="shared" si="187"/>
        <v xml:space="preserve">["NAME"] = { ["EN"] = "The Competitive Forester - Tier I"; }; </v>
      </c>
      <c r="AS437" t="str">
        <f t="shared" si="188"/>
        <v/>
      </c>
      <c r="AT437" t="str">
        <f t="shared" si="189"/>
        <v xml:space="preserve">["SUMMARY"] = { ["EN"] = "Complete the quest 'Combe: I'm a Lumberjack' 1 time"; }; </v>
      </c>
      <c r="AU437" t="str">
        <f t="shared" si="190"/>
        <v/>
      </c>
      <c r="AV437" t="str">
        <f t="shared" si="191"/>
        <v/>
      </c>
      <c r="AW437" t="str">
        <f t="shared" si="192"/>
        <v>};</v>
      </c>
    </row>
    <row r="438" spans="1:49" x14ac:dyDescent="0.25">
      <c r="C438" s="3" t="s">
        <v>3714</v>
      </c>
      <c r="D438" s="2" t="s">
        <v>812</v>
      </c>
      <c r="K438">
        <v>1</v>
      </c>
      <c r="R438">
        <v>307</v>
      </c>
      <c r="T438" t="str">
        <f t="shared" si="166"/>
        <v/>
      </c>
      <c r="U438" t="str">
        <f t="shared" si="167"/>
        <v>[437] = {["CAT_ID"] = 307; ["TIER"] = 1; }; -- - The Hard Tack Crafting Event -</v>
      </c>
      <c r="V438" s="1" t="str">
        <f t="shared" si="168"/>
        <v>[437] = {                                           ["TYPE"] = 14;             ["VXP"] =    0; ["LP"] =  0; ["REP"] =    0; ["FACTION"] =  1; ["TIER"] = 1;                      ["NAME"] = { ["EN"] = "- The Hard Tack Crafting Event -"; }; };</v>
      </c>
      <c r="W438">
        <f t="shared" si="169"/>
        <v>437</v>
      </c>
      <c r="X438" t="str">
        <f t="shared" si="170"/>
        <v>[437] = {</v>
      </c>
      <c r="Y438" t="str">
        <f t="shared" si="171"/>
        <v xml:space="preserve">                     </v>
      </c>
      <c r="Z438" t="str">
        <f t="shared" si="172"/>
        <v/>
      </c>
      <c r="AA438" t="str">
        <f t="shared" si="173"/>
        <v xml:space="preserve">["CAT_ID"] = 307; </v>
      </c>
      <c r="AB438" s="1" t="str">
        <f t="shared" si="174"/>
        <v xml:space="preserve">                      </v>
      </c>
      <c r="AC438">
        <f>VLOOKUP(D438,Type!A$2:B$16,2,)</f>
        <v>14</v>
      </c>
      <c r="AD438" t="str">
        <f t="shared" si="175"/>
        <v xml:space="preserve">["TYPE"] = 14; </v>
      </c>
      <c r="AE438" t="str">
        <f>IF(NOT(ISBLANK(E438)),VLOOKUP(E438,Type!D$2:E$6,2,FALSE),"")</f>
        <v/>
      </c>
      <c r="AF438" t="str">
        <f t="shared" si="176"/>
        <v xml:space="preserve">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1; </v>
      </c>
      <c r="AP438" t="str">
        <f t="shared" si="185"/>
        <v xml:space="preserve">                     </v>
      </c>
      <c r="AQ438" t="str">
        <f t="shared" si="186"/>
        <v/>
      </c>
      <c r="AR438" t="str">
        <f t="shared" si="187"/>
        <v xml:space="preserve">["NAME"] = { ["EN"] = "- The Hard Tack Crafting Event -"; }; </v>
      </c>
      <c r="AS438" t="str">
        <f t="shared" si="188"/>
        <v/>
      </c>
      <c r="AT438" t="str">
        <f t="shared" si="189"/>
        <v/>
      </c>
      <c r="AU438" t="str">
        <f t="shared" si="190"/>
        <v/>
      </c>
      <c r="AV438" t="str">
        <f t="shared" si="191"/>
        <v/>
      </c>
      <c r="AW438" t="str">
        <f t="shared" si="192"/>
        <v>};</v>
      </c>
    </row>
    <row r="439" spans="1:49" x14ac:dyDescent="0.25">
      <c r="A439">
        <v>1879489238</v>
      </c>
      <c r="C439" t="s">
        <v>3718</v>
      </c>
      <c r="D439" t="s">
        <v>30</v>
      </c>
      <c r="K439">
        <v>1</v>
      </c>
      <c r="T439" t="str">
        <f t="shared" si="166"/>
        <v>[1879489238] = 1, // Clod</v>
      </c>
      <c r="U439" t="str">
        <f t="shared" si="167"/>
        <v>[438] = {["ID"] = 1879489238; ["TIER"] = 1; }; -- Clod</v>
      </c>
      <c r="V439" s="1" t="str">
        <f t="shared" si="168"/>
        <v>[438] = {["ID"] = 1879489238;                       ["TYPE"] =  7;             ["VXP"] =    0; ["LP"] =  0; ["REP"] =    0; ["FACTION"] =  1; ["TIER"] = 1;                      ["NAME"] = { ["EN"] = "Clod"; }; };</v>
      </c>
      <c r="W439">
        <f t="shared" si="169"/>
        <v>438</v>
      </c>
      <c r="X439" t="str">
        <f t="shared" si="170"/>
        <v>[438] = {</v>
      </c>
      <c r="Y439" t="str">
        <f t="shared" si="171"/>
        <v xml:space="preserve">["ID"] = 1879489238; </v>
      </c>
      <c r="Z439" t="str">
        <f t="shared" si="172"/>
        <v xml:space="preserve">["ID"] = 1879489238; </v>
      </c>
      <c r="AA439" t="str">
        <f t="shared" si="173"/>
        <v/>
      </c>
      <c r="AB439" s="1" t="str">
        <f t="shared" si="174"/>
        <v xml:space="preserve">                      </v>
      </c>
      <c r="AC439">
        <f>VLOOKUP(D439,Type!A$2:B$16,2,)</f>
        <v>7</v>
      </c>
      <c r="AD439" t="str">
        <f t="shared" si="175"/>
        <v xml:space="preserve">["TYPE"] =  7; </v>
      </c>
      <c r="AE439" t="str">
        <f>IF(NOT(ISBLANK(E439)),VLOOKUP(E439,Type!D$2:E$6,2,FALSE),"")</f>
        <v/>
      </c>
      <c r="AF439" t="str">
        <f t="shared" si="176"/>
        <v xml:space="preserve">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1; </v>
      </c>
      <c r="AP439" t="str">
        <f t="shared" si="185"/>
        <v xml:space="preserve">                     </v>
      </c>
      <c r="AQ439" t="str">
        <f t="shared" si="186"/>
        <v/>
      </c>
      <c r="AR439" t="str">
        <f t="shared" si="187"/>
        <v xml:space="preserve">["NAME"] = { ["EN"] = "Clod"; }; </v>
      </c>
      <c r="AS439" t="str">
        <f t="shared" si="188"/>
        <v/>
      </c>
      <c r="AT439" t="str">
        <f t="shared" si="189"/>
        <v/>
      </c>
      <c r="AU439" t="str">
        <f t="shared" si="190"/>
        <v/>
      </c>
      <c r="AV439" t="str">
        <f t="shared" si="191"/>
        <v/>
      </c>
      <c r="AW439" t="str">
        <f t="shared" si="192"/>
        <v>};</v>
      </c>
    </row>
    <row r="440" spans="1:49" x14ac:dyDescent="0.25">
      <c r="A440">
        <v>1879489234</v>
      </c>
      <c r="C440" t="s">
        <v>3716</v>
      </c>
      <c r="D440" t="s">
        <v>30</v>
      </c>
      <c r="K440">
        <v>2</v>
      </c>
      <c r="T440" t="str">
        <f t="shared" si="166"/>
        <v>[1879489234] = 2, // Bean-spiller</v>
      </c>
      <c r="U440" t="str">
        <f t="shared" si="167"/>
        <v>[439] = {["ID"] = 1879489234; ["TIER"] = 2; }; -- Bean-spiller</v>
      </c>
      <c r="V440" s="1" t="str">
        <f t="shared" si="168"/>
        <v>[439] = {["ID"] = 1879489234;                       ["TYPE"] =  7;             ["VXP"] =    0; ["LP"] =  0; ["REP"] =    0; ["FACTION"] =  1; ["TIER"] = 2;                      ["NAME"] = { ["EN"] = "Bean-spiller"; }; };</v>
      </c>
      <c r="W440">
        <f t="shared" si="169"/>
        <v>439</v>
      </c>
      <c r="X440" t="str">
        <f t="shared" si="170"/>
        <v>[439] = {</v>
      </c>
      <c r="Y440" t="str">
        <f t="shared" si="171"/>
        <v xml:space="preserve">["ID"] = 1879489234; </v>
      </c>
      <c r="Z440" t="str">
        <f t="shared" si="172"/>
        <v xml:space="preserve">["ID"] = 1879489234; </v>
      </c>
      <c r="AA440" t="str">
        <f t="shared" si="173"/>
        <v/>
      </c>
      <c r="AB440" s="1" t="str">
        <f t="shared" si="174"/>
        <v xml:space="preserve">                      </v>
      </c>
      <c r="AC440">
        <f>VLOOKUP(D440,Type!A$2:B$16,2,)</f>
        <v>7</v>
      </c>
      <c r="AD440" t="str">
        <f t="shared" si="175"/>
        <v xml:space="preserve">["TYPE"] =  7;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2; </v>
      </c>
      <c r="AP440" t="str">
        <f t="shared" si="185"/>
        <v xml:space="preserve">                     </v>
      </c>
      <c r="AQ440" t="str">
        <f t="shared" si="186"/>
        <v/>
      </c>
      <c r="AR440" t="str">
        <f t="shared" si="187"/>
        <v xml:space="preserve">["NAME"] = { ["EN"] = "Bean-spiller"; }; </v>
      </c>
      <c r="AS440" t="str">
        <f t="shared" si="188"/>
        <v/>
      </c>
      <c r="AT440" t="str">
        <f t="shared" si="189"/>
        <v/>
      </c>
      <c r="AU440" t="str">
        <f t="shared" si="190"/>
        <v/>
      </c>
      <c r="AV440" t="str">
        <f t="shared" si="191"/>
        <v/>
      </c>
      <c r="AW440" t="str">
        <f t="shared" si="192"/>
        <v>};</v>
      </c>
    </row>
    <row r="441" spans="1:49" x14ac:dyDescent="0.25">
      <c r="A441">
        <v>1879489242</v>
      </c>
      <c r="C441" t="s">
        <v>3717</v>
      </c>
      <c r="D441" t="s">
        <v>30</v>
      </c>
      <c r="K441">
        <v>3</v>
      </c>
      <c r="T441" t="str">
        <f t="shared" si="166"/>
        <v>[1879489242] = 3, // Party Foul</v>
      </c>
      <c r="U441" t="str">
        <f t="shared" si="167"/>
        <v>[440] = {["ID"] = 1879489242; ["TIER"] = 3; }; -- Party Foul</v>
      </c>
      <c r="V441" s="1" t="str">
        <f t="shared" si="168"/>
        <v>[440] = {["ID"] = 1879489242;                       ["TYPE"] =  7;             ["VXP"] =    0; ["LP"] =  0; ["REP"] =    0; ["FACTION"] =  1; ["TIER"] = 3;                      ["NAME"] = { ["EN"] = "Party Foul"; }; };</v>
      </c>
      <c r="W441">
        <f t="shared" si="169"/>
        <v>440</v>
      </c>
      <c r="X441" t="str">
        <f t="shared" si="170"/>
        <v>[440] = {</v>
      </c>
      <c r="Y441" t="str">
        <f t="shared" si="171"/>
        <v xml:space="preserve">["ID"] = 1879489242; </v>
      </c>
      <c r="Z441" t="str">
        <f t="shared" si="172"/>
        <v xml:space="preserve">["ID"] = 1879489242;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3; </v>
      </c>
      <c r="AP441" t="str">
        <f t="shared" si="185"/>
        <v xml:space="preserve">                     </v>
      </c>
      <c r="AQ441" t="str">
        <f t="shared" si="186"/>
        <v/>
      </c>
      <c r="AR441" t="str">
        <f t="shared" si="187"/>
        <v xml:space="preserve">["NAME"] = { ["EN"] = "Party Foul"; }; </v>
      </c>
      <c r="AS441" t="str">
        <f t="shared" si="188"/>
        <v/>
      </c>
      <c r="AT441" t="str">
        <f t="shared" si="189"/>
        <v/>
      </c>
      <c r="AU441" t="str">
        <f t="shared" si="190"/>
        <v/>
      </c>
      <c r="AV441" t="str">
        <f t="shared" si="191"/>
        <v/>
      </c>
      <c r="AW441" t="str">
        <f t="shared" si="192"/>
        <v>};</v>
      </c>
    </row>
    <row r="442" spans="1:49" x14ac:dyDescent="0.25">
      <c r="A442">
        <v>1879489254</v>
      </c>
      <c r="C442" t="s">
        <v>3720</v>
      </c>
      <c r="D442" t="s">
        <v>30</v>
      </c>
      <c r="K442">
        <v>1</v>
      </c>
      <c r="T442" t="str">
        <f t="shared" si="166"/>
        <v>[1879489254] = 1, // The Lummox</v>
      </c>
      <c r="U442" t="str">
        <f t="shared" si="167"/>
        <v>[441] = {["ID"] = 1879489254; ["TIER"] = 1; }; -- The Lummox</v>
      </c>
      <c r="V442" s="1" t="str">
        <f t="shared" si="168"/>
        <v>[441] = {["ID"] = 1879489254;                       ["TYPE"] =  7;             ["VXP"] =    0; ["LP"] =  0; ["REP"] =    0; ["FACTION"] =  1; ["TIER"] = 1;                      ["NAME"] = { ["EN"] = "The Lummox"; }; };</v>
      </c>
      <c r="W442">
        <f t="shared" si="169"/>
        <v>441</v>
      </c>
      <c r="X442" t="str">
        <f t="shared" si="170"/>
        <v>[441] = {</v>
      </c>
      <c r="Y442" t="str">
        <f t="shared" si="171"/>
        <v xml:space="preserve">["ID"] = 1879489254; </v>
      </c>
      <c r="Z442" t="str">
        <f t="shared" si="172"/>
        <v xml:space="preserve">["ID"] = 1879489254;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1; </v>
      </c>
      <c r="AP442" t="str">
        <f t="shared" si="185"/>
        <v xml:space="preserve">                     </v>
      </c>
      <c r="AQ442" t="str">
        <f t="shared" si="186"/>
        <v/>
      </c>
      <c r="AR442" t="str">
        <f t="shared" si="187"/>
        <v xml:space="preserve">["NAME"] = { ["EN"] = "The Lummox"; }; </v>
      </c>
      <c r="AS442" t="str">
        <f t="shared" si="188"/>
        <v/>
      </c>
      <c r="AT442" t="str">
        <f t="shared" si="189"/>
        <v/>
      </c>
      <c r="AU442" t="str">
        <f t="shared" si="190"/>
        <v/>
      </c>
      <c r="AV442" t="str">
        <f t="shared" si="191"/>
        <v/>
      </c>
      <c r="AW442" t="str">
        <f t="shared" si="192"/>
        <v>};</v>
      </c>
    </row>
    <row r="443" spans="1:49" x14ac:dyDescent="0.25">
      <c r="A443">
        <v>1879489251</v>
      </c>
      <c r="C443" t="s">
        <v>3719</v>
      </c>
      <c r="D443" t="s">
        <v>30</v>
      </c>
      <c r="K443">
        <v>2</v>
      </c>
      <c r="T443" t="str">
        <f t="shared" si="166"/>
        <v>[1879489251] = 2, // Failure to Fire the Forge</v>
      </c>
      <c r="U443" t="str">
        <f t="shared" si="167"/>
        <v>[442] = {["ID"] = 1879489251; ["TIER"] = 2; }; -- Failure to Fire the Forge</v>
      </c>
      <c r="V443" s="1" t="str">
        <f t="shared" si="168"/>
        <v>[442] = {["ID"] = 1879489251;                       ["TYPE"] =  7;             ["VXP"] =    0; ["LP"] =  0; ["REP"] =    0; ["FACTION"] =  1; ["TIER"] = 2;                      ["NAME"] = { ["EN"] = "Failure to Fire the Forge"; }; };</v>
      </c>
      <c r="W443">
        <f t="shared" si="169"/>
        <v>442</v>
      </c>
      <c r="X443" t="str">
        <f t="shared" si="170"/>
        <v>[442] = {</v>
      </c>
      <c r="Y443" t="str">
        <f t="shared" si="171"/>
        <v xml:space="preserve">["ID"] = 1879489251; </v>
      </c>
      <c r="Z443" t="str">
        <f t="shared" si="172"/>
        <v xml:space="preserve">["ID"] = 1879489251;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2; </v>
      </c>
      <c r="AP443" t="str">
        <f t="shared" si="185"/>
        <v xml:space="preserve">                     </v>
      </c>
      <c r="AQ443" t="str">
        <f t="shared" si="186"/>
        <v/>
      </c>
      <c r="AR443" t="str">
        <f t="shared" si="187"/>
        <v xml:space="preserve">["NAME"] = { ["EN"] = "Failure to Fire the Forge"; }; </v>
      </c>
      <c r="AS443" t="str">
        <f t="shared" si="188"/>
        <v/>
      </c>
      <c r="AT443" t="str">
        <f t="shared" si="189"/>
        <v/>
      </c>
      <c r="AU443" t="str">
        <f t="shared" si="190"/>
        <v/>
      </c>
      <c r="AV443" t="str">
        <f t="shared" si="191"/>
        <v/>
      </c>
      <c r="AW443" t="str">
        <f t="shared" si="192"/>
        <v>};</v>
      </c>
    </row>
    <row r="444" spans="1:49" x14ac:dyDescent="0.25">
      <c r="A444">
        <v>1879489259</v>
      </c>
      <c r="C444" t="s">
        <v>3721</v>
      </c>
      <c r="D444" t="s">
        <v>30</v>
      </c>
      <c r="K444">
        <v>1</v>
      </c>
      <c r="T444" t="str">
        <f t="shared" si="166"/>
        <v>[1879489259] = 1, // Often Clumsy</v>
      </c>
      <c r="U444" t="str">
        <f t="shared" si="167"/>
        <v>[443] = {["ID"] = 1879489259; ["TIER"] = 1; }; -- Often Clumsy</v>
      </c>
      <c r="V444" s="1" t="str">
        <f t="shared" si="168"/>
        <v>[443] = {["ID"] = 1879489259;                       ["TYPE"] =  7;             ["VXP"] =    0; ["LP"] =  0; ["REP"] =    0; ["FACTION"] =  1; ["TIER"] = 1;                      ["NAME"] = { ["EN"] = "Often Clumsy"; }; };</v>
      </c>
      <c r="W444">
        <f t="shared" si="169"/>
        <v>443</v>
      </c>
      <c r="X444" t="str">
        <f t="shared" si="170"/>
        <v>[443] = {</v>
      </c>
      <c r="Y444" t="str">
        <f t="shared" si="171"/>
        <v xml:space="preserve">["ID"] = 1879489259; </v>
      </c>
      <c r="Z444" t="str">
        <f t="shared" si="172"/>
        <v xml:space="preserve">["ID"] = 1879489259;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"Often Clumsy"; }; </v>
      </c>
      <c r="AS444" t="str">
        <f t="shared" si="188"/>
        <v/>
      </c>
      <c r="AT444" t="str">
        <f t="shared" si="189"/>
        <v/>
      </c>
      <c r="AU444" t="str">
        <f t="shared" si="190"/>
        <v/>
      </c>
      <c r="AV444" t="str">
        <f t="shared" si="191"/>
        <v/>
      </c>
      <c r="AW444" t="str">
        <f t="shared" si="192"/>
        <v>};</v>
      </c>
    </row>
    <row r="445" spans="1:49" x14ac:dyDescent="0.25">
      <c r="A445">
        <v>1879489269</v>
      </c>
      <c r="C445" t="s">
        <v>3722</v>
      </c>
      <c r="D445" t="s">
        <v>30</v>
      </c>
      <c r="K445">
        <v>1</v>
      </c>
      <c r="T445" t="str">
        <f t="shared" si="166"/>
        <v>[1879489269] = 1, // The Competitive Cook - Tier V</v>
      </c>
      <c r="U445" t="str">
        <f t="shared" si="167"/>
        <v>[444] = {["ID"] = 1879489269; ["TIER"] = 1; }; -- The Competitive Cook - Tier V</v>
      </c>
      <c r="V445" s="1" t="str">
        <f t="shared" si="168"/>
        <v>[444] = {["ID"] = 1879489269;                       ["TYPE"] =  7;             ["VXP"] =    0; ["LP"] =  0; ["REP"] =    0; ["FACTION"] =  1; ["TIER"] = 1;                      ["NAME"] = { ["EN"] = "The Competitive Cook - Tier V"; }; };</v>
      </c>
      <c r="W445">
        <f t="shared" si="169"/>
        <v>444</v>
      </c>
      <c r="X445" t="str">
        <f t="shared" si="170"/>
        <v>[444] = {</v>
      </c>
      <c r="Y445" t="str">
        <f t="shared" si="171"/>
        <v xml:space="preserve">["ID"] = 1879489269; </v>
      </c>
      <c r="Z445" t="str">
        <f t="shared" si="172"/>
        <v xml:space="preserve">["ID"] = 1879489269;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1; </v>
      </c>
      <c r="AP445" t="str">
        <f t="shared" si="185"/>
        <v xml:space="preserve">                     </v>
      </c>
      <c r="AQ445" t="str">
        <f t="shared" si="186"/>
        <v/>
      </c>
      <c r="AR445" t="str">
        <f t="shared" si="187"/>
        <v xml:space="preserve">["NAME"] = { ["EN"] = "The Competitive Cook - Tier V"; }; </v>
      </c>
      <c r="AS445" t="str">
        <f t="shared" si="188"/>
        <v/>
      </c>
      <c r="AT445" t="str">
        <f t="shared" si="189"/>
        <v/>
      </c>
      <c r="AU445" t="str">
        <f t="shared" si="190"/>
        <v/>
      </c>
      <c r="AV445" t="str">
        <f t="shared" si="191"/>
        <v/>
      </c>
      <c r="AW445" t="str">
        <f t="shared" si="192"/>
        <v>};</v>
      </c>
    </row>
    <row r="446" spans="1:49" x14ac:dyDescent="0.25">
      <c r="A446">
        <v>1879489267</v>
      </c>
      <c r="C446" t="s">
        <v>3723</v>
      </c>
      <c r="D446" t="s">
        <v>30</v>
      </c>
      <c r="K446">
        <v>2</v>
      </c>
      <c r="T446" t="str">
        <f t="shared" si="166"/>
        <v>[1879489267] = 2, // The Competitive Cook - Tier IV</v>
      </c>
      <c r="U446" t="str">
        <f t="shared" si="167"/>
        <v>[445] = {["ID"] = 1879489267; ["TIER"] = 2; }; -- The Competitive Cook - Tier IV</v>
      </c>
      <c r="V446" s="1" t="str">
        <f t="shared" si="168"/>
        <v>[445] = {["ID"] = 1879489267;                       ["TYPE"] =  7;             ["VXP"] =    0; ["LP"] =  0; ["REP"] =    0; ["FACTION"] =  1; ["TIER"] = 2;                      ["NAME"] = { ["EN"] = "The Competitive Cook - Tier IV"; }; };</v>
      </c>
      <c r="W446">
        <f t="shared" si="169"/>
        <v>445</v>
      </c>
      <c r="X446" t="str">
        <f t="shared" si="170"/>
        <v>[445] = {</v>
      </c>
      <c r="Y446" t="str">
        <f t="shared" si="171"/>
        <v xml:space="preserve">["ID"] = 1879489267; </v>
      </c>
      <c r="Z446" t="str">
        <f t="shared" si="172"/>
        <v xml:space="preserve">["ID"] = 1879489267;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2; </v>
      </c>
      <c r="AP446" t="str">
        <f t="shared" si="185"/>
        <v xml:space="preserve">                     </v>
      </c>
      <c r="AQ446" t="str">
        <f t="shared" si="186"/>
        <v/>
      </c>
      <c r="AR446" t="str">
        <f t="shared" si="187"/>
        <v xml:space="preserve">["NAME"] = { ["EN"] = "The Competitive Cook - Tier IV"; }; </v>
      </c>
      <c r="AS446" t="str">
        <f t="shared" si="188"/>
        <v/>
      </c>
      <c r="AT446" t="str">
        <f t="shared" si="189"/>
        <v/>
      </c>
      <c r="AU446" t="str">
        <f t="shared" si="190"/>
        <v/>
      </c>
      <c r="AV446" t="str">
        <f t="shared" si="191"/>
        <v/>
      </c>
      <c r="AW446" t="str">
        <f t="shared" si="192"/>
        <v>};</v>
      </c>
    </row>
    <row r="447" spans="1:49" x14ac:dyDescent="0.25">
      <c r="A447">
        <v>1879489265</v>
      </c>
      <c r="C447" t="s">
        <v>3724</v>
      </c>
      <c r="D447" t="s">
        <v>30</v>
      </c>
      <c r="K447">
        <v>3</v>
      </c>
      <c r="T447" t="str">
        <f t="shared" si="166"/>
        <v>[1879489265] = 3, // The Competitive Cook - Tier III</v>
      </c>
      <c r="U447" t="str">
        <f t="shared" si="167"/>
        <v>[446] = {["ID"] = 1879489265; ["TIER"] = 3; }; -- The Competitive Cook - Tier III</v>
      </c>
      <c r="V447" s="1" t="str">
        <f t="shared" si="168"/>
        <v>[446] = {["ID"] = 1879489265;                       ["TYPE"] =  7;             ["VXP"] =    0; ["LP"] =  0; ["REP"] =    0; ["FACTION"] =  1; ["TIER"] = 3;                      ["NAME"] = { ["EN"] = "The Competitive Cook - Tier III"; }; };</v>
      </c>
      <c r="W447">
        <f t="shared" si="169"/>
        <v>446</v>
      </c>
      <c r="X447" t="str">
        <f t="shared" si="170"/>
        <v>[446] = {</v>
      </c>
      <c r="Y447" t="str">
        <f t="shared" si="171"/>
        <v xml:space="preserve">["ID"] = 1879489265; </v>
      </c>
      <c r="Z447" t="str">
        <f t="shared" si="172"/>
        <v xml:space="preserve">["ID"] = 1879489265;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3; </v>
      </c>
      <c r="AP447" t="str">
        <f t="shared" si="185"/>
        <v xml:space="preserve">                     </v>
      </c>
      <c r="AQ447" t="str">
        <f t="shared" si="186"/>
        <v/>
      </c>
      <c r="AR447" t="str">
        <f t="shared" si="187"/>
        <v xml:space="preserve">["NAME"] = { ["EN"] = "The Competitive Cook - Tier III"; }; </v>
      </c>
      <c r="AS447" t="str">
        <f t="shared" si="188"/>
        <v/>
      </c>
      <c r="AT447" t="str">
        <f t="shared" si="189"/>
        <v/>
      </c>
      <c r="AU447" t="str">
        <f t="shared" si="190"/>
        <v/>
      </c>
      <c r="AV447" t="str">
        <f t="shared" si="191"/>
        <v/>
      </c>
      <c r="AW447" t="str">
        <f t="shared" si="192"/>
        <v>};</v>
      </c>
    </row>
    <row r="448" spans="1:49" x14ac:dyDescent="0.25">
      <c r="A448">
        <v>1879489264</v>
      </c>
      <c r="C448" t="s">
        <v>3725</v>
      </c>
      <c r="D448" t="s">
        <v>30</v>
      </c>
      <c r="K448">
        <v>4</v>
      </c>
      <c r="T448" t="str">
        <f t="shared" si="166"/>
        <v>[1879489264] = 4, // The Competitive Cook - Tier II</v>
      </c>
      <c r="U448" t="str">
        <f t="shared" si="167"/>
        <v>[447] = {["ID"] = 1879489264; ["TIER"] = 4; }; -- The Competitive Cook - Tier II</v>
      </c>
      <c r="V448" s="1" t="str">
        <f t="shared" si="168"/>
        <v>[447] = {["ID"] = 1879489264;                       ["TYPE"] =  7;             ["VXP"] =    0; ["LP"] =  0; ["REP"] =    0; ["FACTION"] =  1; ["TIER"] = 4;                      ["NAME"] = { ["EN"] = "The Competitive Cook - Tier II"; }; };</v>
      </c>
      <c r="W448">
        <f t="shared" si="169"/>
        <v>447</v>
      </c>
      <c r="X448" t="str">
        <f t="shared" si="170"/>
        <v>[447] = {</v>
      </c>
      <c r="Y448" t="str">
        <f t="shared" si="171"/>
        <v xml:space="preserve">["ID"] = 1879489264; </v>
      </c>
      <c r="Z448" t="str">
        <f t="shared" si="172"/>
        <v xml:space="preserve">["ID"] = 1879489264;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4; </v>
      </c>
      <c r="AP448" t="str">
        <f t="shared" si="185"/>
        <v xml:space="preserve">                     </v>
      </c>
      <c r="AQ448" t="str">
        <f t="shared" si="186"/>
        <v/>
      </c>
      <c r="AR448" t="str">
        <f t="shared" si="187"/>
        <v xml:space="preserve">["NAME"] = { ["EN"] = "The Competitive Cook - Tier II"; }; </v>
      </c>
      <c r="AS448" t="str">
        <f t="shared" si="188"/>
        <v/>
      </c>
      <c r="AT448" t="str">
        <f t="shared" si="189"/>
        <v/>
      </c>
      <c r="AU448" t="str">
        <f t="shared" si="190"/>
        <v/>
      </c>
      <c r="AV448" t="str">
        <f t="shared" si="191"/>
        <v/>
      </c>
      <c r="AW448" t="str">
        <f t="shared" si="192"/>
        <v>};</v>
      </c>
    </row>
    <row r="449" spans="1:49" x14ac:dyDescent="0.25">
      <c r="A449">
        <v>1879489263</v>
      </c>
      <c r="C449" t="s">
        <v>3726</v>
      </c>
      <c r="D449" t="s">
        <v>30</v>
      </c>
      <c r="K449">
        <v>5</v>
      </c>
      <c r="T449" t="str">
        <f t="shared" si="166"/>
        <v>[1879489263] = 5, // The Competitive Cook - Tier I</v>
      </c>
      <c r="U449" t="str">
        <f t="shared" si="167"/>
        <v>[448] = {["ID"] = 1879489263; ["TIER"] = 5; }; -- The Competitive Cook - Tier I</v>
      </c>
      <c r="V449" s="1" t="str">
        <f t="shared" si="168"/>
        <v>[448] = {["ID"] = 1879489263;                       ["TYPE"] =  7;             ["VXP"] =    0; ["LP"] =  0; ["REP"] =    0; ["FACTION"] =  1; ["TIER"] = 5;                      ["NAME"] = { ["EN"] = "The Competitive Cook - Tier I"; }; };</v>
      </c>
      <c r="W449">
        <f t="shared" si="169"/>
        <v>448</v>
      </c>
      <c r="X449" t="str">
        <f t="shared" si="170"/>
        <v>[448] = {</v>
      </c>
      <c r="Y449" t="str">
        <f t="shared" si="171"/>
        <v xml:space="preserve">["ID"] = 1879489263; </v>
      </c>
      <c r="Z449" t="str">
        <f t="shared" si="172"/>
        <v xml:space="preserve">["ID"] = 1879489263;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5; </v>
      </c>
      <c r="AP449" t="str">
        <f t="shared" si="185"/>
        <v xml:space="preserve">                     </v>
      </c>
      <c r="AQ449" t="str">
        <f t="shared" si="186"/>
        <v/>
      </c>
      <c r="AR449" t="str">
        <f t="shared" si="187"/>
        <v xml:space="preserve">["NAME"] = { ["EN"] = "The Competitive Cook - Tier I"; }; </v>
      </c>
      <c r="AS449" t="str">
        <f t="shared" si="188"/>
        <v/>
      </c>
      <c r="AT449" t="str">
        <f t="shared" si="189"/>
        <v/>
      </c>
      <c r="AU449" t="str">
        <f t="shared" si="190"/>
        <v/>
      </c>
      <c r="AV449" t="str">
        <f t="shared" si="191"/>
        <v/>
      </c>
      <c r="AW449" t="str">
        <f t="shared" si="192"/>
        <v>};</v>
      </c>
    </row>
    <row r="450" spans="1:49" x14ac:dyDescent="0.25">
      <c r="A450">
        <v>1879489266</v>
      </c>
      <c r="C450" t="s">
        <v>3727</v>
      </c>
      <c r="D450" t="s">
        <v>30</v>
      </c>
      <c r="K450">
        <v>1</v>
      </c>
      <c r="T450" t="str">
        <f t="shared" si="166"/>
        <v>[1879489266] = 1, // The Competitive Prospector - Tier V</v>
      </c>
      <c r="U450" t="str">
        <f t="shared" si="167"/>
        <v>[449] = {["ID"] = 1879489266; ["TIER"] = 1; }; -- The Competitive Prospector - Tier V</v>
      </c>
      <c r="V450" s="1" t="str">
        <f t="shared" si="168"/>
        <v>[449] = {["ID"] = 1879489266;                       ["TYPE"] =  7;             ["VXP"] =    0; ["LP"] =  0; ["REP"] =    0; ["FACTION"] =  1; ["TIER"] = 1;                      ["NAME"] = { ["EN"] = "The Competitive Prospector - Tier V"; }; };</v>
      </c>
      <c r="W450">
        <f t="shared" si="169"/>
        <v>449</v>
      </c>
      <c r="X450" t="str">
        <f t="shared" si="170"/>
        <v>[449] = {</v>
      </c>
      <c r="Y450" t="str">
        <f t="shared" si="171"/>
        <v xml:space="preserve">["ID"] = 1879489266; </v>
      </c>
      <c r="Z450" t="str">
        <f t="shared" si="172"/>
        <v xml:space="preserve">["ID"] = 1879489266;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1; </v>
      </c>
      <c r="AP450" t="str">
        <f t="shared" si="185"/>
        <v xml:space="preserve">                     </v>
      </c>
      <c r="AQ450" t="str">
        <f t="shared" si="186"/>
        <v/>
      </c>
      <c r="AR450" t="str">
        <f t="shared" si="187"/>
        <v xml:space="preserve">["NAME"] = { ["EN"] = "The Competitive Prospector - Tier V"; }; </v>
      </c>
      <c r="AS450" t="str">
        <f t="shared" si="188"/>
        <v/>
      </c>
      <c r="AT450" t="str">
        <f t="shared" si="189"/>
        <v/>
      </c>
      <c r="AU450" t="str">
        <f t="shared" si="190"/>
        <v/>
      </c>
      <c r="AV450" t="str">
        <f t="shared" si="191"/>
        <v/>
      </c>
      <c r="AW450" t="str">
        <f t="shared" si="192"/>
        <v>};</v>
      </c>
    </row>
    <row r="451" spans="1:49" x14ac:dyDescent="0.25">
      <c r="A451">
        <v>1879489268</v>
      </c>
      <c r="C451" t="s">
        <v>3728</v>
      </c>
      <c r="D451" t="s">
        <v>30</v>
      </c>
      <c r="K451">
        <v>2</v>
      </c>
      <c r="T451" t="str">
        <f t="shared" si="166"/>
        <v>[1879489268] = 2, // The Competitive Prospector - Tier IV</v>
      </c>
      <c r="U451" t="str">
        <f t="shared" si="167"/>
        <v>[450] = {["ID"] = 1879489268; ["TIER"] = 2; }; -- The Competitive Prospector - Tier IV</v>
      </c>
      <c r="V451" s="1" t="str">
        <f t="shared" si="168"/>
        <v>[450] = {["ID"] = 1879489268;                       ["TYPE"] =  7;             ["VXP"] =    0; ["LP"] =  0; ["REP"] =    0; ["FACTION"] =  1; ["TIER"] = 2;                      ["NAME"] = { ["EN"] = "The Competitive Prospector - Tier IV"; }; };</v>
      </c>
      <c r="W451">
        <f t="shared" si="169"/>
        <v>450</v>
      </c>
      <c r="X451" t="str">
        <f t="shared" si="170"/>
        <v>[450] = {</v>
      </c>
      <c r="Y451" t="str">
        <f t="shared" si="171"/>
        <v xml:space="preserve">["ID"] = 1879489268; </v>
      </c>
      <c r="Z451" t="str">
        <f t="shared" si="172"/>
        <v xml:space="preserve">["ID"] = 1879489268; </v>
      </c>
      <c r="AA451" t="str">
        <f t="shared" si="173"/>
        <v/>
      </c>
      <c r="AB451" s="1" t="str">
        <f t="shared" si="174"/>
        <v xml:space="preserve">                      </v>
      </c>
      <c r="AC451">
        <f>VLOOKUP(D451,Type!A$2:B$16,2,)</f>
        <v>7</v>
      </c>
      <c r="AD451" t="str">
        <f t="shared" si="175"/>
        <v xml:space="preserve">["TYPE"] =  7; </v>
      </c>
      <c r="AE451" t="str">
        <f>IF(NOT(ISBLANK(E451)),VLOOKUP(E451,Type!D$2:E$6,2,FALSE),"")</f>
        <v/>
      </c>
      <c r="AF451" t="str">
        <f t="shared" si="176"/>
        <v xml:space="preserve">            </v>
      </c>
      <c r="AG451" t="str">
        <f t="shared" si="177"/>
        <v>0</v>
      </c>
      <c r="AH451" t="str">
        <f t="shared" si="178"/>
        <v xml:space="preserve">["VXP"] =    0; </v>
      </c>
      <c r="AI451" t="str">
        <f t="shared" si="179"/>
        <v>0</v>
      </c>
      <c r="AJ451" t="str">
        <f t="shared" si="180"/>
        <v xml:space="preserve">["LP"] =  0; </v>
      </c>
      <c r="AK451" t="str">
        <f t="shared" si="181"/>
        <v>0</v>
      </c>
      <c r="AL451" t="str">
        <f t="shared" si="182"/>
        <v xml:space="preserve">["REP"] =    0; </v>
      </c>
      <c r="AM451">
        <f>IF(LEN(Q451)&gt;0,VLOOKUP(Q451,Faction!A$2:B$77,2,),1)</f>
        <v>1</v>
      </c>
      <c r="AN451" t="str">
        <f t="shared" si="183"/>
        <v xml:space="preserve">["FACTION"] =  1; </v>
      </c>
      <c r="AO451" t="str">
        <f t="shared" si="184"/>
        <v xml:space="preserve">["TIER"] = 2; </v>
      </c>
      <c r="AP451" t="str">
        <f t="shared" si="185"/>
        <v xml:space="preserve">                     </v>
      </c>
      <c r="AQ451" t="str">
        <f t="shared" si="186"/>
        <v/>
      </c>
      <c r="AR451" t="str">
        <f t="shared" si="187"/>
        <v xml:space="preserve">["NAME"] = { ["EN"] = "The Competitive Prospector - Tier IV"; }; </v>
      </c>
      <c r="AS451" t="str">
        <f t="shared" si="188"/>
        <v/>
      </c>
      <c r="AT451" t="str">
        <f t="shared" si="189"/>
        <v/>
      </c>
      <c r="AU451" t="str">
        <f t="shared" si="190"/>
        <v/>
      </c>
      <c r="AV451" t="str">
        <f t="shared" si="191"/>
        <v/>
      </c>
      <c r="AW451" t="str">
        <f t="shared" si="192"/>
        <v>};</v>
      </c>
    </row>
    <row r="452" spans="1:49" x14ac:dyDescent="0.25">
      <c r="A452">
        <v>1879489270</v>
      </c>
      <c r="C452" t="s">
        <v>3729</v>
      </c>
      <c r="D452" t="s">
        <v>30</v>
      </c>
      <c r="K452">
        <v>3</v>
      </c>
      <c r="T452" t="str">
        <f t="shared" si="166"/>
        <v>[1879489270] = 3, // The Competitive Prospector - Tier III</v>
      </c>
      <c r="U452" t="str">
        <f t="shared" si="167"/>
        <v>[451] = {["ID"] = 1879489270; ["TIER"] = 3; }; -- The Competitive Prospector - Tier III</v>
      </c>
      <c r="V452" s="1" t="str">
        <f t="shared" si="168"/>
        <v>[451] = {["ID"] = 1879489270;                       ["TYPE"] =  7;             ["VXP"] =    0; ["LP"] =  0; ["REP"] =    0; ["FACTION"] =  1; ["TIER"] = 3;                      ["NAME"] = { ["EN"] = "The Competitive Prospector - Tier III"; }; };</v>
      </c>
      <c r="W452">
        <f t="shared" si="169"/>
        <v>451</v>
      </c>
      <c r="X452" t="str">
        <f t="shared" si="170"/>
        <v>[451] = {</v>
      </c>
      <c r="Y452" t="str">
        <f t="shared" si="171"/>
        <v xml:space="preserve">["ID"] = 1879489270; </v>
      </c>
      <c r="Z452" t="str">
        <f t="shared" si="172"/>
        <v xml:space="preserve">["ID"] = 1879489270; </v>
      </c>
      <c r="AA452" t="str">
        <f t="shared" si="173"/>
        <v/>
      </c>
      <c r="AB452" s="1" t="str">
        <f t="shared" si="174"/>
        <v xml:space="preserve">                      </v>
      </c>
      <c r="AC452">
        <f>VLOOKUP(D452,Type!A$2:B$16,2,)</f>
        <v>7</v>
      </c>
      <c r="AD452" t="str">
        <f t="shared" si="175"/>
        <v xml:space="preserve">["TYPE"] =  7; </v>
      </c>
      <c r="AE452" t="str">
        <f>IF(NOT(ISBLANK(E452)),VLOOKUP(E452,Type!D$2:E$6,2,FALSE),"")</f>
        <v/>
      </c>
      <c r="AF452" t="str">
        <f t="shared" si="176"/>
        <v xml:space="preserve">            </v>
      </c>
      <c r="AG452" t="str">
        <f t="shared" si="177"/>
        <v>0</v>
      </c>
      <c r="AH452" t="str">
        <f t="shared" si="178"/>
        <v xml:space="preserve">["VXP"] =    0; </v>
      </c>
      <c r="AI452" t="str">
        <f t="shared" si="179"/>
        <v>0</v>
      </c>
      <c r="AJ452" t="str">
        <f t="shared" si="180"/>
        <v xml:space="preserve">["LP"] =  0; </v>
      </c>
      <c r="AK452" t="str">
        <f t="shared" si="181"/>
        <v>0</v>
      </c>
      <c r="AL452" t="str">
        <f t="shared" si="182"/>
        <v xml:space="preserve">["REP"] =    0; </v>
      </c>
      <c r="AM452">
        <f>IF(LEN(Q452)&gt;0,VLOOKUP(Q452,Faction!A$2:B$77,2,),1)</f>
        <v>1</v>
      </c>
      <c r="AN452" t="str">
        <f t="shared" si="183"/>
        <v xml:space="preserve">["FACTION"] =  1; </v>
      </c>
      <c r="AO452" t="str">
        <f t="shared" si="184"/>
        <v xml:space="preserve">["TIER"] = 3; </v>
      </c>
      <c r="AP452" t="str">
        <f t="shared" si="185"/>
        <v xml:space="preserve">                     </v>
      </c>
      <c r="AQ452" t="str">
        <f t="shared" si="186"/>
        <v/>
      </c>
      <c r="AR452" t="str">
        <f t="shared" si="187"/>
        <v xml:space="preserve">["NAME"] = { ["EN"] = "The Competitive Prospector - Tier III"; }; </v>
      </c>
      <c r="AS452" t="str">
        <f t="shared" si="188"/>
        <v/>
      </c>
      <c r="AT452" t="str">
        <f t="shared" si="189"/>
        <v/>
      </c>
      <c r="AU452" t="str">
        <f t="shared" si="190"/>
        <v/>
      </c>
      <c r="AV452" t="str">
        <f t="shared" si="191"/>
        <v/>
      </c>
      <c r="AW452" t="str">
        <f t="shared" si="192"/>
        <v>};</v>
      </c>
    </row>
    <row r="453" spans="1:49" x14ac:dyDescent="0.25">
      <c r="A453">
        <v>1879489271</v>
      </c>
      <c r="C453" t="s">
        <v>3730</v>
      </c>
      <c r="D453" t="s">
        <v>30</v>
      </c>
      <c r="K453">
        <v>4</v>
      </c>
      <c r="T453" t="str">
        <f t="shared" si="166"/>
        <v>[1879489271] = 4, // The Competitive Prospector - Tier II</v>
      </c>
      <c r="U453" t="str">
        <f t="shared" si="167"/>
        <v>[452] = {["ID"] = 1879489271; ["TIER"] = 4; }; -- The Competitive Prospector - Tier II</v>
      </c>
      <c r="V453" s="1" t="str">
        <f t="shared" si="168"/>
        <v>[452] = {["ID"] = 1879489271;                       ["TYPE"] =  7;             ["VXP"] =    0; ["LP"] =  0; ["REP"] =    0; ["FACTION"] =  1; ["TIER"] = 4;                      ["NAME"] = { ["EN"] = "The Competitive Prospector - Tier II"; }; };</v>
      </c>
      <c r="W453">
        <f t="shared" si="169"/>
        <v>452</v>
      </c>
      <c r="X453" t="str">
        <f t="shared" si="170"/>
        <v>[452] = {</v>
      </c>
      <c r="Y453" t="str">
        <f t="shared" si="171"/>
        <v xml:space="preserve">["ID"] = 1879489271; </v>
      </c>
      <c r="Z453" t="str">
        <f t="shared" si="172"/>
        <v xml:space="preserve">["ID"] = 1879489271; </v>
      </c>
      <c r="AA453" t="str">
        <f t="shared" si="173"/>
        <v/>
      </c>
      <c r="AB453" s="1" t="str">
        <f t="shared" si="174"/>
        <v xml:space="preserve">                      </v>
      </c>
      <c r="AC453">
        <f>VLOOKUP(D453,Type!A$2:B$16,2,)</f>
        <v>7</v>
      </c>
      <c r="AD453" t="str">
        <f t="shared" si="175"/>
        <v xml:space="preserve">["TYPE"] =  7; </v>
      </c>
      <c r="AE453" t="str">
        <f>IF(NOT(ISBLANK(E453)),VLOOKUP(E453,Type!D$2:E$6,2,FALSE),"")</f>
        <v/>
      </c>
      <c r="AF453" t="str">
        <f t="shared" si="176"/>
        <v xml:space="preserve">            </v>
      </c>
      <c r="AG453" t="str">
        <f t="shared" si="177"/>
        <v>0</v>
      </c>
      <c r="AH453" t="str">
        <f t="shared" si="178"/>
        <v xml:space="preserve">["VXP"] =    0; </v>
      </c>
      <c r="AI453" t="str">
        <f t="shared" si="179"/>
        <v>0</v>
      </c>
      <c r="AJ453" t="str">
        <f t="shared" si="180"/>
        <v xml:space="preserve">["LP"] =  0; </v>
      </c>
      <c r="AK453" t="str">
        <f t="shared" si="181"/>
        <v>0</v>
      </c>
      <c r="AL453" t="str">
        <f t="shared" si="182"/>
        <v xml:space="preserve">["REP"] =    0; </v>
      </c>
      <c r="AM453">
        <f>IF(LEN(Q453)&gt;0,VLOOKUP(Q453,Faction!A$2:B$77,2,),1)</f>
        <v>1</v>
      </c>
      <c r="AN453" t="str">
        <f t="shared" si="183"/>
        <v xml:space="preserve">["FACTION"] =  1; </v>
      </c>
      <c r="AO453" t="str">
        <f t="shared" si="184"/>
        <v xml:space="preserve">["TIER"] = 4; </v>
      </c>
      <c r="AP453" t="str">
        <f t="shared" si="185"/>
        <v xml:space="preserve">                     </v>
      </c>
      <c r="AQ453" t="str">
        <f t="shared" si="186"/>
        <v/>
      </c>
      <c r="AR453" t="str">
        <f t="shared" si="187"/>
        <v xml:space="preserve">["NAME"] = { ["EN"] = "The Competitive Prospector - Tier II"; }; </v>
      </c>
      <c r="AS453" t="str">
        <f t="shared" si="188"/>
        <v/>
      </c>
      <c r="AT453" t="str">
        <f t="shared" si="189"/>
        <v/>
      </c>
      <c r="AU453" t="str">
        <f t="shared" si="190"/>
        <v/>
      </c>
      <c r="AV453" t="str">
        <f t="shared" si="191"/>
        <v/>
      </c>
      <c r="AW453" t="str">
        <f t="shared" si="192"/>
        <v>};</v>
      </c>
    </row>
    <row r="454" spans="1:49" x14ac:dyDescent="0.25">
      <c r="A454">
        <v>1879489262</v>
      </c>
      <c r="C454" t="s">
        <v>3731</v>
      </c>
      <c r="D454" t="s">
        <v>30</v>
      </c>
      <c r="K454">
        <v>5</v>
      </c>
      <c r="T454" t="str">
        <f t="shared" si="166"/>
        <v>[1879489262] = 5, // The Competitive Prospector - Tier I</v>
      </c>
      <c r="U454" t="str">
        <f t="shared" si="167"/>
        <v>[453] = {["ID"] = 1879489262; ["TIER"] = 5; }; -- The Competitive Prospector - Tier I</v>
      </c>
      <c r="V454" s="1" t="str">
        <f t="shared" si="168"/>
        <v>[453] = {["ID"] = 1879489262;                       ["TYPE"] =  7;             ["VXP"] =    0; ["LP"] =  0; ["REP"] =    0; ["FACTION"] =  1; ["TIER"] = 5;                      ["NAME"] = { ["EN"] = "The Competitive Prospector - Tier I"; }; };</v>
      </c>
      <c r="W454">
        <f t="shared" si="169"/>
        <v>453</v>
      </c>
      <c r="X454" t="str">
        <f t="shared" si="170"/>
        <v>[453] = {</v>
      </c>
      <c r="Y454" t="str">
        <f t="shared" si="171"/>
        <v xml:space="preserve">["ID"] = 1879489262; </v>
      </c>
      <c r="Z454" t="str">
        <f t="shared" si="172"/>
        <v xml:space="preserve">["ID"] = 1879489262; </v>
      </c>
      <c r="AA454" t="str">
        <f t="shared" si="173"/>
        <v/>
      </c>
      <c r="AB454" s="1" t="str">
        <f t="shared" si="174"/>
        <v xml:space="preserve">                      </v>
      </c>
      <c r="AC454">
        <f>VLOOKUP(D454,Type!A$2:B$16,2,)</f>
        <v>7</v>
      </c>
      <c r="AD454" t="str">
        <f t="shared" si="175"/>
        <v xml:space="preserve">["TYPE"] =  7; </v>
      </c>
      <c r="AE454" t="str">
        <f>IF(NOT(ISBLANK(E454)),VLOOKUP(E454,Type!D$2:E$6,2,FALSE),"")</f>
        <v/>
      </c>
      <c r="AF454" t="str">
        <f t="shared" si="176"/>
        <v xml:space="preserve">            </v>
      </c>
      <c r="AG454" t="str">
        <f t="shared" si="177"/>
        <v>0</v>
      </c>
      <c r="AH454" t="str">
        <f t="shared" si="178"/>
        <v xml:space="preserve">["VXP"] =    0; </v>
      </c>
      <c r="AI454" t="str">
        <f t="shared" si="179"/>
        <v>0</v>
      </c>
      <c r="AJ454" t="str">
        <f t="shared" si="180"/>
        <v xml:space="preserve">["LP"] =  0; </v>
      </c>
      <c r="AK454" t="str">
        <f t="shared" si="181"/>
        <v>0</v>
      </c>
      <c r="AL454" t="str">
        <f t="shared" si="182"/>
        <v xml:space="preserve">["REP"] =    0; </v>
      </c>
      <c r="AM454">
        <f>IF(LEN(Q454)&gt;0,VLOOKUP(Q454,Faction!A$2:B$77,2,),1)</f>
        <v>1</v>
      </c>
      <c r="AN454" t="str">
        <f t="shared" si="183"/>
        <v xml:space="preserve">["FACTION"] =  1; </v>
      </c>
      <c r="AO454" t="str">
        <f t="shared" si="184"/>
        <v xml:space="preserve">["TIER"] = 5; </v>
      </c>
      <c r="AP454" t="str">
        <f t="shared" si="185"/>
        <v xml:space="preserve">                     </v>
      </c>
      <c r="AQ454" t="str">
        <f t="shared" si="186"/>
        <v/>
      </c>
      <c r="AR454" t="str">
        <f t="shared" si="187"/>
        <v xml:space="preserve">["NAME"] = { ["EN"] = "The Competitive Prospector - Tier I"; }; </v>
      </c>
      <c r="AS454" t="str">
        <f t="shared" si="188"/>
        <v/>
      </c>
      <c r="AT454" t="str">
        <f t="shared" si="189"/>
        <v/>
      </c>
      <c r="AU454" t="str">
        <f t="shared" si="190"/>
        <v/>
      </c>
      <c r="AV454" t="str">
        <f t="shared" si="191"/>
        <v/>
      </c>
      <c r="AW454" t="str">
        <f t="shared" si="192"/>
        <v>};</v>
      </c>
    </row>
    <row r="455" spans="1:49" x14ac:dyDescent="0.25">
      <c r="C455" s="3" t="s">
        <v>3703</v>
      </c>
      <c r="D455" s="2" t="s">
        <v>812</v>
      </c>
      <c r="R455">
        <v>305</v>
      </c>
      <c r="T455" t="str">
        <f t="shared" si="166"/>
        <v/>
      </c>
      <c r="U455" t="str">
        <f t="shared" si="167"/>
        <v>[454] = {["CAT_ID"] = 305; }; -- - Veil of the Nine -</v>
      </c>
      <c r="V455" s="1" t="str">
        <f t="shared" si="168"/>
        <v>[454] = {                                           ["TYPE"] = 14;             ["VXP"] =    0; ["LP"] =  0; ["REP"] =    0; ["FACTION"] =  1;                      ["NAME"] = { ["EN"] = "- Veil of the Nine -"; }; };</v>
      </c>
      <c r="W455">
        <f t="shared" si="169"/>
        <v>454</v>
      </c>
      <c r="X455" t="str">
        <f t="shared" si="170"/>
        <v>[454] = {</v>
      </c>
      <c r="Y455" t="str">
        <f t="shared" si="171"/>
        <v xml:space="preserve">                     </v>
      </c>
      <c r="Z455" t="str">
        <f t="shared" si="172"/>
        <v/>
      </c>
      <c r="AA455" t="str">
        <f t="shared" si="173"/>
        <v xml:space="preserve">["CAT_ID"] = 305; </v>
      </c>
      <c r="AB455" s="1" t="str">
        <f t="shared" si="174"/>
        <v xml:space="preserve">                      </v>
      </c>
      <c r="AC455">
        <f>VLOOKUP(D455,Type!A$2:B$16,2,)</f>
        <v>14</v>
      </c>
      <c r="AD455" t="str">
        <f t="shared" si="175"/>
        <v xml:space="preserve">["TYPE"] = 14; </v>
      </c>
      <c r="AE455" t="str">
        <f>IF(NOT(ISBLANK(E455)),VLOOKUP(E455,Type!D$2:E$6,2,FALSE),"")</f>
        <v/>
      </c>
      <c r="AF455" t="str">
        <f t="shared" si="176"/>
        <v xml:space="preserve">            </v>
      </c>
      <c r="AG455" t="str">
        <f t="shared" si="177"/>
        <v>0</v>
      </c>
      <c r="AH455" t="str">
        <f t="shared" si="178"/>
        <v xml:space="preserve">["VXP"] =    0; </v>
      </c>
      <c r="AI455" t="str">
        <f t="shared" si="179"/>
        <v>0</v>
      </c>
      <c r="AJ455" t="str">
        <f t="shared" si="180"/>
        <v xml:space="preserve">["LP"] =  0; </v>
      </c>
      <c r="AK455" t="str">
        <f t="shared" si="181"/>
        <v>0</v>
      </c>
      <c r="AL455" t="str">
        <f t="shared" si="182"/>
        <v xml:space="preserve">["REP"] =    0; </v>
      </c>
      <c r="AM455">
        <f>IF(LEN(Q455)&gt;0,VLOOKUP(Q455,Faction!A$2:B$77,2,),1)</f>
        <v>1</v>
      </c>
      <c r="AN455" t="str">
        <f t="shared" si="183"/>
        <v xml:space="preserve">["FACTION"] =  1; </v>
      </c>
      <c r="AO455" t="str">
        <f t="shared" si="184"/>
        <v/>
      </c>
      <c r="AP455" t="str">
        <f t="shared" si="185"/>
        <v xml:space="preserve">                     </v>
      </c>
      <c r="AQ455" t="str">
        <f t="shared" si="186"/>
        <v/>
      </c>
      <c r="AR455" t="str">
        <f t="shared" si="187"/>
        <v xml:space="preserve">["NAME"] = { ["EN"] = "- Veil of the Nine -"; }; </v>
      </c>
      <c r="AS455" t="str">
        <f t="shared" si="188"/>
        <v/>
      </c>
      <c r="AT455" t="str">
        <f t="shared" si="189"/>
        <v/>
      </c>
      <c r="AU455" t="str">
        <f t="shared" si="190"/>
        <v/>
      </c>
      <c r="AV455" t="str">
        <f t="shared" si="191"/>
        <v/>
      </c>
      <c r="AW455" t="str">
        <f t="shared" si="192"/>
        <v>};</v>
      </c>
    </row>
    <row r="456" spans="1:49" x14ac:dyDescent="0.25">
      <c r="A456">
        <v>1879489366</v>
      </c>
      <c r="C456" s="4" t="s">
        <v>3732</v>
      </c>
      <c r="D456" t="s">
        <v>24</v>
      </c>
      <c r="T456" t="str">
        <f t="shared" si="166"/>
        <v/>
      </c>
      <c r="U456" t="str">
        <f t="shared" si="167"/>
        <v>[455] = {["ID"] = 1879489366; }; -- Defeat each of the Nine</v>
      </c>
      <c r="V456" s="1" t="str">
        <f t="shared" si="168"/>
        <v>[455] = {["ID"] = 1879489366;                       ["TYPE"] = 12;             ["VXP"] =    0; ["LP"] =  0; ["REP"] =    0; ["FACTION"] =  1;                      ["NAME"] = { ["EN"] = "Defeat each of the Nine"; }; };</v>
      </c>
      <c r="W456">
        <f t="shared" si="169"/>
        <v>455</v>
      </c>
      <c r="X456" t="str">
        <f t="shared" si="170"/>
        <v>[455] = {</v>
      </c>
      <c r="Y456" t="str">
        <f t="shared" si="171"/>
        <v xml:space="preserve">["ID"] = 1879489366; </v>
      </c>
      <c r="Z456" t="str">
        <f t="shared" si="172"/>
        <v xml:space="preserve">["ID"] = 1879489366; </v>
      </c>
      <c r="AA456" t="str">
        <f t="shared" si="173"/>
        <v/>
      </c>
      <c r="AB456" s="1" t="str">
        <f t="shared" si="174"/>
        <v xml:space="preserve">                      </v>
      </c>
      <c r="AC456">
        <f>VLOOKUP(D456,Type!A$2:B$16,2,)</f>
        <v>12</v>
      </c>
      <c r="AD456" t="str">
        <f t="shared" si="175"/>
        <v xml:space="preserve">["TYPE"] = 12; </v>
      </c>
      <c r="AE456" t="str">
        <f>IF(NOT(ISBLANK(E456)),VLOOKUP(E456,Type!D$2:E$6,2,FALSE),"")</f>
        <v/>
      </c>
      <c r="AF456" t="str">
        <f t="shared" si="176"/>
        <v xml:space="preserve">            </v>
      </c>
      <c r="AG456" t="str">
        <f t="shared" si="177"/>
        <v>0</v>
      </c>
      <c r="AH456" t="str">
        <f t="shared" si="178"/>
        <v xml:space="preserve">["VXP"] =    0; </v>
      </c>
      <c r="AI456" t="str">
        <f t="shared" si="179"/>
        <v>0</v>
      </c>
      <c r="AJ456" t="str">
        <f t="shared" si="180"/>
        <v xml:space="preserve">["LP"] =  0; </v>
      </c>
      <c r="AK456" t="str">
        <f t="shared" si="181"/>
        <v>0</v>
      </c>
      <c r="AL456" t="str">
        <f t="shared" si="182"/>
        <v xml:space="preserve">["REP"] =    0; </v>
      </c>
      <c r="AM456">
        <f>IF(LEN(Q456)&gt;0,VLOOKUP(Q456,Faction!A$2:B$77,2,),1)</f>
        <v>1</v>
      </c>
      <c r="AN456" t="str">
        <f t="shared" si="183"/>
        <v xml:space="preserve">["FACTION"] =  1; </v>
      </c>
      <c r="AO456" t="str">
        <f t="shared" si="184"/>
        <v/>
      </c>
      <c r="AP456" t="str">
        <f t="shared" si="185"/>
        <v xml:space="preserve">                     </v>
      </c>
      <c r="AQ456" t="str">
        <f t="shared" si="186"/>
        <v/>
      </c>
      <c r="AR456" t="str">
        <f t="shared" si="187"/>
        <v xml:space="preserve">["NAME"] = { ["EN"] = "Defeat each of the Nine"; }; </v>
      </c>
      <c r="AS456" t="str">
        <f t="shared" si="188"/>
        <v/>
      </c>
      <c r="AT456" t="str">
        <f t="shared" si="189"/>
        <v/>
      </c>
      <c r="AU456" t="str">
        <f t="shared" si="190"/>
        <v/>
      </c>
      <c r="AV456" t="str">
        <f t="shared" si="191"/>
        <v/>
      </c>
      <c r="AW456" t="str">
        <f t="shared" si="192"/>
        <v>};</v>
      </c>
    </row>
    <row r="457" spans="1:49" x14ac:dyDescent="0.25">
      <c r="A457">
        <v>1879487903</v>
      </c>
      <c r="C457" t="s">
        <v>3704</v>
      </c>
      <c r="D457" t="s">
        <v>24</v>
      </c>
      <c r="K457">
        <v>1</v>
      </c>
      <c r="T457" t="str">
        <f t="shared" si="166"/>
        <v>[1879487903] = 1, // Defeat the Grim Southron</v>
      </c>
      <c r="U457" t="str">
        <f t="shared" si="167"/>
        <v>[456] = {["ID"] = 1879487903; ["TIER"] = 1; }; -- Defeat the Grim Southron</v>
      </c>
      <c r="V457" s="1" t="str">
        <f t="shared" si="168"/>
        <v>[456] = {["ID"] = 1879487903;                       ["TYPE"] = 12;             ["VXP"] =    0; ["LP"] =  0; ["REP"] =    0; ["FACTION"] =  1; ["TIER"] = 1;                      ["NAME"] = { ["EN"] = "Defeat the Grim Southron"; }; };</v>
      </c>
      <c r="W457">
        <f t="shared" si="169"/>
        <v>456</v>
      </c>
      <c r="X457" t="str">
        <f t="shared" si="170"/>
        <v>[456] = {</v>
      </c>
      <c r="Y457" t="str">
        <f t="shared" si="171"/>
        <v xml:space="preserve">["ID"] = 1879487903; </v>
      </c>
      <c r="Z457" t="str">
        <f t="shared" si="172"/>
        <v xml:space="preserve">["ID"] = 1879487903; </v>
      </c>
      <c r="AA457" t="str">
        <f t="shared" si="173"/>
        <v/>
      </c>
      <c r="AB457" s="1" t="str">
        <f t="shared" si="174"/>
        <v xml:space="preserve">                      </v>
      </c>
      <c r="AC457">
        <f>VLOOKUP(D457,Type!A$2:B$16,2,)</f>
        <v>12</v>
      </c>
      <c r="AD457" t="str">
        <f t="shared" si="175"/>
        <v xml:space="preserve">["TYPE"] = 12; </v>
      </c>
      <c r="AE457" t="str">
        <f>IF(NOT(ISBLANK(E457)),VLOOKUP(E457,Type!D$2:E$6,2,FALSE),"")</f>
        <v/>
      </c>
      <c r="AF457" t="str">
        <f t="shared" si="176"/>
        <v xml:space="preserve">            </v>
      </c>
      <c r="AG457" t="str">
        <f t="shared" si="177"/>
        <v>0</v>
      </c>
      <c r="AH457" t="str">
        <f t="shared" si="178"/>
        <v xml:space="preserve">["VXP"] =    0; </v>
      </c>
      <c r="AI457" t="str">
        <f t="shared" si="179"/>
        <v>0</v>
      </c>
      <c r="AJ457" t="str">
        <f t="shared" si="180"/>
        <v xml:space="preserve">["LP"] =  0; </v>
      </c>
      <c r="AK457" t="str">
        <f t="shared" si="181"/>
        <v>0</v>
      </c>
      <c r="AL457" t="str">
        <f t="shared" si="182"/>
        <v xml:space="preserve">["REP"] =    0; </v>
      </c>
      <c r="AM457">
        <f>IF(LEN(Q457)&gt;0,VLOOKUP(Q457,Faction!A$2:B$77,2,),1)</f>
        <v>1</v>
      </c>
      <c r="AN457" t="str">
        <f t="shared" si="183"/>
        <v xml:space="preserve">["FACTION"] =  1; </v>
      </c>
      <c r="AO457" t="str">
        <f t="shared" si="184"/>
        <v xml:space="preserve">["TIER"] = 1; </v>
      </c>
      <c r="AP457" t="str">
        <f t="shared" si="185"/>
        <v xml:space="preserve">                     </v>
      </c>
      <c r="AQ457" t="str">
        <f t="shared" si="186"/>
        <v/>
      </c>
      <c r="AR457" t="str">
        <f t="shared" si="187"/>
        <v xml:space="preserve">["NAME"] = { ["EN"] = "Defeat the Grim Southron"; }; </v>
      </c>
      <c r="AS457" t="str">
        <f t="shared" si="188"/>
        <v/>
      </c>
      <c r="AT457" t="str">
        <f t="shared" si="189"/>
        <v/>
      </c>
      <c r="AU457" t="str">
        <f t="shared" si="190"/>
        <v/>
      </c>
      <c r="AV457" t="str">
        <f t="shared" si="191"/>
        <v/>
      </c>
      <c r="AW457" t="str">
        <f t="shared" si="192"/>
        <v>};</v>
      </c>
    </row>
    <row r="458" spans="1:49" x14ac:dyDescent="0.25">
      <c r="A458">
        <v>1879487978</v>
      </c>
      <c r="C458" t="s">
        <v>3712</v>
      </c>
      <c r="D458" t="s">
        <v>24</v>
      </c>
      <c r="K458">
        <v>1</v>
      </c>
      <c r="T458" t="str">
        <f t="shared" si="166"/>
        <v>[1879487978] = 1, // Defeat the Forsaken Reaver</v>
      </c>
      <c r="U458" t="str">
        <f t="shared" si="167"/>
        <v>[457] = {["ID"] = 1879487978; ["TIER"] = 1; }; -- Defeat the Forsaken Reaver</v>
      </c>
      <c r="V458" s="1" t="str">
        <f t="shared" si="168"/>
        <v>[457] = {["ID"] = 1879487978;                       ["TYPE"] = 12;             ["VXP"] =    0; ["LP"] =  0; ["REP"] =    0; ["FACTION"] =  1; ["TIER"] = 1;                      ["NAME"] = { ["EN"] = "Defeat the Forsaken Reaver"; }; };</v>
      </c>
      <c r="W458">
        <f t="shared" si="169"/>
        <v>457</v>
      </c>
      <c r="X458" t="str">
        <f t="shared" si="170"/>
        <v>[457] = {</v>
      </c>
      <c r="Y458" t="str">
        <f t="shared" si="171"/>
        <v xml:space="preserve">["ID"] = 1879487978; </v>
      </c>
      <c r="Z458" t="str">
        <f t="shared" si="172"/>
        <v xml:space="preserve">["ID"] = 1879487978; </v>
      </c>
      <c r="AA458" t="str">
        <f t="shared" si="173"/>
        <v/>
      </c>
      <c r="AB458" s="1" t="str">
        <f t="shared" si="174"/>
        <v xml:space="preserve">                      </v>
      </c>
      <c r="AC458">
        <f>VLOOKUP(D458,Type!A$2:B$16,2,)</f>
        <v>12</v>
      </c>
      <c r="AD458" t="str">
        <f t="shared" si="175"/>
        <v xml:space="preserve">["TYPE"] = 12; </v>
      </c>
      <c r="AE458" t="str">
        <f>IF(NOT(ISBLANK(E458)),VLOOKUP(E458,Type!D$2:E$6,2,FALSE),"")</f>
        <v/>
      </c>
      <c r="AF458" t="str">
        <f t="shared" si="176"/>
        <v xml:space="preserve">            </v>
      </c>
      <c r="AG458" t="str">
        <f t="shared" si="177"/>
        <v>0</v>
      </c>
      <c r="AH458" t="str">
        <f t="shared" si="178"/>
        <v xml:space="preserve">["VXP"] =    0; </v>
      </c>
      <c r="AI458" t="str">
        <f t="shared" si="179"/>
        <v>0</v>
      </c>
      <c r="AJ458" t="str">
        <f t="shared" si="180"/>
        <v xml:space="preserve">["LP"] =  0; </v>
      </c>
      <c r="AK458" t="str">
        <f t="shared" si="181"/>
        <v>0</v>
      </c>
      <c r="AL458" t="str">
        <f t="shared" si="182"/>
        <v xml:space="preserve">["REP"] =    0; </v>
      </c>
      <c r="AM458">
        <f>IF(LEN(Q458)&gt;0,VLOOKUP(Q458,Faction!A$2:B$77,2,),1)</f>
        <v>1</v>
      </c>
      <c r="AN458" t="str">
        <f t="shared" si="183"/>
        <v xml:space="preserve">["FACTION"] =  1; </v>
      </c>
      <c r="AO458" t="str">
        <f t="shared" si="184"/>
        <v xml:space="preserve">["TIER"] = 1; </v>
      </c>
      <c r="AP458" t="str">
        <f t="shared" si="185"/>
        <v xml:space="preserve">                     </v>
      </c>
      <c r="AQ458" t="str">
        <f t="shared" si="186"/>
        <v/>
      </c>
      <c r="AR458" t="str">
        <f t="shared" si="187"/>
        <v xml:space="preserve">["NAME"] = { ["EN"] = "Defeat the Forsaken Reaver"; }; </v>
      </c>
      <c r="AS458" t="str">
        <f t="shared" si="188"/>
        <v/>
      </c>
      <c r="AT458" t="str">
        <f t="shared" si="189"/>
        <v/>
      </c>
      <c r="AU458" t="str">
        <f t="shared" si="190"/>
        <v/>
      </c>
      <c r="AV458" t="str">
        <f t="shared" si="191"/>
        <v/>
      </c>
      <c r="AW458" t="str">
        <f t="shared" si="192"/>
        <v>};</v>
      </c>
    </row>
    <row r="459" spans="1:49" x14ac:dyDescent="0.25">
      <c r="A459">
        <v>1879487977</v>
      </c>
      <c r="C459" t="s">
        <v>3711</v>
      </c>
      <c r="D459" t="s">
        <v>24</v>
      </c>
      <c r="K459">
        <v>1</v>
      </c>
      <c r="T459" t="str">
        <f t="shared" si="166"/>
        <v>[1879487977] = 1, // Defeat the Gloom of Nurn</v>
      </c>
      <c r="U459" t="str">
        <f t="shared" si="167"/>
        <v>[458] = {["ID"] = 1879487977; ["TIER"] = 1; }; -- Defeat the Gloom of Nurn</v>
      </c>
      <c r="V459" s="1" t="str">
        <f t="shared" si="168"/>
        <v>[458] = {["ID"] = 1879487977;                       ["TYPE"] = 12;             ["VXP"] =    0; ["LP"] =  0; ["REP"] =    0; ["FACTION"] =  1; ["TIER"] = 1;                      ["NAME"] = { ["EN"] = "Defeat the Gloom of Nurn"; }; };</v>
      </c>
      <c r="W459">
        <f t="shared" si="169"/>
        <v>458</v>
      </c>
      <c r="X459" t="str">
        <f t="shared" si="170"/>
        <v>[458] = {</v>
      </c>
      <c r="Y459" t="str">
        <f t="shared" si="171"/>
        <v xml:space="preserve">["ID"] = 1879487977; </v>
      </c>
      <c r="Z459" t="str">
        <f t="shared" si="172"/>
        <v xml:space="preserve">["ID"] = 1879487977; </v>
      </c>
      <c r="AA459" t="str">
        <f t="shared" si="173"/>
        <v/>
      </c>
      <c r="AB459" s="1" t="str">
        <f t="shared" si="174"/>
        <v xml:space="preserve">                      </v>
      </c>
      <c r="AC459">
        <f>VLOOKUP(D459,Type!A$2:B$16,2,)</f>
        <v>12</v>
      </c>
      <c r="AD459" t="str">
        <f t="shared" si="175"/>
        <v xml:space="preserve">["TYPE"] = 12; </v>
      </c>
      <c r="AE459" t="str">
        <f>IF(NOT(ISBLANK(E459)),VLOOKUP(E459,Type!D$2:E$6,2,FALSE),"")</f>
        <v/>
      </c>
      <c r="AF459" t="str">
        <f t="shared" si="176"/>
        <v xml:space="preserve">            </v>
      </c>
      <c r="AG459" t="str">
        <f t="shared" si="177"/>
        <v>0</v>
      </c>
      <c r="AH459" t="str">
        <f t="shared" si="178"/>
        <v xml:space="preserve">["VXP"] =    0; </v>
      </c>
      <c r="AI459" t="str">
        <f t="shared" si="179"/>
        <v>0</v>
      </c>
      <c r="AJ459" t="str">
        <f t="shared" si="180"/>
        <v xml:space="preserve">["LP"] =  0; </v>
      </c>
      <c r="AK459" t="str">
        <f t="shared" si="181"/>
        <v>0</v>
      </c>
      <c r="AL459" t="str">
        <f t="shared" si="182"/>
        <v xml:space="preserve">["REP"] =    0; </v>
      </c>
      <c r="AM459">
        <f>IF(LEN(Q459)&gt;0,VLOOKUP(Q459,Faction!A$2:B$77,2,),1)</f>
        <v>1</v>
      </c>
      <c r="AN459" t="str">
        <f t="shared" si="183"/>
        <v xml:space="preserve">["FACTION"] =  1; </v>
      </c>
      <c r="AO459" t="str">
        <f t="shared" si="184"/>
        <v xml:space="preserve">["TIER"] = 1; </v>
      </c>
      <c r="AP459" t="str">
        <f t="shared" si="185"/>
        <v xml:space="preserve">                     </v>
      </c>
      <c r="AQ459" t="str">
        <f t="shared" si="186"/>
        <v/>
      </c>
      <c r="AR459" t="str">
        <f t="shared" si="187"/>
        <v xml:space="preserve">["NAME"] = { ["EN"] = "Defeat the Gloom of Nurn"; }; </v>
      </c>
      <c r="AS459" t="str">
        <f t="shared" si="188"/>
        <v/>
      </c>
      <c r="AT459" t="str">
        <f t="shared" si="189"/>
        <v/>
      </c>
      <c r="AU459" t="str">
        <f t="shared" si="190"/>
        <v/>
      </c>
      <c r="AV459" t="str">
        <f t="shared" si="191"/>
        <v/>
      </c>
      <c r="AW459" t="str">
        <f t="shared" si="192"/>
        <v>};</v>
      </c>
    </row>
    <row r="460" spans="1:49" x14ac:dyDescent="0.25">
      <c r="A460">
        <v>1879487976</v>
      </c>
      <c r="C460" t="s">
        <v>3710</v>
      </c>
      <c r="D460" t="s">
        <v>24</v>
      </c>
      <c r="K460">
        <v>1</v>
      </c>
      <c r="T460" t="str">
        <f t="shared" si="166"/>
        <v>[1879487976] = 1, // Defeat the Black Blade of Lebennin</v>
      </c>
      <c r="U460" t="str">
        <f t="shared" si="167"/>
        <v>[459] = {["ID"] = 1879487976; ["TIER"] = 1; }; -- Defeat the Black Blade of Lebennin</v>
      </c>
      <c r="V460" s="1" t="str">
        <f t="shared" si="168"/>
        <v>[459] = {["ID"] = 1879487976;                       ["TYPE"] = 12;             ["VXP"] =    0; ["LP"] =  0; ["REP"] =    0; ["FACTION"] =  1; ["TIER"] = 1;                      ["NAME"] = { ["EN"] = "Defeat the Black Blade of Lebennin"; }; };</v>
      </c>
      <c r="W460">
        <f t="shared" si="169"/>
        <v>459</v>
      </c>
      <c r="X460" t="str">
        <f t="shared" si="170"/>
        <v>[459] = {</v>
      </c>
      <c r="Y460" t="str">
        <f t="shared" si="171"/>
        <v xml:space="preserve">["ID"] = 1879487976; </v>
      </c>
      <c r="Z460" t="str">
        <f t="shared" si="172"/>
        <v xml:space="preserve">["ID"] = 1879487976; </v>
      </c>
      <c r="AA460" t="str">
        <f t="shared" si="173"/>
        <v/>
      </c>
      <c r="AB460" s="1" t="str">
        <f t="shared" si="174"/>
        <v xml:space="preserve">                      </v>
      </c>
      <c r="AC460">
        <f>VLOOKUP(D460,Type!A$2:B$16,2,)</f>
        <v>12</v>
      </c>
      <c r="AD460" t="str">
        <f t="shared" si="175"/>
        <v xml:space="preserve">["TYPE"] = 12; </v>
      </c>
      <c r="AE460" t="str">
        <f>IF(NOT(ISBLANK(E460)),VLOOKUP(E460,Type!D$2:E$6,2,FALSE),"")</f>
        <v/>
      </c>
      <c r="AF460" t="str">
        <f t="shared" si="176"/>
        <v xml:space="preserve">            </v>
      </c>
      <c r="AG460" t="str">
        <f t="shared" si="177"/>
        <v>0</v>
      </c>
      <c r="AH460" t="str">
        <f t="shared" si="178"/>
        <v xml:space="preserve">["VXP"] =    0; </v>
      </c>
      <c r="AI460" t="str">
        <f t="shared" si="179"/>
        <v>0</v>
      </c>
      <c r="AJ460" t="str">
        <f t="shared" si="180"/>
        <v xml:space="preserve">["LP"] =  0; </v>
      </c>
      <c r="AK460" t="str">
        <f t="shared" si="181"/>
        <v>0</v>
      </c>
      <c r="AL460" t="str">
        <f t="shared" si="182"/>
        <v xml:space="preserve">["REP"] =    0; </v>
      </c>
      <c r="AM460">
        <f>IF(LEN(Q460)&gt;0,VLOOKUP(Q460,Faction!A$2:B$77,2,),1)</f>
        <v>1</v>
      </c>
      <c r="AN460" t="str">
        <f t="shared" si="183"/>
        <v xml:space="preserve">["FACTION"] =  1; </v>
      </c>
      <c r="AO460" t="str">
        <f t="shared" si="184"/>
        <v xml:space="preserve">["TIER"] = 1; </v>
      </c>
      <c r="AP460" t="str">
        <f t="shared" si="185"/>
        <v xml:space="preserve">                     </v>
      </c>
      <c r="AQ460" t="str">
        <f t="shared" si="186"/>
        <v/>
      </c>
      <c r="AR460" t="str">
        <f t="shared" si="187"/>
        <v xml:space="preserve">["NAME"] = { ["EN"] = "Defeat the Black Blade of Lebennin"; }; </v>
      </c>
      <c r="AS460" t="str">
        <f t="shared" si="188"/>
        <v/>
      </c>
      <c r="AT460" t="str">
        <f t="shared" si="189"/>
        <v/>
      </c>
      <c r="AU460" t="str">
        <f t="shared" si="190"/>
        <v/>
      </c>
      <c r="AV460" t="str">
        <f t="shared" si="191"/>
        <v/>
      </c>
      <c r="AW460" t="str">
        <f t="shared" si="192"/>
        <v>};</v>
      </c>
    </row>
    <row r="461" spans="1:49" x14ac:dyDescent="0.25">
      <c r="A461">
        <v>1879487975</v>
      </c>
      <c r="C461" t="s">
        <v>3709</v>
      </c>
      <c r="D461" t="s">
        <v>24</v>
      </c>
      <c r="K461">
        <v>1</v>
      </c>
      <c r="T461" t="str">
        <f t="shared" si="166"/>
        <v>[1879487975] = 1, // Defeat the Bane of Rhûn</v>
      </c>
      <c r="U461" t="str">
        <f t="shared" si="167"/>
        <v>[460] = {["ID"] = 1879487975; ["TIER"] = 1; }; -- Defeat the Bane of Rhûn</v>
      </c>
      <c r="V461" s="1" t="str">
        <f t="shared" si="168"/>
        <v>[460] = {["ID"] = 1879487975;                       ["TYPE"] = 12;             ["VXP"] =    0; ["LP"] =  0; ["REP"] =    0; ["FACTION"] =  1; ["TIER"] = 1;                      ["NAME"] = { ["EN"] = "Defeat the Bane of Rhûn"; }; };</v>
      </c>
      <c r="W461">
        <f t="shared" si="169"/>
        <v>460</v>
      </c>
      <c r="X461" t="str">
        <f t="shared" si="170"/>
        <v>[460] = {</v>
      </c>
      <c r="Y461" t="str">
        <f t="shared" si="171"/>
        <v xml:space="preserve">["ID"] = 1879487975; </v>
      </c>
      <c r="Z461" t="str">
        <f t="shared" si="172"/>
        <v xml:space="preserve">["ID"] = 1879487975; </v>
      </c>
      <c r="AA461" t="str">
        <f t="shared" si="173"/>
        <v/>
      </c>
      <c r="AB461" s="1" t="str">
        <f t="shared" si="174"/>
        <v xml:space="preserve">                      </v>
      </c>
      <c r="AC461">
        <f>VLOOKUP(D461,Type!A$2:B$16,2,)</f>
        <v>12</v>
      </c>
      <c r="AD461" t="str">
        <f t="shared" si="175"/>
        <v xml:space="preserve">["TYPE"] = 12; </v>
      </c>
      <c r="AE461" t="str">
        <f>IF(NOT(ISBLANK(E461)),VLOOKUP(E461,Type!D$2:E$6,2,FALSE),"")</f>
        <v/>
      </c>
      <c r="AF461" t="str">
        <f t="shared" si="176"/>
        <v xml:space="preserve">            </v>
      </c>
      <c r="AG461" t="str">
        <f t="shared" si="177"/>
        <v>0</v>
      </c>
      <c r="AH461" t="str">
        <f t="shared" si="178"/>
        <v xml:space="preserve">["VXP"] =    0; </v>
      </c>
      <c r="AI461" t="str">
        <f t="shared" si="179"/>
        <v>0</v>
      </c>
      <c r="AJ461" t="str">
        <f t="shared" si="180"/>
        <v xml:space="preserve">["LP"] =  0; </v>
      </c>
      <c r="AK461" t="str">
        <f t="shared" si="181"/>
        <v>0</v>
      </c>
      <c r="AL461" t="str">
        <f t="shared" si="182"/>
        <v xml:space="preserve">["REP"] =    0; </v>
      </c>
      <c r="AM461">
        <f>IF(LEN(Q461)&gt;0,VLOOKUP(Q461,Faction!A$2:B$77,2,),1)</f>
        <v>1</v>
      </c>
      <c r="AN461" t="str">
        <f t="shared" si="183"/>
        <v xml:space="preserve">["FACTION"] =  1; </v>
      </c>
      <c r="AO461" t="str">
        <f t="shared" si="184"/>
        <v xml:space="preserve">["TIER"] = 1; </v>
      </c>
      <c r="AP461" t="str">
        <f t="shared" si="185"/>
        <v xml:space="preserve">                     </v>
      </c>
      <c r="AQ461" t="str">
        <f t="shared" si="186"/>
        <v/>
      </c>
      <c r="AR461" t="str">
        <f t="shared" si="187"/>
        <v xml:space="preserve">["NAME"] = { ["EN"] = "Defeat the Bane of Rhûn"; }; </v>
      </c>
      <c r="AS461" t="str">
        <f t="shared" si="188"/>
        <v/>
      </c>
      <c r="AT461" t="str">
        <f t="shared" si="189"/>
        <v/>
      </c>
      <c r="AU461" t="str">
        <f t="shared" si="190"/>
        <v/>
      </c>
      <c r="AV461" t="str">
        <f t="shared" si="191"/>
        <v/>
      </c>
      <c r="AW461" t="str">
        <f t="shared" si="192"/>
        <v>};</v>
      </c>
    </row>
    <row r="462" spans="1:49" x14ac:dyDescent="0.25">
      <c r="A462">
        <v>1879487974</v>
      </c>
      <c r="C462" t="s">
        <v>3708</v>
      </c>
      <c r="D462" t="s">
        <v>24</v>
      </c>
      <c r="K462">
        <v>1</v>
      </c>
      <c r="T462" t="str">
        <f t="shared" si="166"/>
        <v>[1879487974] = 1, // Defeat the High Sorcerer of Harad</v>
      </c>
      <c r="U462" t="str">
        <f t="shared" si="167"/>
        <v>[461] = {["ID"] = 1879487974; ["TIER"] = 1; }; -- Defeat the High Sorcerer of Harad</v>
      </c>
      <c r="V462" s="1" t="str">
        <f t="shared" si="168"/>
        <v>[461] = {["ID"] = 1879487974;                       ["TYPE"] = 12;             ["VXP"] =    0; ["LP"] =  0; ["REP"] =    0; ["FACTION"] =  1; ["TIER"] = 1;                      ["NAME"] = { ["EN"] = "Defeat the High Sorcerer of Harad"; }; };</v>
      </c>
      <c r="W462">
        <f t="shared" si="169"/>
        <v>461</v>
      </c>
      <c r="X462" t="str">
        <f t="shared" si="170"/>
        <v>[461] = {</v>
      </c>
      <c r="Y462" t="str">
        <f t="shared" si="171"/>
        <v xml:space="preserve">["ID"] = 1879487974; </v>
      </c>
      <c r="Z462" t="str">
        <f t="shared" si="172"/>
        <v xml:space="preserve">["ID"] = 1879487974; </v>
      </c>
      <c r="AA462" t="str">
        <f t="shared" si="173"/>
        <v/>
      </c>
      <c r="AB462" s="1" t="str">
        <f t="shared" si="174"/>
        <v xml:space="preserve">                      </v>
      </c>
      <c r="AC462">
        <f>VLOOKUP(D462,Type!A$2:B$16,2,)</f>
        <v>12</v>
      </c>
      <c r="AD462" t="str">
        <f t="shared" si="175"/>
        <v xml:space="preserve">["TYPE"] = 12; </v>
      </c>
      <c r="AE462" t="str">
        <f>IF(NOT(ISBLANK(E462)),VLOOKUP(E462,Type!D$2:E$6,2,FALSE),"")</f>
        <v/>
      </c>
      <c r="AF462" t="str">
        <f t="shared" si="176"/>
        <v xml:space="preserve">            </v>
      </c>
      <c r="AG462" t="str">
        <f t="shared" si="177"/>
        <v>0</v>
      </c>
      <c r="AH462" t="str">
        <f t="shared" si="178"/>
        <v xml:space="preserve">["VXP"] =    0; </v>
      </c>
      <c r="AI462" t="str">
        <f t="shared" si="179"/>
        <v>0</v>
      </c>
      <c r="AJ462" t="str">
        <f t="shared" si="180"/>
        <v xml:space="preserve">["LP"] =  0; </v>
      </c>
      <c r="AK462" t="str">
        <f t="shared" si="181"/>
        <v>0</v>
      </c>
      <c r="AL462" t="str">
        <f t="shared" si="182"/>
        <v xml:space="preserve">["REP"] =    0; </v>
      </c>
      <c r="AM462">
        <f>IF(LEN(Q462)&gt;0,VLOOKUP(Q462,Faction!A$2:B$77,2,),1)</f>
        <v>1</v>
      </c>
      <c r="AN462" t="str">
        <f t="shared" si="183"/>
        <v xml:space="preserve">["FACTION"] =  1; </v>
      </c>
      <c r="AO462" t="str">
        <f t="shared" si="184"/>
        <v xml:space="preserve">["TIER"] = 1; </v>
      </c>
      <c r="AP462" t="str">
        <f t="shared" si="185"/>
        <v xml:space="preserve">                     </v>
      </c>
      <c r="AQ462" t="str">
        <f t="shared" si="186"/>
        <v/>
      </c>
      <c r="AR462" t="str">
        <f t="shared" si="187"/>
        <v xml:space="preserve">["NAME"] = { ["EN"] = "Defeat the High Sorcerer of Harad"; }; </v>
      </c>
      <c r="AS462" t="str">
        <f t="shared" si="188"/>
        <v/>
      </c>
      <c r="AT462" t="str">
        <f t="shared" si="189"/>
        <v/>
      </c>
      <c r="AU462" t="str">
        <f t="shared" si="190"/>
        <v/>
      </c>
      <c r="AV462" t="str">
        <f t="shared" si="191"/>
        <v/>
      </c>
      <c r="AW462" t="str">
        <f t="shared" si="192"/>
        <v>};</v>
      </c>
    </row>
    <row r="463" spans="1:49" x14ac:dyDescent="0.25">
      <c r="A463">
        <v>1879487973</v>
      </c>
      <c r="C463" t="s">
        <v>3707</v>
      </c>
      <c r="D463" t="s">
        <v>24</v>
      </c>
      <c r="K463">
        <v>1</v>
      </c>
      <c r="T463" t="str">
        <f t="shared" si="166"/>
        <v>[1879487973] = 1, // Defeat the Woe of Khand</v>
      </c>
      <c r="U463" t="str">
        <f t="shared" si="167"/>
        <v>[462] = {["ID"] = 1879487973; ["TIER"] = 1; }; -- Defeat the Woe of Khand</v>
      </c>
      <c r="V463" s="1" t="str">
        <f t="shared" si="168"/>
        <v>[462] = {["ID"] = 1879487973;                       ["TYPE"] = 12;             ["VXP"] =    0; ["LP"] =  0; ["REP"] =    0; ["FACTION"] =  1; ["TIER"] = 1;                      ["NAME"] = { ["EN"] = "Defeat the Woe of Khand"; }; };</v>
      </c>
      <c r="W463">
        <f t="shared" si="169"/>
        <v>462</v>
      </c>
      <c r="X463" t="str">
        <f t="shared" si="170"/>
        <v>[462] = {</v>
      </c>
      <c r="Y463" t="str">
        <f t="shared" si="171"/>
        <v xml:space="preserve">["ID"] = 1879487973; </v>
      </c>
      <c r="Z463" t="str">
        <f t="shared" si="172"/>
        <v xml:space="preserve">["ID"] = 1879487973; </v>
      </c>
      <c r="AA463" t="str">
        <f t="shared" si="173"/>
        <v/>
      </c>
      <c r="AB463" s="1" t="str">
        <f t="shared" si="174"/>
        <v xml:space="preserve">                      </v>
      </c>
      <c r="AC463">
        <f>VLOOKUP(D463,Type!A$2:B$16,2,)</f>
        <v>12</v>
      </c>
      <c r="AD463" t="str">
        <f t="shared" si="175"/>
        <v xml:space="preserve">["TYPE"] = 12; </v>
      </c>
      <c r="AE463" t="str">
        <f>IF(NOT(ISBLANK(E463)),VLOOKUP(E463,Type!D$2:E$6,2,FALSE),"")</f>
        <v/>
      </c>
      <c r="AF463" t="str">
        <f t="shared" si="176"/>
        <v xml:space="preserve">            </v>
      </c>
      <c r="AG463" t="str">
        <f t="shared" si="177"/>
        <v>0</v>
      </c>
      <c r="AH463" t="str">
        <f t="shared" si="178"/>
        <v xml:space="preserve">["VXP"] =    0; </v>
      </c>
      <c r="AI463" t="str">
        <f t="shared" si="179"/>
        <v>0</v>
      </c>
      <c r="AJ463" t="str">
        <f t="shared" si="180"/>
        <v xml:space="preserve">["LP"] =  0; </v>
      </c>
      <c r="AK463" t="str">
        <f t="shared" si="181"/>
        <v>0</v>
      </c>
      <c r="AL463" t="str">
        <f t="shared" si="182"/>
        <v xml:space="preserve">["REP"] =    0; </v>
      </c>
      <c r="AM463">
        <f>IF(LEN(Q463)&gt;0,VLOOKUP(Q463,Faction!A$2:B$77,2,),1)</f>
        <v>1</v>
      </c>
      <c r="AN463" t="str">
        <f t="shared" si="183"/>
        <v xml:space="preserve">["FACTION"] =  1; </v>
      </c>
      <c r="AO463" t="str">
        <f t="shared" si="184"/>
        <v xml:space="preserve">["TIER"] = 1; </v>
      </c>
      <c r="AP463" t="str">
        <f t="shared" si="185"/>
        <v xml:space="preserve">                     </v>
      </c>
      <c r="AQ463" t="str">
        <f t="shared" si="186"/>
        <v/>
      </c>
      <c r="AR463" t="str">
        <f t="shared" si="187"/>
        <v xml:space="preserve">["NAME"] = { ["EN"] = "Defeat the Woe of Khand"; }; </v>
      </c>
      <c r="AS463" t="str">
        <f t="shared" si="188"/>
        <v/>
      </c>
      <c r="AT463" t="str">
        <f t="shared" si="189"/>
        <v/>
      </c>
      <c r="AU463" t="str">
        <f t="shared" si="190"/>
        <v/>
      </c>
      <c r="AV463" t="str">
        <f t="shared" si="191"/>
        <v/>
      </c>
      <c r="AW463" t="str">
        <f t="shared" si="192"/>
        <v>};</v>
      </c>
    </row>
    <row r="464" spans="1:49" x14ac:dyDescent="0.25">
      <c r="A464">
        <v>1879487972</v>
      </c>
      <c r="C464" t="s">
        <v>3706</v>
      </c>
      <c r="D464" t="s">
        <v>24</v>
      </c>
      <c r="K464">
        <v>1</v>
      </c>
      <c r="T464" t="str">
        <f t="shared" ref="T464:T491" si="235">IF(AND(A464&gt;0,K464&gt;0),CONCATENATE("[",A464,"] = ",K464,", // ",C464),"")</f>
        <v>[1879487972] = 1, // Defeat the Cursed Rider</v>
      </c>
      <c r="U464" t="str">
        <f t="shared" ref="U464:U491" si="236">CONCATENATE(X464,Z464,AA464,AO464,AW464," -- ",C464)</f>
        <v>[463] = {["ID"] = 1879487972; ["TIER"] = 1; }; -- Defeat the Cursed Rider</v>
      </c>
      <c r="V464" s="1" t="str">
        <f t="shared" ref="V464:V491" si="237">CONCATENATE(X464,Y464,AB464,AD464,AF464,AH464,AJ464,AL464,AN464,AO464,AP464,AQ464,AR464,AS464,AT464,AU464,AV464,AW464)</f>
        <v>[463] = {["ID"] = 1879487972;                       ["TYPE"] = 12;             ["VXP"] =    0; ["LP"] =  0; ["REP"] =    0; ["FACTION"] =  1; ["TIER"] = 1;                      ["NAME"] = { ["EN"] = "Defeat the Cursed Rider"; }; };</v>
      </c>
      <c r="W464">
        <f t="shared" ref="W464:W491" si="238">ROW()-1</f>
        <v>463</v>
      </c>
      <c r="X464" t="str">
        <f t="shared" ref="X464:X491" si="239">CONCATENATE(REPT(" ",3-LEN(W464)),"[",W464,"] = {")</f>
        <v>[463] = {</v>
      </c>
      <c r="Y464" t="str">
        <f t="shared" ref="Y464:Y491" si="240">IF(LEN(A464)&gt;0,CONCATENATE("[""ID""] = ",A464,"; "),"                     ")</f>
        <v xml:space="preserve">["ID"] = 1879487972; </v>
      </c>
      <c r="Z464" t="str">
        <f t="shared" ref="Z464:Z491" si="241">IF(LEN(A464)&gt;0,CONCATENATE("[""ID""] = ",A464,"; "),"")</f>
        <v xml:space="preserve">["ID"] = 1879487972; </v>
      </c>
      <c r="AA464" t="str">
        <f t="shared" ref="AA464:AA491" si="242">IF(LEN(R464)&gt;0,CONCATENATE("[""CAT_ID""] = ",R464,"; "),"")</f>
        <v/>
      </c>
      <c r="AB464" s="1" t="str">
        <f t="shared" ref="AB464:AB491" si="243">IF(LEN(B464)&gt;0,CONCATENATE("[""SAVE_INDEX""] = ",REPT(" ",3-LEN(B464)),B464,"; "),"                      ")</f>
        <v xml:space="preserve">                      </v>
      </c>
      <c r="AC464">
        <f>VLOOKUP(D464,Type!A$2:B$16,2,)</f>
        <v>12</v>
      </c>
      <c r="AD464" t="str">
        <f t="shared" ref="AD464:AD491" si="244">CONCATENATE("[""TYPE""] = ",REPT(" ",2-LEN(AC464)),AC464,"; ")</f>
        <v xml:space="preserve">["TYPE"] = 12; </v>
      </c>
      <c r="AE464" t="str">
        <f>IF(NOT(ISBLANK(E464)),VLOOKUP(E464,Type!D$2:E$6,2,FALSE),"")</f>
        <v/>
      </c>
      <c r="AF464" t="str">
        <f t="shared" ref="AF464:AF491" si="245">IF(NOT(ISBLANK(E464)),CONCATENATE("[""NA""] = ",AE464,"; "),"            ")</f>
        <v xml:space="preserve">            </v>
      </c>
      <c r="AG464" t="str">
        <f t="shared" ref="AG464:AG491" si="246">TEXT(O464,0)</f>
        <v>0</v>
      </c>
      <c r="AH464" t="str">
        <f t="shared" ref="AH464:AH491" si="247">CONCATENATE("[""VXP""] = ",REPT(" ",4-LEN(AG464)),TEXT(AG464,"0"),"; ")</f>
        <v xml:space="preserve">["VXP"] =    0; </v>
      </c>
      <c r="AI464" t="str">
        <f t="shared" ref="AI464:AI491" si="248">TEXT(G464,0)</f>
        <v>0</v>
      </c>
      <c r="AJ464" t="str">
        <f t="shared" ref="AJ464:AJ491" si="249">CONCATENATE("[""LP""] = ",REPT(" ",2-LEN(AI464)),TEXT(AI464,"0"),"; ")</f>
        <v xml:space="preserve">["LP"] =  0; </v>
      </c>
      <c r="AK464" t="str">
        <f t="shared" ref="AK464:AK491" si="250">TEXT(P464,0)</f>
        <v>0</v>
      </c>
      <c r="AL464" t="str">
        <f t="shared" ref="AL464:AL491" si="251">CONCATENATE("[""REP""] = ",REPT(" ",4-LEN(AK464)),TEXT(AK464,"0"),"; ")</f>
        <v xml:space="preserve">["REP"] =    0; </v>
      </c>
      <c r="AM464">
        <f>IF(LEN(Q464)&gt;0,VLOOKUP(Q464,Faction!A$2:B$77,2,),1)</f>
        <v>1</v>
      </c>
      <c r="AN464" t="str">
        <f t="shared" ref="AN464:AN491" si="252">CONCATENATE("[""FACTION""] = ",REPT(" ",2-LEN(AM464)),TEXT(AM464,"0"),"; ")</f>
        <v xml:space="preserve">["FACTION"] =  1; </v>
      </c>
      <c r="AO464" t="str">
        <f t="shared" ref="AO464:AO491" si="253">IF(K464&gt;0,CONCATENATE("[""TIER""] = ",TEXT(K464,"0"),"; "),"")</f>
        <v xml:space="preserve">["TIER"] = 1; </v>
      </c>
      <c r="AP464" t="str">
        <f t="shared" ref="AP464:AP491" si="254">IF(LEN(L464)&gt;0,CONCATENATE("[""MIN_LVL""] = ",REPT(" ",3-LEN(L464)),"""",L464,"""; "),"                     ")</f>
        <v xml:space="preserve">                     </v>
      </c>
      <c r="AQ464" t="str">
        <f t="shared" ref="AQ464:AQ491" si="255">IF(LEN(M464)&gt;0,CONCATENATE("[""MIN_LVL""] = ",REPT(" ",3-LEN(M464)),"""",M464,"""; "),"")</f>
        <v/>
      </c>
      <c r="AR464" t="str">
        <f t="shared" ref="AR464:AR491" si="256">CONCATENATE("[""NAME""] = { [""EN""] = """,C464,"""; }; ")</f>
        <v xml:space="preserve">["NAME"] = { ["EN"] = "Defeat the Cursed Rider"; }; </v>
      </c>
      <c r="AS464" t="str">
        <f t="shared" ref="AS464:AS491" si="257">IF(LEN(J464)&gt;0,CONCATENATE("[""LORE""] = { [""EN""] = """,J464,"""; }; "),"")</f>
        <v/>
      </c>
      <c r="AT464" t="str">
        <f t="shared" ref="AT464:AT491" si="258">IF(LEN(I464)&gt;0,CONCATENATE("[""SUMMARY""] = { [""EN""] = """,I464,"""; }; "),"")</f>
        <v/>
      </c>
      <c r="AU464" t="str">
        <f t="shared" ref="AU464:AU491" si="259">IF(LEN(F464)&gt;0,CONCATENATE("[""TITLE""] = { [""EN""] = """,F464,"""; }; "),"")</f>
        <v/>
      </c>
      <c r="AV464" t="str">
        <f t="shared" ref="AV464:AV491" si="260">IF(LEN(N464)&gt;0,CONCATENATE("[""PAIRED""] = { ",N464, " }; "),"")</f>
        <v/>
      </c>
      <c r="AW464" t="str">
        <f t="shared" ref="AW464:AW491" si="261">CONCATENATE("};")</f>
        <v>};</v>
      </c>
    </row>
    <row r="465" spans="1:49" x14ac:dyDescent="0.25">
      <c r="A465">
        <v>1879487969</v>
      </c>
      <c r="C465" t="s">
        <v>3705</v>
      </c>
      <c r="D465" t="s">
        <v>24</v>
      </c>
      <c r="K465">
        <v>1</v>
      </c>
      <c r="T465" t="str">
        <f t="shared" si="235"/>
        <v>[1879487969] = 1, // Defeat the Witch-king</v>
      </c>
      <c r="U465" t="str">
        <f t="shared" si="236"/>
        <v>[464] = {["ID"] = 1879487969; ["TIER"] = 1; }; -- Defeat the Witch-king</v>
      </c>
      <c r="V465" s="1" t="str">
        <f t="shared" si="237"/>
        <v>[464] = {["ID"] = 1879487969;                       ["TYPE"] = 12;             ["VXP"] =    0; ["LP"] =  0; ["REP"] =    0; ["FACTION"] =  1; ["TIER"] = 1;                      ["NAME"] = { ["EN"] = "Defeat the Witch-king"; }; };</v>
      </c>
      <c r="W465">
        <f t="shared" si="238"/>
        <v>464</v>
      </c>
      <c r="X465" t="str">
        <f t="shared" si="239"/>
        <v>[464] = {</v>
      </c>
      <c r="Y465" t="str">
        <f t="shared" si="240"/>
        <v xml:space="preserve">["ID"] = 1879487969; </v>
      </c>
      <c r="Z465" t="str">
        <f t="shared" si="241"/>
        <v xml:space="preserve">["ID"] = 1879487969; </v>
      </c>
      <c r="AA465" t="str">
        <f t="shared" si="242"/>
        <v/>
      </c>
      <c r="AB465" s="1" t="str">
        <f t="shared" si="243"/>
        <v xml:space="preserve">                      </v>
      </c>
      <c r="AC465">
        <f>VLOOKUP(D465,Type!A$2:B$16,2,)</f>
        <v>12</v>
      </c>
      <c r="AD465" t="str">
        <f t="shared" si="244"/>
        <v xml:space="preserve">["TYPE"] = 12; </v>
      </c>
      <c r="AE465" t="str">
        <f>IF(NOT(ISBLANK(E465)),VLOOKUP(E465,Type!D$2:E$6,2,FALSE),"")</f>
        <v/>
      </c>
      <c r="AF465" t="str">
        <f t="shared" si="245"/>
        <v xml:space="preserve">            </v>
      </c>
      <c r="AG465" t="str">
        <f t="shared" si="246"/>
        <v>0</v>
      </c>
      <c r="AH465" t="str">
        <f t="shared" si="247"/>
        <v xml:space="preserve">["VXP"] =    0; </v>
      </c>
      <c r="AI465" t="str">
        <f t="shared" si="248"/>
        <v>0</v>
      </c>
      <c r="AJ465" t="str">
        <f t="shared" si="249"/>
        <v xml:space="preserve">["LP"] =  0; </v>
      </c>
      <c r="AK465" t="str">
        <f t="shared" si="250"/>
        <v>0</v>
      </c>
      <c r="AL465" t="str">
        <f t="shared" si="251"/>
        <v xml:space="preserve">["REP"] =    0; </v>
      </c>
      <c r="AM465">
        <f>IF(LEN(Q465)&gt;0,VLOOKUP(Q465,Faction!A$2:B$77,2,),1)</f>
        <v>1</v>
      </c>
      <c r="AN465" t="str">
        <f t="shared" si="252"/>
        <v xml:space="preserve">["FACTION"] =  1; </v>
      </c>
      <c r="AO465" t="str">
        <f t="shared" si="253"/>
        <v xml:space="preserve">["TIER"] = 1; </v>
      </c>
      <c r="AP465" t="str">
        <f t="shared" si="254"/>
        <v xml:space="preserve">                     </v>
      </c>
      <c r="AQ465" t="str">
        <f t="shared" si="255"/>
        <v/>
      </c>
      <c r="AR465" t="str">
        <f t="shared" si="256"/>
        <v xml:space="preserve">["NAME"] = { ["EN"] = "Defeat the Witch-king"; }; </v>
      </c>
      <c r="AS465" t="str">
        <f t="shared" si="257"/>
        <v/>
      </c>
      <c r="AT465" t="str">
        <f t="shared" si="258"/>
        <v/>
      </c>
      <c r="AU465" t="str">
        <f t="shared" si="259"/>
        <v/>
      </c>
      <c r="AV465" t="str">
        <f t="shared" si="260"/>
        <v/>
      </c>
      <c r="AW465" t="str">
        <f t="shared" si="261"/>
        <v>};</v>
      </c>
    </row>
    <row r="466" spans="1:49" x14ac:dyDescent="0.25">
      <c r="C466" s="2" t="s">
        <v>2334</v>
      </c>
      <c r="D466" s="2" t="s">
        <v>812</v>
      </c>
      <c r="R466">
        <v>240</v>
      </c>
      <c r="T466" t="str">
        <f t="shared" si="235"/>
        <v/>
      </c>
      <c r="U466" t="str">
        <f t="shared" si="236"/>
        <v>[465] = {["CAT_ID"] = 240; }; -- Not Actively Achievable</v>
      </c>
      <c r="V466" s="1" t="str">
        <f t="shared" si="237"/>
        <v>[465] = {                                           ["TYPE"] = 14;             ["VXP"] =    0; ["LP"] =  0; ["REP"] =    0; ["FACTION"] =  1;                      ["NAME"] = { ["EN"] = "Not Actively Achievable"; }; };</v>
      </c>
      <c r="W466">
        <f t="shared" si="238"/>
        <v>465</v>
      </c>
      <c r="X466" t="str">
        <f t="shared" si="239"/>
        <v>[465] = {</v>
      </c>
      <c r="Y466" t="str">
        <f t="shared" si="240"/>
        <v xml:space="preserve">                     </v>
      </c>
      <c r="Z466" t="str">
        <f t="shared" si="241"/>
        <v/>
      </c>
      <c r="AA466" t="str">
        <f t="shared" si="242"/>
        <v xml:space="preserve">["CAT_ID"] = 240; </v>
      </c>
      <c r="AB466" s="1" t="str">
        <f t="shared" si="243"/>
        <v xml:space="preserve">                      </v>
      </c>
      <c r="AC466">
        <f>VLOOKUP(D466,Type!A$2:B$16,2,)</f>
        <v>14</v>
      </c>
      <c r="AD466" t="str">
        <f t="shared" si="244"/>
        <v xml:space="preserve">["TYPE"] = 14; </v>
      </c>
      <c r="AE466" t="str">
        <f>IF(NOT(ISBLANK(E466)),VLOOKUP(E466,Type!D$2:E$6,2,FALSE),"")</f>
        <v/>
      </c>
      <c r="AF466" t="str">
        <f t="shared" si="245"/>
        <v xml:space="preserve">            </v>
      </c>
      <c r="AG466" t="str">
        <f t="shared" si="246"/>
        <v>0</v>
      </c>
      <c r="AH466" t="str">
        <f t="shared" si="247"/>
        <v xml:space="preserve">["VXP"] =    0; </v>
      </c>
      <c r="AI466" t="str">
        <f t="shared" si="248"/>
        <v>0</v>
      </c>
      <c r="AJ466" t="str">
        <f t="shared" si="249"/>
        <v xml:space="preserve">["LP"] =  0; </v>
      </c>
      <c r="AK466" t="str">
        <f t="shared" si="250"/>
        <v>0</v>
      </c>
      <c r="AL466" t="str">
        <f t="shared" si="251"/>
        <v xml:space="preserve">["REP"] =    0; </v>
      </c>
      <c r="AM466">
        <f>IF(LEN(Q466)&gt;0,VLOOKUP(Q466,Faction!A$2:B$77,2,),1)</f>
        <v>1</v>
      </c>
      <c r="AN466" t="str">
        <f t="shared" si="252"/>
        <v xml:space="preserve">["FACTION"] =  1; </v>
      </c>
      <c r="AO466" t="str">
        <f t="shared" si="253"/>
        <v/>
      </c>
      <c r="AP466" t="str">
        <f t="shared" si="254"/>
        <v xml:space="preserve">                     </v>
      </c>
      <c r="AQ466" t="str">
        <f t="shared" si="255"/>
        <v/>
      </c>
      <c r="AR466" t="str">
        <f t="shared" si="256"/>
        <v xml:space="preserve">["NAME"] = { ["EN"] = "Not Actively Achievable"; }; </v>
      </c>
      <c r="AS466" t="str">
        <f t="shared" si="257"/>
        <v/>
      </c>
      <c r="AT466" t="str">
        <f t="shared" si="258"/>
        <v/>
      </c>
      <c r="AU466" t="str">
        <f t="shared" si="259"/>
        <v/>
      </c>
      <c r="AV466" t="str">
        <f t="shared" si="260"/>
        <v/>
      </c>
      <c r="AW466" t="str">
        <f t="shared" si="261"/>
        <v>};</v>
      </c>
    </row>
    <row r="467" spans="1:49" x14ac:dyDescent="0.25">
      <c r="C467" s="3" t="s">
        <v>2940</v>
      </c>
      <c r="D467" s="2" t="s">
        <v>812</v>
      </c>
      <c r="K467">
        <v>1</v>
      </c>
      <c r="R467">
        <v>241</v>
      </c>
      <c r="T467" t="str">
        <f t="shared" si="235"/>
        <v/>
      </c>
      <c r="U467" t="str">
        <f t="shared" si="236"/>
        <v>[466] = {["CAT_ID"] = 241; ["TIER"] = 1; }; -- - The Tournament of the Twins -</v>
      </c>
      <c r="V467" s="1" t="str">
        <f t="shared" si="237"/>
        <v>[466] = {                                           ["TYPE"] = 14;             ["VXP"] =    0; ["LP"] =  0; ["REP"] =    0; ["FACTION"] =  1; ["TIER"] = 1;                      ["NAME"] = { ["EN"] = "- The Tournament of the Twins -"; }; };</v>
      </c>
      <c r="W467">
        <f t="shared" si="238"/>
        <v>466</v>
      </c>
      <c r="X467" t="str">
        <f t="shared" si="239"/>
        <v>[466] = {</v>
      </c>
      <c r="Y467" t="str">
        <f t="shared" si="240"/>
        <v xml:space="preserve">                     </v>
      </c>
      <c r="Z467" t="str">
        <f t="shared" si="241"/>
        <v/>
      </c>
      <c r="AA467" t="str">
        <f t="shared" si="242"/>
        <v xml:space="preserve">["CAT_ID"] = 241; </v>
      </c>
      <c r="AB467" s="1" t="str">
        <f t="shared" si="243"/>
        <v xml:space="preserve">                      </v>
      </c>
      <c r="AC467">
        <f>VLOOKUP(D467,Type!A$2:B$16,2,)</f>
        <v>14</v>
      </c>
      <c r="AD467" t="str">
        <f t="shared" si="244"/>
        <v xml:space="preserve">["TYPE"] = 14; </v>
      </c>
      <c r="AE467" t="str">
        <f>IF(NOT(ISBLANK(E467)),VLOOKUP(E467,Type!D$2:E$6,2,FALSE),"")</f>
        <v/>
      </c>
      <c r="AF467" t="str">
        <f t="shared" si="245"/>
        <v xml:space="preserve">            </v>
      </c>
      <c r="AG467" t="str">
        <f t="shared" si="246"/>
        <v>0</v>
      </c>
      <c r="AH467" t="str">
        <f t="shared" si="247"/>
        <v xml:space="preserve">["VXP"] =    0; </v>
      </c>
      <c r="AI467" t="str">
        <f t="shared" si="248"/>
        <v>0</v>
      </c>
      <c r="AJ467" t="str">
        <f t="shared" si="249"/>
        <v xml:space="preserve">["LP"] =  0; </v>
      </c>
      <c r="AK467" t="str">
        <f t="shared" si="250"/>
        <v>0</v>
      </c>
      <c r="AL467" t="str">
        <f t="shared" si="251"/>
        <v xml:space="preserve">["REP"] =    0; </v>
      </c>
      <c r="AM467">
        <f>IF(LEN(Q467)&gt;0,VLOOKUP(Q467,Faction!A$2:B$77,2,),1)</f>
        <v>1</v>
      </c>
      <c r="AN467" t="str">
        <f t="shared" si="252"/>
        <v xml:space="preserve">["FACTION"] =  1; </v>
      </c>
      <c r="AO467" t="str">
        <f t="shared" si="253"/>
        <v xml:space="preserve">["TIER"] = 1; </v>
      </c>
      <c r="AP467" t="str">
        <f t="shared" si="254"/>
        <v xml:space="preserve">                     </v>
      </c>
      <c r="AQ467" t="str">
        <f t="shared" si="255"/>
        <v/>
      </c>
      <c r="AR467" t="str">
        <f t="shared" si="256"/>
        <v xml:space="preserve">["NAME"] = { ["EN"] = "- The Tournament of the Twins -"; }; </v>
      </c>
      <c r="AS467" t="str">
        <f t="shared" si="257"/>
        <v/>
      </c>
      <c r="AT467" t="str">
        <f t="shared" si="258"/>
        <v/>
      </c>
      <c r="AU467" t="str">
        <f t="shared" si="259"/>
        <v/>
      </c>
      <c r="AV467" t="str">
        <f t="shared" si="260"/>
        <v/>
      </c>
      <c r="AW467" t="str">
        <f t="shared" si="261"/>
        <v>};</v>
      </c>
    </row>
    <row r="468" spans="1:49" x14ac:dyDescent="0.25">
      <c r="A468">
        <v>1879407709</v>
      </c>
      <c r="B468">
        <v>267</v>
      </c>
      <c r="C468" t="s">
        <v>2405</v>
      </c>
      <c r="D468" t="s">
        <v>24</v>
      </c>
      <c r="E468" t="s">
        <v>2324</v>
      </c>
      <c r="F468" t="s">
        <v>2425</v>
      </c>
      <c r="I468" t="s">
        <v>2429</v>
      </c>
      <c r="K468">
        <v>0</v>
      </c>
      <c r="L468">
        <v>1</v>
      </c>
      <c r="O468">
        <v>2000</v>
      </c>
      <c r="T468" t="str">
        <f t="shared" si="235"/>
        <v/>
      </c>
      <c r="U468" t="str">
        <f t="shared" si="236"/>
        <v>[467] = {["ID"] = 1879407709; }; -- The Tournament of the Twins - Exalted Champion of Rivendell</v>
      </c>
      <c r="V468" s="1" t="str">
        <f t="shared" si="237"/>
        <v>[467]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68">
        <f t="shared" si="238"/>
        <v>467</v>
      </c>
      <c r="X468" t="str">
        <f t="shared" si="239"/>
        <v>[467] = {</v>
      </c>
      <c r="Y468" t="str">
        <f t="shared" si="240"/>
        <v xml:space="preserve">["ID"] = 1879407709; </v>
      </c>
      <c r="Z468" t="str">
        <f t="shared" si="241"/>
        <v xml:space="preserve">["ID"] = 1879407709; </v>
      </c>
      <c r="AA468" t="str">
        <f t="shared" si="242"/>
        <v/>
      </c>
      <c r="AB468" s="1" t="str">
        <f t="shared" si="243"/>
        <v xml:space="preserve">["SAVE_INDEX"] = 267; </v>
      </c>
      <c r="AC468">
        <f>VLOOKUP(D468,Type!A$2:B$16,2,)</f>
        <v>12</v>
      </c>
      <c r="AD468" t="str">
        <f t="shared" si="244"/>
        <v xml:space="preserve">["TYPE"] = 12; </v>
      </c>
      <c r="AE468">
        <f>IF(NOT(ISBLANK(E468)),VLOOKUP(E468,Type!D$2:E$6,2,FALSE),"")</f>
        <v>3</v>
      </c>
      <c r="AF468" t="str">
        <f t="shared" si="245"/>
        <v xml:space="preserve">["NA"] = 3; </v>
      </c>
      <c r="AG468" t="str">
        <f t="shared" si="246"/>
        <v>2000</v>
      </c>
      <c r="AH468" t="str">
        <f t="shared" si="247"/>
        <v xml:space="preserve">["VXP"] = 2000; </v>
      </c>
      <c r="AI468" t="str">
        <f t="shared" si="248"/>
        <v>0</v>
      </c>
      <c r="AJ468" t="str">
        <f t="shared" si="249"/>
        <v xml:space="preserve">["LP"] =  0; </v>
      </c>
      <c r="AK468" t="str">
        <f t="shared" si="250"/>
        <v>0</v>
      </c>
      <c r="AL468" t="str">
        <f t="shared" si="251"/>
        <v xml:space="preserve">["REP"] =    0; </v>
      </c>
      <c r="AM468">
        <f>IF(LEN(Q468)&gt;0,VLOOKUP(Q468,Faction!A$2:B$77,2,),1)</f>
        <v>1</v>
      </c>
      <c r="AN468" t="str">
        <f t="shared" si="252"/>
        <v xml:space="preserve">["FACTION"] =  1; </v>
      </c>
      <c r="AO468" t="str">
        <f t="shared" si="253"/>
        <v/>
      </c>
      <c r="AP468" t="str">
        <f t="shared" si="254"/>
        <v xml:space="preserve">["MIN_LVL"] =   "1"; </v>
      </c>
      <c r="AQ468" t="str">
        <f t="shared" si="255"/>
        <v/>
      </c>
      <c r="AR468" t="str">
        <f t="shared" si="256"/>
        <v xml:space="preserve">["NAME"] = { ["EN"] = "The Tournament of the Twins - Exalted Champion of Rivendell"; }; </v>
      </c>
      <c r="AS468" t="str">
        <f t="shared" si="257"/>
        <v/>
      </c>
      <c r="AT468" t="str">
        <f t="shared" si="258"/>
        <v xml:space="preserve">["SUMMARY"] = { ["EN"] = "Earn 22500 Honour by completing Deeds in Eriador"; }; </v>
      </c>
      <c r="AU468" t="str">
        <f t="shared" si="259"/>
        <v xml:space="preserve">["TITLE"] = { ["EN"] = "Exalted Champion of Rivendell"; }; </v>
      </c>
      <c r="AV468" t="str">
        <f t="shared" si="260"/>
        <v/>
      </c>
      <c r="AW468" t="str">
        <f t="shared" si="261"/>
        <v>};</v>
      </c>
    </row>
    <row r="469" spans="1:49" x14ac:dyDescent="0.25">
      <c r="A469">
        <v>1879407711</v>
      </c>
      <c r="B469">
        <v>268</v>
      </c>
      <c r="C469" t="s">
        <v>2407</v>
      </c>
      <c r="D469" t="s">
        <v>24</v>
      </c>
      <c r="E469" t="s">
        <v>2324</v>
      </c>
      <c r="F469" t="s">
        <v>2426</v>
      </c>
      <c r="I469" t="s">
        <v>2430</v>
      </c>
      <c r="K469">
        <v>1</v>
      </c>
      <c r="L469">
        <v>1</v>
      </c>
      <c r="O469">
        <v>2000</v>
      </c>
      <c r="T469" t="str">
        <f t="shared" si="235"/>
        <v>[1879407711] = 1, // The Tournament of the Twins - Champion of Rivendell</v>
      </c>
      <c r="U469" t="str">
        <f t="shared" si="236"/>
        <v>[468] = {["ID"] = 1879407711; ["TIER"] = 1; }; -- The Tournament of the Twins - Champion of Rivendell</v>
      </c>
      <c r="V469" s="1" t="str">
        <f t="shared" si="237"/>
        <v>[468] = {["ID"] = 1879407711; ["SAVE_INDEX"] = 268; ["TYPE"] = 12; ["NA"] = 3; ["VXP"] = 2000; ["LP"] =  0; ["REP"] =    0; ["FACTION"] =  1; ["TIER"] = 1; ["MIN_LVL"] =   "1"; ["NAME"] = { ["EN"] = "The Tournament of the Twins - Champion of Rivendell"; }; ["SUMMARY"] = { ["EN"] = "Earn 20000 Honour by completing Deeds in Eriador"; }; ["TITLE"] = { ["EN"] = "Champion of Rivendell"; }; };</v>
      </c>
      <c r="W469">
        <f t="shared" si="238"/>
        <v>468</v>
      </c>
      <c r="X469" t="str">
        <f t="shared" si="239"/>
        <v>[468] = {</v>
      </c>
      <c r="Y469" t="str">
        <f t="shared" si="240"/>
        <v xml:space="preserve">["ID"] = 1879407711; </v>
      </c>
      <c r="Z469" t="str">
        <f t="shared" si="241"/>
        <v xml:space="preserve">["ID"] = 1879407711; </v>
      </c>
      <c r="AA469" t="str">
        <f t="shared" si="242"/>
        <v/>
      </c>
      <c r="AB469" s="1" t="str">
        <f t="shared" si="243"/>
        <v xml:space="preserve">["SAVE_INDEX"] = 268; </v>
      </c>
      <c r="AC469">
        <f>VLOOKUP(D469,Type!A$2:B$16,2,)</f>
        <v>12</v>
      </c>
      <c r="AD469" t="str">
        <f t="shared" si="244"/>
        <v xml:space="preserve">["TYPE"] = 12; </v>
      </c>
      <c r="AE469">
        <f>IF(NOT(ISBLANK(E469)),VLOOKUP(E469,Type!D$2:E$6,2,FALSE),"")</f>
        <v>3</v>
      </c>
      <c r="AF469" t="str">
        <f t="shared" si="245"/>
        <v xml:space="preserve">["NA"] = 3; </v>
      </c>
      <c r="AG469" t="str">
        <f t="shared" si="246"/>
        <v>2000</v>
      </c>
      <c r="AH469" t="str">
        <f t="shared" si="247"/>
        <v xml:space="preserve">["VXP"] = 2000; </v>
      </c>
      <c r="AI469" t="str">
        <f t="shared" si="248"/>
        <v>0</v>
      </c>
      <c r="AJ469" t="str">
        <f t="shared" si="249"/>
        <v xml:space="preserve">["LP"] =  0; </v>
      </c>
      <c r="AK469" t="str">
        <f t="shared" si="250"/>
        <v>0</v>
      </c>
      <c r="AL469" t="str">
        <f t="shared" si="251"/>
        <v xml:space="preserve">["REP"] =    0; </v>
      </c>
      <c r="AM469">
        <f>IF(LEN(Q469)&gt;0,VLOOKUP(Q469,Faction!A$2:B$77,2,),1)</f>
        <v>1</v>
      </c>
      <c r="AN469" t="str">
        <f t="shared" si="252"/>
        <v xml:space="preserve">["FACTION"] =  1; </v>
      </c>
      <c r="AO469" t="str">
        <f t="shared" si="253"/>
        <v xml:space="preserve">["TIER"] = 1; </v>
      </c>
      <c r="AP469" t="str">
        <f t="shared" si="254"/>
        <v xml:space="preserve">["MIN_LVL"] =   "1"; </v>
      </c>
      <c r="AQ469" t="str">
        <f t="shared" si="255"/>
        <v/>
      </c>
      <c r="AR469" t="str">
        <f t="shared" si="256"/>
        <v xml:space="preserve">["NAME"] = { ["EN"] = "The Tournament of the Twins - Champion of Rivendell"; }; </v>
      </c>
      <c r="AS469" t="str">
        <f t="shared" si="257"/>
        <v/>
      </c>
      <c r="AT469" t="str">
        <f t="shared" si="258"/>
        <v xml:space="preserve">["SUMMARY"] = { ["EN"] = "Earn 20000 Honour by completing Deeds in Eriador"; }; </v>
      </c>
      <c r="AU469" t="str">
        <f t="shared" si="259"/>
        <v xml:space="preserve">["TITLE"] = { ["EN"] = "Champion of Rivendell"; }; </v>
      </c>
      <c r="AV469" t="str">
        <f t="shared" si="260"/>
        <v/>
      </c>
      <c r="AW469" t="str">
        <f t="shared" si="261"/>
        <v>};</v>
      </c>
    </row>
    <row r="470" spans="1:49" x14ac:dyDescent="0.25">
      <c r="A470">
        <v>1879407713</v>
      </c>
      <c r="B470">
        <v>269</v>
      </c>
      <c r="C470" t="s">
        <v>2408</v>
      </c>
      <c r="D470" t="s">
        <v>24</v>
      </c>
      <c r="E470" t="s">
        <v>2324</v>
      </c>
      <c r="I470" t="s">
        <v>2431</v>
      </c>
      <c r="K470">
        <v>2</v>
      </c>
      <c r="L470">
        <v>1</v>
      </c>
      <c r="O470">
        <v>2000</v>
      </c>
      <c r="T470" t="str">
        <f t="shared" si="235"/>
        <v>[1879407713] = 2, // The Tournament of the Twins - Hero's Frame</v>
      </c>
      <c r="U470" t="str">
        <f t="shared" si="236"/>
        <v>[469] = {["ID"] = 1879407713; ["TIER"] = 2; }; -- The Tournament of the Twins - Hero's Frame</v>
      </c>
      <c r="V470" s="1" t="str">
        <f t="shared" si="237"/>
        <v>[469] = {["ID"] = 1879407713; ["SAVE_INDEX"] = 269; ["TYPE"] = 12; ["NA"] = 3; ["VXP"] = 2000; ["LP"] =  0; ["REP"] =    0; ["FACTION"] =  1; ["TIER"] = 2; ["MIN_LVL"] =   "1"; ["NAME"] = { ["EN"] = "The Tournament of the Twins - Hero's Frame"; }; ["SUMMARY"] = { ["EN"] = "Earn 17500 Honour by completing Deeds in Eriador"; }; };</v>
      </c>
      <c r="W470">
        <f t="shared" si="238"/>
        <v>469</v>
      </c>
      <c r="X470" t="str">
        <f t="shared" si="239"/>
        <v>[469] = {</v>
      </c>
      <c r="Y470" t="str">
        <f t="shared" si="240"/>
        <v xml:space="preserve">["ID"] = 1879407713; </v>
      </c>
      <c r="Z470" t="str">
        <f t="shared" si="241"/>
        <v xml:space="preserve">["ID"] = 1879407713; </v>
      </c>
      <c r="AA470" t="str">
        <f t="shared" si="242"/>
        <v/>
      </c>
      <c r="AB470" s="1" t="str">
        <f t="shared" si="243"/>
        <v xml:space="preserve">["SAVE_INDEX"] = 269; </v>
      </c>
      <c r="AC470">
        <f>VLOOKUP(D470,Type!A$2:B$16,2,)</f>
        <v>12</v>
      </c>
      <c r="AD470" t="str">
        <f t="shared" si="244"/>
        <v xml:space="preserve">["TYPE"] = 12; </v>
      </c>
      <c r="AE470">
        <f>IF(NOT(ISBLANK(E470)),VLOOKUP(E470,Type!D$2:E$6,2,FALSE),"")</f>
        <v>3</v>
      </c>
      <c r="AF470" t="str">
        <f t="shared" si="245"/>
        <v xml:space="preserve">["NA"] = 3; </v>
      </c>
      <c r="AG470" t="str">
        <f t="shared" si="246"/>
        <v>2000</v>
      </c>
      <c r="AH470" t="str">
        <f t="shared" si="247"/>
        <v xml:space="preserve">["VXP"] = 2000; </v>
      </c>
      <c r="AI470" t="str">
        <f t="shared" si="248"/>
        <v>0</v>
      </c>
      <c r="AJ470" t="str">
        <f t="shared" si="249"/>
        <v xml:space="preserve">["LP"] =  0; </v>
      </c>
      <c r="AK470" t="str">
        <f t="shared" si="250"/>
        <v>0</v>
      </c>
      <c r="AL470" t="str">
        <f t="shared" si="251"/>
        <v xml:space="preserve">["REP"] =    0; </v>
      </c>
      <c r="AM470">
        <f>IF(LEN(Q470)&gt;0,VLOOKUP(Q470,Faction!A$2:B$77,2,),1)</f>
        <v>1</v>
      </c>
      <c r="AN470" t="str">
        <f t="shared" si="252"/>
        <v xml:space="preserve">["FACTION"] =  1; </v>
      </c>
      <c r="AO470" t="str">
        <f t="shared" si="253"/>
        <v xml:space="preserve">["TIER"] = 2; </v>
      </c>
      <c r="AP470" t="str">
        <f t="shared" si="254"/>
        <v xml:space="preserve">["MIN_LVL"] =   "1"; </v>
      </c>
      <c r="AQ470" t="str">
        <f t="shared" si="255"/>
        <v/>
      </c>
      <c r="AR470" t="str">
        <f t="shared" si="256"/>
        <v xml:space="preserve">["NAME"] = { ["EN"] = "The Tournament of the Twins - Hero's Frame"; }; </v>
      </c>
      <c r="AS470" t="str">
        <f t="shared" si="257"/>
        <v/>
      </c>
      <c r="AT470" t="str">
        <f t="shared" si="258"/>
        <v xml:space="preserve">["SUMMARY"] = { ["EN"] = "Earn 17500 Honour by completing Deeds in Eriador"; }; </v>
      </c>
      <c r="AU470" t="str">
        <f t="shared" si="259"/>
        <v/>
      </c>
      <c r="AV470" t="str">
        <f t="shared" si="260"/>
        <v/>
      </c>
      <c r="AW470" t="str">
        <f t="shared" si="261"/>
        <v>};</v>
      </c>
    </row>
    <row r="471" spans="1:49" x14ac:dyDescent="0.25">
      <c r="A471">
        <v>1879407714</v>
      </c>
      <c r="B471">
        <v>270</v>
      </c>
      <c r="C471" t="s">
        <v>2409</v>
      </c>
      <c r="D471" t="s">
        <v>24</v>
      </c>
      <c r="E471" t="s">
        <v>2324</v>
      </c>
      <c r="F471" t="s">
        <v>2427</v>
      </c>
      <c r="I471" t="s">
        <v>2432</v>
      </c>
      <c r="K471">
        <v>3</v>
      </c>
      <c r="L471">
        <v>1</v>
      </c>
      <c r="O471">
        <v>1000</v>
      </c>
      <c r="T471" t="str">
        <f t="shared" si="235"/>
        <v>[1879407714] = 3, // The Tournament of the Twins - Favoured of Elrond</v>
      </c>
      <c r="U471" t="str">
        <f t="shared" si="236"/>
        <v>[470] = {["ID"] = 1879407714; ["TIER"] = 3; }; -- The Tournament of the Twins - Favoured of Elrond</v>
      </c>
      <c r="V471" s="1" t="str">
        <f t="shared" si="237"/>
        <v>[470] = {["ID"] = 1879407714; ["SAVE_INDEX"] = 270; ["TYPE"] = 12; ["NA"] = 3; ["VXP"] = 1000; ["LP"] =  0; ["REP"] =    0; ["FACTION"] =  1; ["TIER"] = 3; ["MIN_LVL"] =   "1"; ["NAME"] = { ["EN"] = "The Tournament of the Twins - Favoured of Elrond"; }; ["SUMMARY"] = { ["EN"] = "Earn 15000 Honour by completing Deeds in Eriador"; }; ["TITLE"] = { ["EN"] = "Favoured of Elrond"; }; };</v>
      </c>
      <c r="W471">
        <f t="shared" si="238"/>
        <v>470</v>
      </c>
      <c r="X471" t="str">
        <f t="shared" si="239"/>
        <v>[470] = {</v>
      </c>
      <c r="Y471" t="str">
        <f t="shared" si="240"/>
        <v xml:space="preserve">["ID"] = 1879407714; </v>
      </c>
      <c r="Z471" t="str">
        <f t="shared" si="241"/>
        <v xml:space="preserve">["ID"] = 1879407714; </v>
      </c>
      <c r="AA471" t="str">
        <f t="shared" si="242"/>
        <v/>
      </c>
      <c r="AB471" s="1" t="str">
        <f t="shared" si="243"/>
        <v xml:space="preserve">["SAVE_INDEX"] = 270; </v>
      </c>
      <c r="AC471">
        <f>VLOOKUP(D471,Type!A$2:B$16,2,)</f>
        <v>12</v>
      </c>
      <c r="AD471" t="str">
        <f t="shared" si="244"/>
        <v xml:space="preserve">["TYPE"] = 12; </v>
      </c>
      <c r="AE471">
        <f>IF(NOT(ISBLANK(E471)),VLOOKUP(E471,Type!D$2:E$6,2,FALSE),"")</f>
        <v>3</v>
      </c>
      <c r="AF471" t="str">
        <f t="shared" si="245"/>
        <v xml:space="preserve">["NA"] = 3; </v>
      </c>
      <c r="AG471" t="str">
        <f t="shared" si="246"/>
        <v>1000</v>
      </c>
      <c r="AH471" t="str">
        <f t="shared" si="247"/>
        <v xml:space="preserve">["VXP"] = 1000; </v>
      </c>
      <c r="AI471" t="str">
        <f t="shared" si="248"/>
        <v>0</v>
      </c>
      <c r="AJ471" t="str">
        <f t="shared" si="249"/>
        <v xml:space="preserve">["LP"] =  0; </v>
      </c>
      <c r="AK471" t="str">
        <f t="shared" si="250"/>
        <v>0</v>
      </c>
      <c r="AL471" t="str">
        <f t="shared" si="251"/>
        <v xml:space="preserve">["REP"] =    0; </v>
      </c>
      <c r="AM471">
        <f>IF(LEN(Q471)&gt;0,VLOOKUP(Q471,Faction!A$2:B$77,2,),1)</f>
        <v>1</v>
      </c>
      <c r="AN471" t="str">
        <f t="shared" si="252"/>
        <v xml:space="preserve">["FACTION"] =  1; </v>
      </c>
      <c r="AO471" t="str">
        <f t="shared" si="253"/>
        <v xml:space="preserve">["TIER"] = 3; </v>
      </c>
      <c r="AP471" t="str">
        <f t="shared" si="254"/>
        <v xml:space="preserve">["MIN_LVL"] =   "1"; </v>
      </c>
      <c r="AQ471" t="str">
        <f t="shared" si="255"/>
        <v/>
      </c>
      <c r="AR471" t="str">
        <f t="shared" si="256"/>
        <v xml:space="preserve">["NAME"] = { ["EN"] = "The Tournament of the Twins - Favoured of Elrond"; }; </v>
      </c>
      <c r="AS471" t="str">
        <f t="shared" si="257"/>
        <v/>
      </c>
      <c r="AT471" t="str">
        <f t="shared" si="258"/>
        <v xml:space="preserve">["SUMMARY"] = { ["EN"] = "Earn 15000 Honour by completing Deeds in Eriador"; }; </v>
      </c>
      <c r="AU471" t="str">
        <f t="shared" si="259"/>
        <v xml:space="preserve">["TITLE"] = { ["EN"] = "Favoured of Elrond"; }; </v>
      </c>
      <c r="AV471" t="str">
        <f t="shared" si="260"/>
        <v/>
      </c>
      <c r="AW471" t="str">
        <f t="shared" si="261"/>
        <v>};</v>
      </c>
    </row>
    <row r="472" spans="1:49" x14ac:dyDescent="0.25">
      <c r="A472">
        <v>1879407719</v>
      </c>
      <c r="B472">
        <v>271</v>
      </c>
      <c r="C472" t="s">
        <v>2410</v>
      </c>
      <c r="D472" t="s">
        <v>24</v>
      </c>
      <c r="E472" t="s">
        <v>2324</v>
      </c>
      <c r="I472" t="s">
        <v>2433</v>
      </c>
      <c r="K472">
        <v>4</v>
      </c>
      <c r="L472">
        <v>1</v>
      </c>
      <c r="O472">
        <v>1000</v>
      </c>
      <c r="T472" t="str">
        <f t="shared" si="235"/>
        <v>[1879407719] = 4, // The Tournament of the Twins - Gladiator's Frame</v>
      </c>
      <c r="U472" t="str">
        <f t="shared" si="236"/>
        <v>[471] = {["ID"] = 1879407719; ["TIER"] = 4; }; -- The Tournament of the Twins - Gladiator's Frame</v>
      </c>
      <c r="V472" s="1" t="str">
        <f t="shared" si="237"/>
        <v>[471] = {["ID"] = 1879407719; ["SAVE_INDEX"] = 271; ["TYPE"] = 12; ["NA"] = 3; ["VXP"] = 1000; ["LP"] =  0; ["REP"] =    0; ["FACTION"] =  1; ["TIER"] = 4; ["MIN_LVL"] =   "1"; ["NAME"] = { ["EN"] = "The Tournament of the Twins - Gladiator's Frame"; }; ["SUMMARY"] = { ["EN"] = "Earn 12500 Honour by completing Deeds in Eriador"; }; };</v>
      </c>
      <c r="W472">
        <f t="shared" si="238"/>
        <v>471</v>
      </c>
      <c r="X472" t="str">
        <f t="shared" si="239"/>
        <v>[471] = {</v>
      </c>
      <c r="Y472" t="str">
        <f t="shared" si="240"/>
        <v xml:space="preserve">["ID"] = 1879407719; </v>
      </c>
      <c r="Z472" t="str">
        <f t="shared" si="241"/>
        <v xml:space="preserve">["ID"] = 1879407719; </v>
      </c>
      <c r="AA472" t="str">
        <f t="shared" si="242"/>
        <v/>
      </c>
      <c r="AB472" s="1" t="str">
        <f t="shared" si="243"/>
        <v xml:space="preserve">["SAVE_INDEX"] = 271; </v>
      </c>
      <c r="AC472">
        <f>VLOOKUP(D472,Type!A$2:B$16,2,)</f>
        <v>12</v>
      </c>
      <c r="AD472" t="str">
        <f t="shared" si="244"/>
        <v xml:space="preserve">["TYPE"] = 12; </v>
      </c>
      <c r="AE472">
        <f>IF(NOT(ISBLANK(E472)),VLOOKUP(E472,Type!D$2:E$6,2,FALSE),"")</f>
        <v>3</v>
      </c>
      <c r="AF472" t="str">
        <f t="shared" si="245"/>
        <v xml:space="preserve">["NA"] = 3; </v>
      </c>
      <c r="AG472" t="str">
        <f t="shared" si="246"/>
        <v>1000</v>
      </c>
      <c r="AH472" t="str">
        <f t="shared" si="247"/>
        <v xml:space="preserve">["VXP"] = 1000; </v>
      </c>
      <c r="AI472" t="str">
        <f t="shared" si="248"/>
        <v>0</v>
      </c>
      <c r="AJ472" t="str">
        <f t="shared" si="249"/>
        <v xml:space="preserve">["LP"] =  0; </v>
      </c>
      <c r="AK472" t="str">
        <f t="shared" si="250"/>
        <v>0</v>
      </c>
      <c r="AL472" t="str">
        <f t="shared" si="251"/>
        <v xml:space="preserve">["REP"] =    0; </v>
      </c>
      <c r="AM472">
        <f>IF(LEN(Q472)&gt;0,VLOOKUP(Q472,Faction!A$2:B$77,2,),1)</f>
        <v>1</v>
      </c>
      <c r="AN472" t="str">
        <f t="shared" si="252"/>
        <v xml:space="preserve">["FACTION"] =  1; </v>
      </c>
      <c r="AO472" t="str">
        <f t="shared" si="253"/>
        <v xml:space="preserve">["TIER"] = 4; </v>
      </c>
      <c r="AP472" t="str">
        <f t="shared" si="254"/>
        <v xml:space="preserve">["MIN_LVL"] =   "1"; </v>
      </c>
      <c r="AQ472" t="str">
        <f t="shared" si="255"/>
        <v/>
      </c>
      <c r="AR472" t="str">
        <f t="shared" si="256"/>
        <v xml:space="preserve">["NAME"] = { ["EN"] = "The Tournament of the Twins - Gladiator's Frame"; }; </v>
      </c>
      <c r="AS472" t="str">
        <f t="shared" si="257"/>
        <v/>
      </c>
      <c r="AT472" t="str">
        <f t="shared" si="258"/>
        <v xml:space="preserve">["SUMMARY"] = { ["EN"] = "Earn 12500 Honour by completing Deeds in Eriador"; }; </v>
      </c>
      <c r="AU472" t="str">
        <f t="shared" si="259"/>
        <v/>
      </c>
      <c r="AV472" t="str">
        <f t="shared" si="260"/>
        <v/>
      </c>
      <c r="AW472" t="str">
        <f t="shared" si="261"/>
        <v>};</v>
      </c>
    </row>
    <row r="473" spans="1:49" x14ac:dyDescent="0.25">
      <c r="A473">
        <v>1879407720</v>
      </c>
      <c r="B473">
        <v>272</v>
      </c>
      <c r="C473" t="s">
        <v>2411</v>
      </c>
      <c r="D473" t="s">
        <v>24</v>
      </c>
      <c r="E473" t="s">
        <v>2324</v>
      </c>
      <c r="F473" t="s">
        <v>2428</v>
      </c>
      <c r="I473" t="s">
        <v>2434</v>
      </c>
      <c r="K473">
        <v>5</v>
      </c>
      <c r="L473">
        <v>1</v>
      </c>
      <c r="O473">
        <v>1000</v>
      </c>
      <c r="T473" t="str">
        <f t="shared" si="235"/>
        <v>[1879407720] = 5, // The Tournament of the Twins - Herald of Rivendell</v>
      </c>
      <c r="U473" t="str">
        <f t="shared" si="236"/>
        <v>[472] = {["ID"] = 1879407720; ["TIER"] = 5; }; -- The Tournament of the Twins - Herald of Rivendell</v>
      </c>
      <c r="V473" s="1" t="str">
        <f t="shared" si="237"/>
        <v>[472] = {["ID"] = 1879407720; ["SAVE_INDEX"] = 272; ["TYPE"] = 12; ["NA"] = 3; ["VXP"] = 1000; ["LP"] =  0; ["REP"] =    0; ["FACTION"] =  1; ["TIER"] = 5; ["MIN_LVL"] =   "1"; ["NAME"] = { ["EN"] = "The Tournament of the Twins - Herald of Rivendell"; }; ["SUMMARY"] = { ["EN"] = "Earn 10000 Honour by completing Deeds in Eriador"; }; ["TITLE"] = { ["EN"] = "Herald of Rivendell"; }; };</v>
      </c>
      <c r="W473">
        <f t="shared" si="238"/>
        <v>472</v>
      </c>
      <c r="X473" t="str">
        <f t="shared" si="239"/>
        <v>[472] = {</v>
      </c>
      <c r="Y473" t="str">
        <f t="shared" si="240"/>
        <v xml:space="preserve">["ID"] = 1879407720; </v>
      </c>
      <c r="Z473" t="str">
        <f t="shared" si="241"/>
        <v xml:space="preserve">["ID"] = 1879407720; </v>
      </c>
      <c r="AA473" t="str">
        <f t="shared" si="242"/>
        <v/>
      </c>
      <c r="AB473" s="1" t="str">
        <f t="shared" si="243"/>
        <v xml:space="preserve">["SAVE_INDEX"] = 272; </v>
      </c>
      <c r="AC473">
        <f>VLOOKUP(D473,Type!A$2:B$16,2,)</f>
        <v>12</v>
      </c>
      <c r="AD473" t="str">
        <f t="shared" si="244"/>
        <v xml:space="preserve">["TYPE"] = 12; </v>
      </c>
      <c r="AE473">
        <f>IF(NOT(ISBLANK(E473)),VLOOKUP(E473,Type!D$2:E$6,2,FALSE),"")</f>
        <v>3</v>
      </c>
      <c r="AF473" t="str">
        <f t="shared" si="245"/>
        <v xml:space="preserve">["NA"] = 3; </v>
      </c>
      <c r="AG473" t="str">
        <f t="shared" si="246"/>
        <v>1000</v>
      </c>
      <c r="AH473" t="str">
        <f t="shared" si="247"/>
        <v xml:space="preserve">["VXP"] = 1000; </v>
      </c>
      <c r="AI473" t="str">
        <f t="shared" si="248"/>
        <v>0</v>
      </c>
      <c r="AJ473" t="str">
        <f t="shared" si="249"/>
        <v xml:space="preserve">["LP"] =  0; </v>
      </c>
      <c r="AK473" t="str">
        <f t="shared" si="250"/>
        <v>0</v>
      </c>
      <c r="AL473" t="str">
        <f t="shared" si="251"/>
        <v xml:space="preserve">["REP"] =    0; </v>
      </c>
      <c r="AM473">
        <f>IF(LEN(Q473)&gt;0,VLOOKUP(Q473,Faction!A$2:B$77,2,),1)</f>
        <v>1</v>
      </c>
      <c r="AN473" t="str">
        <f t="shared" si="252"/>
        <v xml:space="preserve">["FACTION"] =  1; </v>
      </c>
      <c r="AO473" t="str">
        <f t="shared" si="253"/>
        <v xml:space="preserve">["TIER"] = 5; </v>
      </c>
      <c r="AP473" t="str">
        <f t="shared" si="254"/>
        <v xml:space="preserve">["MIN_LVL"] =   "1"; </v>
      </c>
      <c r="AQ473" t="str">
        <f t="shared" si="255"/>
        <v/>
      </c>
      <c r="AR473" t="str">
        <f t="shared" si="256"/>
        <v xml:space="preserve">["NAME"] = { ["EN"] = "The Tournament of the Twins - Herald of Rivendell"; }; </v>
      </c>
      <c r="AS473" t="str">
        <f t="shared" si="257"/>
        <v/>
      </c>
      <c r="AT473" t="str">
        <f t="shared" si="258"/>
        <v xml:space="preserve">["SUMMARY"] = { ["EN"] = "Earn 10000 Honour by completing Deeds in Eriador"; }; </v>
      </c>
      <c r="AU473" t="str">
        <f t="shared" si="259"/>
        <v xml:space="preserve">["TITLE"] = { ["EN"] = "Herald of Rivendell"; }; </v>
      </c>
      <c r="AV473" t="str">
        <f t="shared" si="260"/>
        <v/>
      </c>
      <c r="AW473" t="str">
        <f t="shared" si="261"/>
        <v>};</v>
      </c>
    </row>
    <row r="474" spans="1:49" x14ac:dyDescent="0.25">
      <c r="A474">
        <v>1879407705</v>
      </c>
      <c r="B474">
        <v>273</v>
      </c>
      <c r="C474" t="s">
        <v>2403</v>
      </c>
      <c r="D474" t="s">
        <v>24</v>
      </c>
      <c r="E474" t="s">
        <v>2324</v>
      </c>
      <c r="I474" t="s">
        <v>2422</v>
      </c>
      <c r="K474">
        <v>6</v>
      </c>
      <c r="L474">
        <v>1</v>
      </c>
      <c r="O474">
        <v>1000</v>
      </c>
      <c r="T474" t="str">
        <f t="shared" si="235"/>
        <v>[1879407705] = 6, // The Tournament of the Twins - Contender's Frame</v>
      </c>
      <c r="U474" t="str">
        <f t="shared" si="236"/>
        <v>[473] = {["ID"] = 1879407705; ["TIER"] = 6; }; -- The Tournament of the Twins - Contender's Frame</v>
      </c>
      <c r="V474" s="1" t="str">
        <f t="shared" si="237"/>
        <v>[473] = {["ID"] = 1879407705; ["SAVE_INDEX"] = 273; ["TYPE"] = 12; ["NA"] = 3; ["VXP"] = 1000; ["LP"] =  0; ["REP"] =    0; ["FACTION"] =  1; ["TIER"] = 6; ["MIN_LVL"] =   "1"; ["NAME"] = { ["EN"] = "The Tournament of the Twins - Contender's Frame"; }; ["SUMMARY"] = { ["EN"] = "Earn 7500 Honour by completing Deeds in Eriador"; }; };</v>
      </c>
      <c r="W474">
        <f t="shared" si="238"/>
        <v>473</v>
      </c>
      <c r="X474" t="str">
        <f t="shared" si="239"/>
        <v>[473] = {</v>
      </c>
      <c r="Y474" t="str">
        <f t="shared" si="240"/>
        <v xml:space="preserve">["ID"] = 1879407705; </v>
      </c>
      <c r="Z474" t="str">
        <f t="shared" si="241"/>
        <v xml:space="preserve">["ID"] = 1879407705; </v>
      </c>
      <c r="AA474" t="str">
        <f t="shared" si="242"/>
        <v/>
      </c>
      <c r="AB474" s="1" t="str">
        <f t="shared" si="243"/>
        <v xml:space="preserve">["SAVE_INDEX"] = 273; </v>
      </c>
      <c r="AC474">
        <f>VLOOKUP(D474,Type!A$2:B$16,2,)</f>
        <v>12</v>
      </c>
      <c r="AD474" t="str">
        <f t="shared" si="244"/>
        <v xml:space="preserve">["TYPE"] = 12; </v>
      </c>
      <c r="AE474">
        <f>IF(NOT(ISBLANK(E474)),VLOOKUP(E474,Type!D$2:E$6,2,FALSE),"")</f>
        <v>3</v>
      </c>
      <c r="AF474" t="str">
        <f t="shared" si="245"/>
        <v xml:space="preserve">["NA"] = 3; </v>
      </c>
      <c r="AG474" t="str">
        <f t="shared" si="246"/>
        <v>1000</v>
      </c>
      <c r="AH474" t="str">
        <f t="shared" si="247"/>
        <v xml:space="preserve">["VXP"] = 1000; </v>
      </c>
      <c r="AI474" t="str">
        <f t="shared" si="248"/>
        <v>0</v>
      </c>
      <c r="AJ474" t="str">
        <f t="shared" si="249"/>
        <v xml:space="preserve">["LP"] =  0; </v>
      </c>
      <c r="AK474" t="str">
        <f t="shared" si="250"/>
        <v>0</v>
      </c>
      <c r="AL474" t="str">
        <f t="shared" si="251"/>
        <v xml:space="preserve">["REP"] =    0; </v>
      </c>
      <c r="AM474">
        <f>IF(LEN(Q474)&gt;0,VLOOKUP(Q474,Faction!A$2:B$77,2,),1)</f>
        <v>1</v>
      </c>
      <c r="AN474" t="str">
        <f t="shared" si="252"/>
        <v xml:space="preserve">["FACTION"] =  1; </v>
      </c>
      <c r="AO474" t="str">
        <f t="shared" si="253"/>
        <v xml:space="preserve">["TIER"] = 6; </v>
      </c>
      <c r="AP474" t="str">
        <f t="shared" si="254"/>
        <v xml:space="preserve">["MIN_LVL"] =   "1"; </v>
      </c>
      <c r="AQ474" t="str">
        <f t="shared" si="255"/>
        <v/>
      </c>
      <c r="AR474" t="str">
        <f t="shared" si="256"/>
        <v xml:space="preserve">["NAME"] = { ["EN"] = "The Tournament of the Twins - Contender's Frame"; }; </v>
      </c>
      <c r="AS474" t="str">
        <f t="shared" si="257"/>
        <v/>
      </c>
      <c r="AT474" t="str">
        <f t="shared" si="258"/>
        <v xml:space="preserve">["SUMMARY"] = { ["EN"] = "Earn 7500 Honour by completing Deeds in Eriador"; }; </v>
      </c>
      <c r="AU474" t="str">
        <f t="shared" si="259"/>
        <v/>
      </c>
      <c r="AV474" t="str">
        <f t="shared" si="260"/>
        <v/>
      </c>
      <c r="AW474" t="str">
        <f t="shared" si="261"/>
        <v>};</v>
      </c>
    </row>
    <row r="475" spans="1:49" x14ac:dyDescent="0.25">
      <c r="A475">
        <v>1879407706</v>
      </c>
      <c r="B475">
        <v>274</v>
      </c>
      <c r="C475" t="s">
        <v>2404</v>
      </c>
      <c r="D475" t="s">
        <v>24</v>
      </c>
      <c r="E475" t="s">
        <v>2324</v>
      </c>
      <c r="F475" t="s">
        <v>2424</v>
      </c>
      <c r="I475" t="s">
        <v>2423</v>
      </c>
      <c r="K475">
        <v>7</v>
      </c>
      <c r="L475">
        <v>1</v>
      </c>
      <c r="O475">
        <v>1000</v>
      </c>
      <c r="T475" t="str">
        <f t="shared" si="235"/>
        <v>[1879407706] = 7, // The Tournament of the Twins - Honourable Contender</v>
      </c>
      <c r="U475" t="str">
        <f t="shared" si="236"/>
        <v>[474] = {["ID"] = 1879407706; ["TIER"] = 7; }; -- The Tournament of the Twins - Honourable Contender</v>
      </c>
      <c r="V475" s="1" t="str">
        <f t="shared" si="237"/>
        <v>[474] = {["ID"] = 1879407706; ["SAVE_INDEX"] = 274; ["TYPE"] = 12; ["NA"] = 3; ["VXP"] = 1000; ["LP"] =  0; ["REP"] =    0; ["FACTION"] =  1; ["TIER"] = 7; ["MIN_LVL"] =   "1"; ["NAME"] = { ["EN"] = "The Tournament of the Twins - Honourable Contender"; }; ["SUMMARY"] = { ["EN"] = "Earn 5000 Honour by completing Deeds in Eriador"; }; ["TITLE"] = { ["EN"] = "Honourable Contender"; }; };</v>
      </c>
      <c r="W475">
        <f t="shared" si="238"/>
        <v>474</v>
      </c>
      <c r="X475" t="str">
        <f t="shared" si="239"/>
        <v>[474] = {</v>
      </c>
      <c r="Y475" t="str">
        <f t="shared" si="240"/>
        <v xml:space="preserve">["ID"] = 1879407706; </v>
      </c>
      <c r="Z475" t="str">
        <f t="shared" si="241"/>
        <v xml:space="preserve">["ID"] = 1879407706; </v>
      </c>
      <c r="AA475" t="str">
        <f t="shared" si="242"/>
        <v/>
      </c>
      <c r="AB475" s="1" t="str">
        <f t="shared" si="243"/>
        <v xml:space="preserve">["SAVE_INDEX"] = 274; </v>
      </c>
      <c r="AC475">
        <f>VLOOKUP(D475,Type!A$2:B$16,2,)</f>
        <v>12</v>
      </c>
      <c r="AD475" t="str">
        <f t="shared" si="244"/>
        <v xml:space="preserve">["TYPE"] = 12; </v>
      </c>
      <c r="AE475">
        <f>IF(NOT(ISBLANK(E475)),VLOOKUP(E475,Type!D$2:E$6,2,FALSE),"")</f>
        <v>3</v>
      </c>
      <c r="AF475" t="str">
        <f t="shared" si="245"/>
        <v xml:space="preserve">["NA"] = 3; </v>
      </c>
      <c r="AG475" t="str">
        <f t="shared" si="246"/>
        <v>1000</v>
      </c>
      <c r="AH475" t="str">
        <f t="shared" si="247"/>
        <v xml:space="preserve">["VXP"] = 1000; </v>
      </c>
      <c r="AI475" t="str">
        <f t="shared" si="248"/>
        <v>0</v>
      </c>
      <c r="AJ475" t="str">
        <f t="shared" si="249"/>
        <v xml:space="preserve">["LP"] =  0; </v>
      </c>
      <c r="AK475" t="str">
        <f t="shared" si="250"/>
        <v>0</v>
      </c>
      <c r="AL475" t="str">
        <f t="shared" si="251"/>
        <v xml:space="preserve">["REP"] =    0; </v>
      </c>
      <c r="AM475">
        <f>IF(LEN(Q475)&gt;0,VLOOKUP(Q475,Faction!A$2:B$77,2,),1)</f>
        <v>1</v>
      </c>
      <c r="AN475" t="str">
        <f t="shared" si="252"/>
        <v xml:space="preserve">["FACTION"] =  1; </v>
      </c>
      <c r="AO475" t="str">
        <f t="shared" si="253"/>
        <v xml:space="preserve">["TIER"] = 7; </v>
      </c>
      <c r="AP475" t="str">
        <f t="shared" si="254"/>
        <v xml:space="preserve">["MIN_LVL"] =   "1"; </v>
      </c>
      <c r="AQ475" t="str">
        <f t="shared" si="255"/>
        <v/>
      </c>
      <c r="AR475" t="str">
        <f t="shared" si="256"/>
        <v xml:space="preserve">["NAME"] = { ["EN"] = "The Tournament of the Twins - Honourable Contender"; }; </v>
      </c>
      <c r="AS475" t="str">
        <f t="shared" si="257"/>
        <v/>
      </c>
      <c r="AT475" t="str">
        <f t="shared" si="258"/>
        <v xml:space="preserve">["SUMMARY"] = { ["EN"] = "Earn 5000 Honour by completing Deeds in Eriador"; }; </v>
      </c>
      <c r="AU475" t="str">
        <f t="shared" si="259"/>
        <v xml:space="preserve">["TITLE"] = { ["EN"] = "Honourable Contender"; }; </v>
      </c>
      <c r="AV475" t="str">
        <f t="shared" si="260"/>
        <v/>
      </c>
      <c r="AW475" t="str">
        <f t="shared" si="261"/>
        <v>};</v>
      </c>
    </row>
    <row r="476" spans="1:49" x14ac:dyDescent="0.25">
      <c r="A476">
        <v>1879407675</v>
      </c>
      <c r="B476">
        <v>275</v>
      </c>
      <c r="C476" t="s">
        <v>2402</v>
      </c>
      <c r="D476" t="s">
        <v>24</v>
      </c>
      <c r="E476" t="s">
        <v>2324</v>
      </c>
      <c r="I476" t="s">
        <v>2435</v>
      </c>
      <c r="K476">
        <v>0</v>
      </c>
      <c r="L476">
        <v>1</v>
      </c>
      <c r="T476" t="str">
        <f t="shared" si="235"/>
        <v/>
      </c>
      <c r="U476" t="str">
        <f t="shared" si="236"/>
        <v>[475] = {["ID"] = 1879407675; }; -- The Tournament of the Twins - The Cloak of Elrohir</v>
      </c>
      <c r="V476" s="1" t="str">
        <f t="shared" si="237"/>
        <v>[475] = {["ID"] = 1879407675; ["SAVE_INDEX"] = 275; ["TYPE"] = 12; ["NA"] = 3; ["VXP"] =    0; ["LP"] =  0; ["REP"] =    0; ["FACTION"] =  1; ["MIN_LVL"] =   "1"; ["NAME"] = { ["EN"] = "The Tournament of the Twins - The Cloak of Elrohir"; }; ["SUMMARY"] = { ["EN"] = "Earn 2500 Honour by completing Deeds in Eriador for Elrohir"; }; };</v>
      </c>
      <c r="W476">
        <f t="shared" si="238"/>
        <v>475</v>
      </c>
      <c r="X476" t="str">
        <f t="shared" si="239"/>
        <v>[475] = {</v>
      </c>
      <c r="Y476" t="str">
        <f t="shared" si="240"/>
        <v xml:space="preserve">["ID"] = 1879407675; </v>
      </c>
      <c r="Z476" t="str">
        <f t="shared" si="241"/>
        <v xml:space="preserve">["ID"] = 1879407675; </v>
      </c>
      <c r="AA476" t="str">
        <f t="shared" si="242"/>
        <v/>
      </c>
      <c r="AB476" s="1" t="str">
        <f t="shared" si="243"/>
        <v xml:space="preserve">["SAVE_INDEX"] = 275; </v>
      </c>
      <c r="AC476">
        <f>VLOOKUP(D476,Type!A$2:B$16,2,)</f>
        <v>12</v>
      </c>
      <c r="AD476" t="str">
        <f t="shared" si="244"/>
        <v xml:space="preserve">["TYPE"] = 12; </v>
      </c>
      <c r="AE476">
        <f>IF(NOT(ISBLANK(E476)),VLOOKUP(E476,Type!D$2:E$6,2,FALSE),"")</f>
        <v>3</v>
      </c>
      <c r="AF476" t="str">
        <f t="shared" si="245"/>
        <v xml:space="preserve">["NA"] = 3; </v>
      </c>
      <c r="AG476" t="str">
        <f t="shared" si="246"/>
        <v>0</v>
      </c>
      <c r="AH476" t="str">
        <f t="shared" si="247"/>
        <v xml:space="preserve">["VXP"] =    0; </v>
      </c>
      <c r="AI476" t="str">
        <f t="shared" si="248"/>
        <v>0</v>
      </c>
      <c r="AJ476" t="str">
        <f t="shared" si="249"/>
        <v xml:space="preserve">["LP"] =  0; </v>
      </c>
      <c r="AK476" t="str">
        <f t="shared" si="250"/>
        <v>0</v>
      </c>
      <c r="AL476" t="str">
        <f t="shared" si="251"/>
        <v xml:space="preserve">["REP"] =    0; </v>
      </c>
      <c r="AM476">
        <f>IF(LEN(Q476)&gt;0,VLOOKUP(Q476,Faction!A$2:B$77,2,),1)</f>
        <v>1</v>
      </c>
      <c r="AN476" t="str">
        <f t="shared" si="252"/>
        <v xml:space="preserve">["FACTION"] =  1; </v>
      </c>
      <c r="AO476" t="str">
        <f t="shared" si="253"/>
        <v/>
      </c>
      <c r="AP476" t="str">
        <f t="shared" si="254"/>
        <v xml:space="preserve">["MIN_LVL"] =   "1"; </v>
      </c>
      <c r="AQ476" t="str">
        <f t="shared" si="255"/>
        <v/>
      </c>
      <c r="AR476" t="str">
        <f t="shared" si="256"/>
        <v xml:space="preserve">["NAME"] = { ["EN"] = "The Tournament of the Twins - The Cloak of Elrohir"; }; </v>
      </c>
      <c r="AS476" t="str">
        <f t="shared" si="257"/>
        <v/>
      </c>
      <c r="AT476" t="str">
        <f t="shared" si="258"/>
        <v xml:space="preserve">["SUMMARY"] = { ["EN"] = "Earn 2500 Honour by completing Deeds in Eriador for Elrohir"; }; </v>
      </c>
      <c r="AU476" t="str">
        <f t="shared" si="259"/>
        <v/>
      </c>
      <c r="AV476" t="str">
        <f t="shared" si="260"/>
        <v/>
      </c>
      <c r="AW476" t="str">
        <f t="shared" si="261"/>
        <v>};</v>
      </c>
    </row>
    <row r="477" spans="1:49" x14ac:dyDescent="0.25">
      <c r="A477">
        <v>1879407710</v>
      </c>
      <c r="B477">
        <v>276</v>
      </c>
      <c r="C477" t="s">
        <v>2406</v>
      </c>
      <c r="D477" t="s">
        <v>24</v>
      </c>
      <c r="E477" t="s">
        <v>2324</v>
      </c>
      <c r="I477" t="s">
        <v>2436</v>
      </c>
      <c r="K477">
        <v>0</v>
      </c>
      <c r="L477">
        <v>1</v>
      </c>
      <c r="T477" t="str">
        <f t="shared" si="235"/>
        <v/>
      </c>
      <c r="U477" t="str">
        <f t="shared" si="236"/>
        <v>[476] = {["ID"] = 1879407710; }; -- The Tournament of the Twins - The Cloak of Elladan</v>
      </c>
      <c r="V477" s="1" t="str">
        <f t="shared" si="237"/>
        <v>[476] = {["ID"] = 1879407710; ["SAVE_INDEX"] = 276; ["TYPE"] = 12; ["NA"] = 3; ["VXP"] =    0; ["LP"] =  0; ["REP"] =    0; ["FACTION"] =  1; ["MIN_LVL"] =   "1"; ["NAME"] = { ["EN"] = "The Tournament of the Twins - The Cloak of Elladan"; }; ["SUMMARY"] = { ["EN"] = "Earn 2500 Honour by completing Deeds in Eriador for Elladan"; }; };</v>
      </c>
      <c r="W477">
        <f t="shared" si="238"/>
        <v>476</v>
      </c>
      <c r="X477" t="str">
        <f t="shared" si="239"/>
        <v>[476] = {</v>
      </c>
      <c r="Y477" t="str">
        <f t="shared" si="240"/>
        <v xml:space="preserve">["ID"] = 1879407710; </v>
      </c>
      <c r="Z477" t="str">
        <f t="shared" si="241"/>
        <v xml:space="preserve">["ID"] = 1879407710; </v>
      </c>
      <c r="AA477" t="str">
        <f t="shared" si="242"/>
        <v/>
      </c>
      <c r="AB477" s="1" t="str">
        <f t="shared" si="243"/>
        <v xml:space="preserve">["SAVE_INDEX"] = 276; </v>
      </c>
      <c r="AC477">
        <f>VLOOKUP(D477,Type!A$2:B$16,2,)</f>
        <v>12</v>
      </c>
      <c r="AD477" t="str">
        <f t="shared" si="244"/>
        <v xml:space="preserve">["TYPE"] = 12; </v>
      </c>
      <c r="AE477">
        <f>IF(NOT(ISBLANK(E477)),VLOOKUP(E477,Type!D$2:E$6,2,FALSE),"")</f>
        <v>3</v>
      </c>
      <c r="AF477" t="str">
        <f t="shared" si="245"/>
        <v xml:space="preserve">["NA"] = 3; </v>
      </c>
      <c r="AG477" t="str">
        <f t="shared" si="246"/>
        <v>0</v>
      </c>
      <c r="AH477" t="str">
        <f t="shared" si="247"/>
        <v xml:space="preserve">["VXP"] =    0; </v>
      </c>
      <c r="AI477" t="str">
        <f t="shared" si="248"/>
        <v>0</v>
      </c>
      <c r="AJ477" t="str">
        <f t="shared" si="249"/>
        <v xml:space="preserve">["LP"] =  0; </v>
      </c>
      <c r="AK477" t="str">
        <f t="shared" si="250"/>
        <v>0</v>
      </c>
      <c r="AL477" t="str">
        <f t="shared" si="251"/>
        <v xml:space="preserve">["REP"] =    0; </v>
      </c>
      <c r="AM477">
        <f>IF(LEN(Q477)&gt;0,VLOOKUP(Q477,Faction!A$2:B$77,2,),1)</f>
        <v>1</v>
      </c>
      <c r="AN477" t="str">
        <f t="shared" si="252"/>
        <v xml:space="preserve">["FACTION"] =  1; </v>
      </c>
      <c r="AO477" t="str">
        <f t="shared" si="253"/>
        <v/>
      </c>
      <c r="AP477" t="str">
        <f t="shared" si="254"/>
        <v xml:space="preserve">["MIN_LVL"] =   "1"; </v>
      </c>
      <c r="AQ477" t="str">
        <f t="shared" si="255"/>
        <v/>
      </c>
      <c r="AR477" t="str">
        <f t="shared" si="256"/>
        <v xml:space="preserve">["NAME"] = { ["EN"] = "The Tournament of the Twins - The Cloak of Elladan"; }; </v>
      </c>
      <c r="AS477" t="str">
        <f t="shared" si="257"/>
        <v/>
      </c>
      <c r="AT477" t="str">
        <f t="shared" si="258"/>
        <v xml:space="preserve">["SUMMARY"] = { ["EN"] = "Earn 2500 Honour by completing Deeds in Eriador for Elladan"; }; </v>
      </c>
      <c r="AU477" t="str">
        <f t="shared" si="259"/>
        <v/>
      </c>
      <c r="AV477" t="str">
        <f t="shared" si="260"/>
        <v/>
      </c>
      <c r="AW477" t="str">
        <f t="shared" si="261"/>
        <v>};</v>
      </c>
    </row>
    <row r="478" spans="1:49" x14ac:dyDescent="0.25">
      <c r="C478" s="3" t="s">
        <v>2941</v>
      </c>
      <c r="D478" s="2" t="s">
        <v>812</v>
      </c>
      <c r="E478" s="2"/>
      <c r="K478">
        <v>1</v>
      </c>
      <c r="R478">
        <v>242</v>
      </c>
      <c r="T478" t="str">
        <f t="shared" si="235"/>
        <v/>
      </c>
      <c r="U478" t="str">
        <f t="shared" si="236"/>
        <v>[477] = {["CAT_ID"] = 242; ["TIER"] = 1; }; -- - Townsfolk of the Eastfold -</v>
      </c>
      <c r="V478" s="1" t="str">
        <f t="shared" si="237"/>
        <v>[477] = {                                           ["TYPE"] = 14;             ["VXP"] =    0; ["LP"] =  0; ["REP"] =    0; ["FACTION"] =  1; ["TIER"] = 1;                      ["NAME"] = { ["EN"] = "- Townsfolk of the Eastfold -"; }; };</v>
      </c>
      <c r="W478">
        <f t="shared" si="238"/>
        <v>477</v>
      </c>
      <c r="X478" t="str">
        <f t="shared" si="239"/>
        <v>[477] = {</v>
      </c>
      <c r="Y478" t="str">
        <f t="shared" si="240"/>
        <v xml:space="preserve">                     </v>
      </c>
      <c r="Z478" t="str">
        <f t="shared" si="241"/>
        <v/>
      </c>
      <c r="AA478" t="str">
        <f t="shared" si="242"/>
        <v xml:space="preserve">["CAT_ID"] = 242; </v>
      </c>
      <c r="AB478" s="1" t="str">
        <f t="shared" si="243"/>
        <v xml:space="preserve">                      </v>
      </c>
      <c r="AC478">
        <f>VLOOKUP(D478,Type!A$2:B$16,2,)</f>
        <v>14</v>
      </c>
      <c r="AD478" t="str">
        <f t="shared" si="244"/>
        <v xml:space="preserve">["TYPE"] = 14; </v>
      </c>
      <c r="AE478" t="str">
        <f>IF(NOT(ISBLANK(E478)),VLOOKUP(E478,Type!D$2:E$6,2,FALSE),"")</f>
        <v/>
      </c>
      <c r="AF478" t="str">
        <f t="shared" si="245"/>
        <v xml:space="preserve">            </v>
      </c>
      <c r="AG478" t="str">
        <f t="shared" si="246"/>
        <v>0</v>
      </c>
      <c r="AH478" t="str">
        <f t="shared" si="247"/>
        <v xml:space="preserve">["VXP"] =    0; </v>
      </c>
      <c r="AI478" t="str">
        <f t="shared" si="248"/>
        <v>0</v>
      </c>
      <c r="AJ478" t="str">
        <f t="shared" si="249"/>
        <v xml:space="preserve">["LP"] =  0; </v>
      </c>
      <c r="AK478" t="str">
        <f t="shared" si="250"/>
        <v>0</v>
      </c>
      <c r="AL478" t="str">
        <f t="shared" si="251"/>
        <v xml:space="preserve">["REP"] =    0; </v>
      </c>
      <c r="AM478">
        <f>IF(LEN(Q478)&gt;0,VLOOKUP(Q478,Faction!A$2:B$77,2,),1)</f>
        <v>1</v>
      </c>
      <c r="AN478" t="str">
        <f t="shared" si="252"/>
        <v xml:space="preserve">["FACTION"] =  1; </v>
      </c>
      <c r="AO478" t="str">
        <f t="shared" si="253"/>
        <v xml:space="preserve">["TIER"] = 1; </v>
      </c>
      <c r="AP478" t="str">
        <f t="shared" si="254"/>
        <v xml:space="preserve">                     </v>
      </c>
      <c r="AQ478" t="str">
        <f t="shared" si="255"/>
        <v/>
      </c>
      <c r="AR478" t="str">
        <f t="shared" si="256"/>
        <v xml:space="preserve">["NAME"] = { ["EN"] = "- Townsfolk of the Eastfold -"; }; </v>
      </c>
      <c r="AS478" t="str">
        <f t="shared" si="257"/>
        <v/>
      </c>
      <c r="AT478" t="str">
        <f t="shared" si="258"/>
        <v/>
      </c>
      <c r="AU478" t="str">
        <f t="shared" si="259"/>
        <v/>
      </c>
      <c r="AV478" t="str">
        <f t="shared" si="260"/>
        <v/>
      </c>
      <c r="AW478" t="str">
        <f t="shared" si="261"/>
        <v>};</v>
      </c>
    </row>
    <row r="479" spans="1:49" x14ac:dyDescent="0.25">
      <c r="A479">
        <v>1879400834</v>
      </c>
      <c r="B479">
        <v>105</v>
      </c>
      <c r="C479" t="s">
        <v>1413</v>
      </c>
      <c r="D479" t="s">
        <v>30</v>
      </c>
      <c r="E479" t="s">
        <v>2326</v>
      </c>
      <c r="F479" t="s">
        <v>3531</v>
      </c>
      <c r="I479" t="s">
        <v>1190</v>
      </c>
      <c r="J479" t="s">
        <v>1458</v>
      </c>
      <c r="K479">
        <v>0</v>
      </c>
      <c r="T479" t="str">
        <f t="shared" si="235"/>
        <v/>
      </c>
      <c r="U479" t="str">
        <f t="shared" si="236"/>
        <v>[478] = {["ID"] = 1879400834; }; -- Kindred with the Townsfolk of the Eastfold Neighbourhoods</v>
      </c>
      <c r="V479" s="1" t="str">
        <f t="shared" si="237"/>
        <v>[478]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79">
        <f t="shared" si="238"/>
        <v>478</v>
      </c>
      <c r="X479" t="str">
        <f t="shared" si="239"/>
        <v>[478] = {</v>
      </c>
      <c r="Y479" t="str">
        <f t="shared" si="240"/>
        <v xml:space="preserve">["ID"] = 1879400834; </v>
      </c>
      <c r="Z479" t="str">
        <f t="shared" si="241"/>
        <v xml:space="preserve">["ID"] = 1879400834; </v>
      </c>
      <c r="AA479" t="str">
        <f t="shared" si="242"/>
        <v/>
      </c>
      <c r="AB479" s="1" t="str">
        <f t="shared" si="243"/>
        <v xml:space="preserve">["SAVE_INDEX"] = 105; </v>
      </c>
      <c r="AC479">
        <f>VLOOKUP(D479,Type!A$2:B$16,2,)</f>
        <v>7</v>
      </c>
      <c r="AD479" t="str">
        <f t="shared" si="244"/>
        <v xml:space="preserve">["TYPE"] =  7; </v>
      </c>
      <c r="AE479">
        <f>IF(NOT(ISBLANK(E479)),VLOOKUP(E479,Type!D$2:E$6,2,FALSE),"")</f>
        <v>5</v>
      </c>
      <c r="AF479" t="str">
        <f t="shared" si="245"/>
        <v xml:space="preserve">["NA"] = 5; </v>
      </c>
      <c r="AG479" t="str">
        <f t="shared" si="246"/>
        <v>0</v>
      </c>
      <c r="AH479" t="str">
        <f t="shared" si="247"/>
        <v xml:space="preserve">["VXP"] =    0; </v>
      </c>
      <c r="AI479" t="str">
        <f t="shared" si="248"/>
        <v>0</v>
      </c>
      <c r="AJ479" t="str">
        <f t="shared" si="249"/>
        <v xml:space="preserve">["LP"] =  0; </v>
      </c>
      <c r="AK479" t="str">
        <f t="shared" si="250"/>
        <v>0</v>
      </c>
      <c r="AL479" t="str">
        <f t="shared" si="251"/>
        <v xml:space="preserve">["REP"] =    0; </v>
      </c>
      <c r="AM479">
        <f>IF(LEN(Q479)&gt;0,VLOOKUP(Q479,Faction!A$2:B$77,2,),1)</f>
        <v>1</v>
      </c>
      <c r="AN479" t="str">
        <f t="shared" si="252"/>
        <v xml:space="preserve">["FACTION"] =  1; </v>
      </c>
      <c r="AO479" t="str">
        <f t="shared" si="253"/>
        <v/>
      </c>
      <c r="AP479" t="str">
        <f t="shared" si="254"/>
        <v xml:space="preserve">                     </v>
      </c>
      <c r="AQ479" t="str">
        <f t="shared" si="255"/>
        <v/>
      </c>
      <c r="AR479" t="str">
        <f t="shared" si="256"/>
        <v xml:space="preserve">["NAME"] = { ["EN"] = "Kindred with the Townsfolk of the Eastfold Neighbourhoods"; }; </v>
      </c>
      <c r="AS479" t="str">
        <f t="shared" si="257"/>
        <v xml:space="preserve">["LORE"] = { ["EN"] = "The Townsfolk of the Eastfold Neighbourhoods consider you to be one of the post important members of the community. You are a kindred soul and an upstanding citizen."; }; </v>
      </c>
      <c r="AT479" t="str">
        <f t="shared" si="258"/>
        <v xml:space="preserve">["SUMMARY"] = { ["EN"] = "Gain 10000 reputation"; }; </v>
      </c>
      <c r="AU479" t="str">
        <f t="shared" si="259"/>
        <v xml:space="preserve">["TITLE"] = { ["EN"] = "the Mighty Neighbourly"; }; </v>
      </c>
      <c r="AV479" t="str">
        <f t="shared" si="260"/>
        <v/>
      </c>
      <c r="AW479" t="str">
        <f t="shared" si="261"/>
        <v>};</v>
      </c>
    </row>
    <row r="480" spans="1:49" x14ac:dyDescent="0.25">
      <c r="A480">
        <v>1879400836</v>
      </c>
      <c r="B480">
        <v>106</v>
      </c>
      <c r="C480" t="s">
        <v>1411</v>
      </c>
      <c r="D480" t="s">
        <v>30</v>
      </c>
      <c r="E480" t="s">
        <v>2326</v>
      </c>
      <c r="I480" t="s">
        <v>1407</v>
      </c>
      <c r="J480" t="s">
        <v>1412</v>
      </c>
      <c r="K480">
        <v>1</v>
      </c>
      <c r="T480" t="str">
        <f t="shared" si="235"/>
        <v>[1879400836] = 1, // Ally to the Townsfolk of the Eastfold Neighbourhoods</v>
      </c>
      <c r="U480" t="str">
        <f t="shared" si="236"/>
        <v>[479] = {["ID"] = 1879400836; ["TIER"] = 1; }; -- Ally to the Townsfolk of the Eastfold Neighbourhoods</v>
      </c>
      <c r="V480" s="1" t="str">
        <f t="shared" si="237"/>
        <v>[479]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80">
        <f t="shared" si="238"/>
        <v>479</v>
      </c>
      <c r="X480" t="str">
        <f t="shared" si="239"/>
        <v>[479] = {</v>
      </c>
      <c r="Y480" t="str">
        <f t="shared" si="240"/>
        <v xml:space="preserve">["ID"] = 1879400836; </v>
      </c>
      <c r="Z480" t="str">
        <f t="shared" si="241"/>
        <v xml:space="preserve">["ID"] = 1879400836; </v>
      </c>
      <c r="AA480" t="str">
        <f t="shared" si="242"/>
        <v/>
      </c>
      <c r="AB480" s="1" t="str">
        <f t="shared" si="243"/>
        <v xml:space="preserve">["SAVE_INDEX"] = 106; </v>
      </c>
      <c r="AC480">
        <f>VLOOKUP(D480,Type!A$2:B$16,2,)</f>
        <v>7</v>
      </c>
      <c r="AD480" t="str">
        <f t="shared" si="244"/>
        <v xml:space="preserve">["TYPE"] =  7; </v>
      </c>
      <c r="AE480">
        <f>IF(NOT(ISBLANK(E480)),VLOOKUP(E480,Type!D$2:E$6,2,FALSE),"")</f>
        <v>5</v>
      </c>
      <c r="AF480" t="str">
        <f t="shared" si="245"/>
        <v xml:space="preserve">["NA"] = 5; </v>
      </c>
      <c r="AG480" t="str">
        <f t="shared" si="246"/>
        <v>0</v>
      </c>
      <c r="AH480" t="str">
        <f t="shared" si="247"/>
        <v xml:space="preserve">["VXP"] =    0; </v>
      </c>
      <c r="AI480" t="str">
        <f t="shared" si="248"/>
        <v>0</v>
      </c>
      <c r="AJ480" t="str">
        <f t="shared" si="249"/>
        <v xml:space="preserve">["LP"] =  0; </v>
      </c>
      <c r="AK480" t="str">
        <f t="shared" si="250"/>
        <v>0</v>
      </c>
      <c r="AL480" t="str">
        <f t="shared" si="251"/>
        <v xml:space="preserve">["REP"] =    0; </v>
      </c>
      <c r="AM480">
        <f>IF(LEN(Q480)&gt;0,VLOOKUP(Q480,Faction!A$2:B$77,2,),1)</f>
        <v>1</v>
      </c>
      <c r="AN480" t="str">
        <f t="shared" si="252"/>
        <v xml:space="preserve">["FACTION"] =  1; </v>
      </c>
      <c r="AO480" t="str">
        <f t="shared" si="253"/>
        <v xml:space="preserve">["TIER"] = 1; </v>
      </c>
      <c r="AP480" t="str">
        <f t="shared" si="254"/>
        <v xml:space="preserve">                     </v>
      </c>
      <c r="AQ480" t="str">
        <f t="shared" si="255"/>
        <v/>
      </c>
      <c r="AR480" t="str">
        <f t="shared" si="256"/>
        <v xml:space="preserve">["NAME"] = { ["EN"] = "Ally to the Townsfolk of the Eastfold Neighbourhoods"; }; </v>
      </c>
      <c r="AS480" t="str">
        <f t="shared" si="257"/>
        <v xml:space="preserve">["LORE"] = { ["EN"] = "Your continued loyalty to the Eastfold neighbourhoods endears you to the community there."; }; </v>
      </c>
      <c r="AT480" t="str">
        <f t="shared" si="258"/>
        <v xml:space="preserve">["SUMMARY"] = { ["EN"] = "Gain 8000 reputation"; }; </v>
      </c>
      <c r="AU480" t="str">
        <f t="shared" si="259"/>
        <v/>
      </c>
      <c r="AV480" t="str">
        <f t="shared" si="260"/>
        <v/>
      </c>
      <c r="AW480" t="str">
        <f t="shared" si="261"/>
        <v>};</v>
      </c>
    </row>
    <row r="481" spans="1:49" x14ac:dyDescent="0.25">
      <c r="A481">
        <v>1879400832</v>
      </c>
      <c r="B481">
        <v>107</v>
      </c>
      <c r="C481" t="s">
        <v>1410</v>
      </c>
      <c r="D481" t="s">
        <v>30</v>
      </c>
      <c r="E481" t="s">
        <v>2326</v>
      </c>
      <c r="F481" t="s">
        <v>1409</v>
      </c>
      <c r="I481" t="s">
        <v>1406</v>
      </c>
      <c r="J481" t="s">
        <v>1408</v>
      </c>
      <c r="K481">
        <v>2</v>
      </c>
      <c r="T481" t="str">
        <f t="shared" si="235"/>
        <v>[1879400832] = 2, // Friend to the Townsfolk of the Eastfold Neighbourhoods</v>
      </c>
      <c r="U481" t="str">
        <f t="shared" si="236"/>
        <v>[480] = {["ID"] = 1879400832; ["TIER"] = 2; }; -- Friend to the Townsfolk of the Eastfold Neighbourhoods</v>
      </c>
      <c r="V481" s="1" t="str">
        <f t="shared" si="237"/>
        <v>[480]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81">
        <f t="shared" si="238"/>
        <v>480</v>
      </c>
      <c r="X481" t="str">
        <f t="shared" si="239"/>
        <v>[480] = {</v>
      </c>
      <c r="Y481" t="str">
        <f t="shared" si="240"/>
        <v xml:space="preserve">["ID"] = 1879400832; </v>
      </c>
      <c r="Z481" t="str">
        <f t="shared" si="241"/>
        <v xml:space="preserve">["ID"] = 1879400832; </v>
      </c>
      <c r="AA481" t="str">
        <f t="shared" si="242"/>
        <v/>
      </c>
      <c r="AB481" s="1" t="str">
        <f t="shared" si="243"/>
        <v xml:space="preserve">["SAVE_INDEX"] = 107; </v>
      </c>
      <c r="AC481">
        <f>VLOOKUP(D481,Type!A$2:B$16,2,)</f>
        <v>7</v>
      </c>
      <c r="AD481" t="str">
        <f t="shared" si="244"/>
        <v xml:space="preserve">["TYPE"] =  7; </v>
      </c>
      <c r="AE481">
        <f>IF(NOT(ISBLANK(E481)),VLOOKUP(E481,Type!D$2:E$6,2,FALSE),"")</f>
        <v>5</v>
      </c>
      <c r="AF481" t="str">
        <f t="shared" si="245"/>
        <v xml:space="preserve">["NA"] = 5; </v>
      </c>
      <c r="AG481" t="str">
        <f t="shared" si="246"/>
        <v>0</v>
      </c>
      <c r="AH481" t="str">
        <f t="shared" si="247"/>
        <v xml:space="preserve">["VXP"] =    0; </v>
      </c>
      <c r="AI481" t="str">
        <f t="shared" si="248"/>
        <v>0</v>
      </c>
      <c r="AJ481" t="str">
        <f t="shared" si="249"/>
        <v xml:space="preserve">["LP"] =  0; </v>
      </c>
      <c r="AK481" t="str">
        <f t="shared" si="250"/>
        <v>0</v>
      </c>
      <c r="AL481" t="str">
        <f t="shared" si="251"/>
        <v xml:space="preserve">["REP"] =    0; </v>
      </c>
      <c r="AM481">
        <f>IF(LEN(Q481)&gt;0,VLOOKUP(Q481,Faction!A$2:B$77,2,),1)</f>
        <v>1</v>
      </c>
      <c r="AN481" t="str">
        <f t="shared" si="252"/>
        <v xml:space="preserve">["FACTION"] =  1; </v>
      </c>
      <c r="AO481" t="str">
        <f t="shared" si="253"/>
        <v xml:space="preserve">["TIER"] = 2; </v>
      </c>
      <c r="AP481" t="str">
        <f t="shared" si="254"/>
        <v xml:space="preserve">                     </v>
      </c>
      <c r="AQ481" t="str">
        <f t="shared" si="255"/>
        <v/>
      </c>
      <c r="AR481" t="str">
        <f t="shared" si="256"/>
        <v xml:space="preserve">["NAME"] = { ["EN"] = "Friend to the Townsfolk of the Eastfold Neighbourhoods"; }; </v>
      </c>
      <c r="AS481" t="str">
        <f t="shared" si="257"/>
        <v xml:space="preserve">["LORE"] = { ["EN"] = "All you have done within the neighbourhoods of the Eastfold has made the folk who live there friendly to you."; }; </v>
      </c>
      <c r="AT481" t="str">
        <f t="shared" si="258"/>
        <v xml:space="preserve">["SUMMARY"] = { ["EN"] = "Gain 4000 reputation"; }; </v>
      </c>
      <c r="AU481" t="str">
        <f t="shared" si="259"/>
        <v xml:space="preserve">["TITLE"] = { ["EN"] = "Citizen of the Eastfold"; }; </v>
      </c>
      <c r="AV481" t="str">
        <f t="shared" si="260"/>
        <v/>
      </c>
      <c r="AW481" t="str">
        <f t="shared" si="261"/>
        <v>};</v>
      </c>
    </row>
    <row r="482" spans="1:49" x14ac:dyDescent="0.25">
      <c r="A482">
        <v>1879400833</v>
      </c>
      <c r="B482">
        <v>108</v>
      </c>
      <c r="C482" t="s">
        <v>1404</v>
      </c>
      <c r="D482" t="s">
        <v>30</v>
      </c>
      <c r="E482" t="s">
        <v>2326</v>
      </c>
      <c r="I482" t="s">
        <v>1406</v>
      </c>
      <c r="J482" t="s">
        <v>1405</v>
      </c>
      <c r="K482">
        <v>3</v>
      </c>
      <c r="T482" t="str">
        <f t="shared" si="235"/>
        <v>[1879400833] = 3, // Known to the Townsfolk of the Eastfold Neighbourhoods</v>
      </c>
      <c r="U482" t="str">
        <f t="shared" si="236"/>
        <v>[481] = {["ID"] = 1879400833; ["TIER"] = 3; }; -- Known to the Townsfolk of the Eastfold Neighbourhoods</v>
      </c>
      <c r="V482" s="1" t="str">
        <f t="shared" si="237"/>
        <v>[481]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82">
        <f t="shared" si="238"/>
        <v>481</v>
      </c>
      <c r="X482" t="str">
        <f t="shared" si="239"/>
        <v>[481] = {</v>
      </c>
      <c r="Y482" t="str">
        <f t="shared" si="240"/>
        <v xml:space="preserve">["ID"] = 1879400833; </v>
      </c>
      <c r="Z482" t="str">
        <f t="shared" si="241"/>
        <v xml:space="preserve">["ID"] = 1879400833; </v>
      </c>
      <c r="AA482" t="str">
        <f t="shared" si="242"/>
        <v/>
      </c>
      <c r="AB482" s="1" t="str">
        <f t="shared" si="243"/>
        <v xml:space="preserve">["SAVE_INDEX"] = 108; </v>
      </c>
      <c r="AC482">
        <f>VLOOKUP(D482,Type!A$2:B$16,2,)</f>
        <v>7</v>
      </c>
      <c r="AD482" t="str">
        <f t="shared" si="244"/>
        <v xml:space="preserve">["TYPE"] =  7; </v>
      </c>
      <c r="AE482">
        <f>IF(NOT(ISBLANK(E482)),VLOOKUP(E482,Type!D$2:E$6,2,FALSE),"")</f>
        <v>5</v>
      </c>
      <c r="AF482" t="str">
        <f t="shared" si="245"/>
        <v xml:space="preserve">["NA"] = 5; </v>
      </c>
      <c r="AG482" t="str">
        <f t="shared" si="246"/>
        <v>0</v>
      </c>
      <c r="AH482" t="str">
        <f t="shared" si="247"/>
        <v xml:space="preserve">["VXP"] =    0; </v>
      </c>
      <c r="AI482" t="str">
        <f t="shared" si="248"/>
        <v>0</v>
      </c>
      <c r="AJ482" t="str">
        <f t="shared" si="249"/>
        <v xml:space="preserve">["LP"] =  0; </v>
      </c>
      <c r="AK482" t="str">
        <f t="shared" si="250"/>
        <v>0</v>
      </c>
      <c r="AL482" t="str">
        <f t="shared" si="251"/>
        <v xml:space="preserve">["REP"] =    0; </v>
      </c>
      <c r="AM482">
        <f>IF(LEN(Q482)&gt;0,VLOOKUP(Q482,Faction!A$2:B$77,2,),1)</f>
        <v>1</v>
      </c>
      <c r="AN482" t="str">
        <f t="shared" si="252"/>
        <v xml:space="preserve">["FACTION"] =  1; </v>
      </c>
      <c r="AO482" t="str">
        <f t="shared" si="253"/>
        <v xml:space="preserve">["TIER"] = 3; </v>
      </c>
      <c r="AP482" t="str">
        <f t="shared" si="254"/>
        <v xml:space="preserve">                     </v>
      </c>
      <c r="AQ482" t="str">
        <f t="shared" si="255"/>
        <v/>
      </c>
      <c r="AR482" t="str">
        <f t="shared" si="256"/>
        <v xml:space="preserve">["NAME"] = { ["EN"] = "Known to the Townsfolk of the Eastfold Neighbourhoods"; }; </v>
      </c>
      <c r="AS482" t="str">
        <f t="shared" si="257"/>
        <v xml:space="preserve">["LORE"] = { ["EN"] = "Your name is now known throughout the neighbourhoods of the Eastfold and you have been welcomed as part of the community."; }; </v>
      </c>
      <c r="AT482" t="str">
        <f t="shared" si="258"/>
        <v xml:space="preserve">["SUMMARY"] = { ["EN"] = "Gain 4000 reputation"; }; </v>
      </c>
      <c r="AU482" t="str">
        <f t="shared" si="259"/>
        <v/>
      </c>
      <c r="AV482" t="str">
        <f t="shared" si="260"/>
        <v/>
      </c>
      <c r="AW482" t="str">
        <f t="shared" si="261"/>
        <v>};</v>
      </c>
    </row>
    <row r="483" spans="1:49" x14ac:dyDescent="0.25">
      <c r="C483" s="3" t="s">
        <v>2942</v>
      </c>
      <c r="D483" s="2" t="s">
        <v>812</v>
      </c>
      <c r="E483" s="2"/>
      <c r="K483">
        <v>1</v>
      </c>
      <c r="R483">
        <v>243</v>
      </c>
      <c r="T483" t="str">
        <f t="shared" si="235"/>
        <v/>
      </c>
      <c r="U483" t="str">
        <f t="shared" si="236"/>
        <v>[482] = {["CAT_ID"] = 243; ["TIER"] = 1; }; -- - Townsfolk of the Kingstead -</v>
      </c>
      <c r="V483" s="1" t="str">
        <f t="shared" si="237"/>
        <v>[482] = {                                           ["TYPE"] = 14;             ["VXP"] =    0; ["LP"] =  0; ["REP"] =    0; ["FACTION"] =  1; ["TIER"] = 1;                      ["NAME"] = { ["EN"] = "- Townsfolk of the Kingstead -"; }; };</v>
      </c>
      <c r="W483">
        <f t="shared" si="238"/>
        <v>482</v>
      </c>
      <c r="X483" t="str">
        <f t="shared" si="239"/>
        <v>[482] = {</v>
      </c>
      <c r="Y483" t="str">
        <f t="shared" si="240"/>
        <v xml:space="preserve">                     </v>
      </c>
      <c r="Z483" t="str">
        <f t="shared" si="241"/>
        <v/>
      </c>
      <c r="AA483" t="str">
        <f t="shared" si="242"/>
        <v xml:space="preserve">["CAT_ID"] = 243; </v>
      </c>
      <c r="AB483" s="1" t="str">
        <f t="shared" si="243"/>
        <v xml:space="preserve">                      </v>
      </c>
      <c r="AC483">
        <f>VLOOKUP(D483,Type!A$2:B$16,2,)</f>
        <v>14</v>
      </c>
      <c r="AD483" t="str">
        <f t="shared" si="244"/>
        <v xml:space="preserve">["TYPE"] = 14; </v>
      </c>
      <c r="AE483" t="str">
        <f>IF(NOT(ISBLANK(E483)),VLOOKUP(E483,Type!D$2:E$6,2,FALSE),"")</f>
        <v/>
      </c>
      <c r="AF483" t="str">
        <f t="shared" si="245"/>
        <v xml:space="preserve">            </v>
      </c>
      <c r="AG483" t="str">
        <f t="shared" si="246"/>
        <v>0</v>
      </c>
      <c r="AH483" t="str">
        <f t="shared" si="247"/>
        <v xml:space="preserve">["VXP"] =    0; </v>
      </c>
      <c r="AI483" t="str">
        <f t="shared" si="248"/>
        <v>0</v>
      </c>
      <c r="AJ483" t="str">
        <f t="shared" si="249"/>
        <v xml:space="preserve">["LP"] =  0; </v>
      </c>
      <c r="AK483" t="str">
        <f t="shared" si="250"/>
        <v>0</v>
      </c>
      <c r="AL483" t="str">
        <f t="shared" si="251"/>
        <v xml:space="preserve">["REP"] =    0; </v>
      </c>
      <c r="AM483">
        <f>IF(LEN(Q483)&gt;0,VLOOKUP(Q483,Faction!A$2:B$77,2,),1)</f>
        <v>1</v>
      </c>
      <c r="AN483" t="str">
        <f t="shared" si="252"/>
        <v xml:space="preserve">["FACTION"] =  1; </v>
      </c>
      <c r="AO483" t="str">
        <f t="shared" si="253"/>
        <v xml:space="preserve">["TIER"] = 1; </v>
      </c>
      <c r="AP483" t="str">
        <f t="shared" si="254"/>
        <v xml:space="preserve">                     </v>
      </c>
      <c r="AQ483" t="str">
        <f t="shared" si="255"/>
        <v/>
      </c>
      <c r="AR483" t="str">
        <f t="shared" si="256"/>
        <v xml:space="preserve">["NAME"] = { ["EN"] = "- Townsfolk of the Kingstead -"; }; </v>
      </c>
      <c r="AS483" t="str">
        <f t="shared" si="257"/>
        <v/>
      </c>
      <c r="AT483" t="str">
        <f t="shared" si="258"/>
        <v/>
      </c>
      <c r="AU483" t="str">
        <f t="shared" si="259"/>
        <v/>
      </c>
      <c r="AV483" t="str">
        <f t="shared" si="260"/>
        <v/>
      </c>
      <c r="AW483" t="str">
        <f t="shared" si="261"/>
        <v>};</v>
      </c>
    </row>
    <row r="484" spans="1:49" x14ac:dyDescent="0.25">
      <c r="A484">
        <v>1879400839</v>
      </c>
      <c r="B484">
        <v>109</v>
      </c>
      <c r="C484" t="s">
        <v>1414</v>
      </c>
      <c r="D484" t="s">
        <v>30</v>
      </c>
      <c r="E484" t="s">
        <v>2326</v>
      </c>
      <c r="F484" t="s">
        <v>1422</v>
      </c>
      <c r="I484" t="s">
        <v>1190</v>
      </c>
      <c r="J484" t="s">
        <v>1421</v>
      </c>
      <c r="K484">
        <v>0</v>
      </c>
      <c r="T484" t="str">
        <f t="shared" si="235"/>
        <v/>
      </c>
      <c r="U484" t="str">
        <f t="shared" si="236"/>
        <v>[483] = {["ID"] = 1879400839; }; -- Kindred with the Townsfolk of the Kingstead Neighbourhoods</v>
      </c>
      <c r="V484" s="1" t="str">
        <f t="shared" si="237"/>
        <v>[483]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84">
        <f t="shared" si="238"/>
        <v>483</v>
      </c>
      <c r="X484" t="str">
        <f t="shared" si="239"/>
        <v>[483] = {</v>
      </c>
      <c r="Y484" t="str">
        <f t="shared" si="240"/>
        <v xml:space="preserve">["ID"] = 1879400839; </v>
      </c>
      <c r="Z484" t="str">
        <f t="shared" si="241"/>
        <v xml:space="preserve">["ID"] = 1879400839; </v>
      </c>
      <c r="AA484" t="str">
        <f t="shared" si="242"/>
        <v/>
      </c>
      <c r="AB484" s="1" t="str">
        <f t="shared" si="243"/>
        <v xml:space="preserve">["SAVE_INDEX"] = 109; </v>
      </c>
      <c r="AC484">
        <f>VLOOKUP(D484,Type!A$2:B$16,2,)</f>
        <v>7</v>
      </c>
      <c r="AD484" t="str">
        <f t="shared" si="244"/>
        <v xml:space="preserve">["TYPE"] =  7; </v>
      </c>
      <c r="AE484">
        <f>IF(NOT(ISBLANK(E484)),VLOOKUP(E484,Type!D$2:E$6,2,FALSE),"")</f>
        <v>5</v>
      </c>
      <c r="AF484" t="str">
        <f t="shared" si="245"/>
        <v xml:space="preserve">["NA"] = 5; </v>
      </c>
      <c r="AG484" t="str">
        <f t="shared" si="246"/>
        <v>0</v>
      </c>
      <c r="AH484" t="str">
        <f t="shared" si="247"/>
        <v xml:space="preserve">["VXP"] =    0; </v>
      </c>
      <c r="AI484" t="str">
        <f t="shared" si="248"/>
        <v>0</v>
      </c>
      <c r="AJ484" t="str">
        <f t="shared" si="249"/>
        <v xml:space="preserve">["LP"] =  0; </v>
      </c>
      <c r="AK484" t="str">
        <f t="shared" si="250"/>
        <v>0</v>
      </c>
      <c r="AL484" t="str">
        <f t="shared" si="251"/>
        <v xml:space="preserve">["REP"] =    0; </v>
      </c>
      <c r="AM484">
        <f>IF(LEN(Q484)&gt;0,VLOOKUP(Q484,Faction!A$2:B$77,2,),1)</f>
        <v>1</v>
      </c>
      <c r="AN484" t="str">
        <f t="shared" si="252"/>
        <v xml:space="preserve">["FACTION"] =  1; </v>
      </c>
      <c r="AO484" t="str">
        <f t="shared" si="253"/>
        <v/>
      </c>
      <c r="AP484" t="str">
        <f t="shared" si="254"/>
        <v xml:space="preserve">                     </v>
      </c>
      <c r="AQ484" t="str">
        <f t="shared" si="255"/>
        <v/>
      </c>
      <c r="AR484" t="str">
        <f t="shared" si="256"/>
        <v xml:space="preserve">["NAME"] = { ["EN"] = "Kindred with the Townsfolk of the Kingstead Neighbourhoods"; }; </v>
      </c>
      <c r="AS484" t="str">
        <f t="shared" si="257"/>
        <v xml:space="preserve">["LORE"] = { ["EN"] = "The Townsfolk of the Kingstead Neighbourhoods consider you to be one of the post important members of the community. You are a kindred soul and an upstanding citizen."; }; </v>
      </c>
      <c r="AT484" t="str">
        <f t="shared" si="258"/>
        <v xml:space="preserve">["SUMMARY"] = { ["EN"] = "Gain 10000 reputation"; }; </v>
      </c>
      <c r="AU484" t="str">
        <f t="shared" si="259"/>
        <v xml:space="preserve">["TITLE"] = { ["EN"] = "Horse-lord"; }; </v>
      </c>
      <c r="AV484" t="str">
        <f t="shared" si="260"/>
        <v/>
      </c>
      <c r="AW484" t="str">
        <f t="shared" si="261"/>
        <v>};</v>
      </c>
    </row>
    <row r="485" spans="1:49" x14ac:dyDescent="0.25">
      <c r="A485">
        <v>1879400838</v>
      </c>
      <c r="B485">
        <v>110</v>
      </c>
      <c r="C485" t="s">
        <v>1415</v>
      </c>
      <c r="D485" t="s">
        <v>30</v>
      </c>
      <c r="E485" t="s">
        <v>2326</v>
      </c>
      <c r="I485" t="s">
        <v>1407</v>
      </c>
      <c r="J485" t="s">
        <v>1420</v>
      </c>
      <c r="K485">
        <v>1</v>
      </c>
      <c r="T485" t="str">
        <f t="shared" si="235"/>
        <v>[1879400838] = 1, // Ally to the Townsfolk of the Kingstead Neighbourhoods</v>
      </c>
      <c r="U485" t="str">
        <f t="shared" si="236"/>
        <v>[484] = {["ID"] = 1879400838; ["TIER"] = 1; }; -- Ally to the Townsfolk of the Kingstead Neighbourhoods</v>
      </c>
      <c r="V485" s="1" t="str">
        <f t="shared" si="237"/>
        <v>[484]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85">
        <f t="shared" si="238"/>
        <v>484</v>
      </c>
      <c r="X485" t="str">
        <f t="shared" si="239"/>
        <v>[484] = {</v>
      </c>
      <c r="Y485" t="str">
        <f t="shared" si="240"/>
        <v xml:space="preserve">["ID"] = 1879400838; </v>
      </c>
      <c r="Z485" t="str">
        <f t="shared" si="241"/>
        <v xml:space="preserve">["ID"] = 1879400838; </v>
      </c>
      <c r="AA485" t="str">
        <f t="shared" si="242"/>
        <v/>
      </c>
      <c r="AB485" s="1" t="str">
        <f t="shared" si="243"/>
        <v xml:space="preserve">["SAVE_INDEX"] = 110; </v>
      </c>
      <c r="AC485">
        <f>VLOOKUP(D485,Type!A$2:B$16,2,)</f>
        <v>7</v>
      </c>
      <c r="AD485" t="str">
        <f t="shared" si="244"/>
        <v xml:space="preserve">["TYPE"] =  7; </v>
      </c>
      <c r="AE485">
        <f>IF(NOT(ISBLANK(E485)),VLOOKUP(E485,Type!D$2:E$6,2,FALSE),"")</f>
        <v>5</v>
      </c>
      <c r="AF485" t="str">
        <f t="shared" si="245"/>
        <v xml:space="preserve">["NA"] = 5; </v>
      </c>
      <c r="AG485" t="str">
        <f t="shared" si="246"/>
        <v>0</v>
      </c>
      <c r="AH485" t="str">
        <f t="shared" si="247"/>
        <v xml:space="preserve">["VXP"] =    0; </v>
      </c>
      <c r="AI485" t="str">
        <f t="shared" si="248"/>
        <v>0</v>
      </c>
      <c r="AJ485" t="str">
        <f t="shared" si="249"/>
        <v xml:space="preserve">["LP"] =  0; </v>
      </c>
      <c r="AK485" t="str">
        <f t="shared" si="250"/>
        <v>0</v>
      </c>
      <c r="AL485" t="str">
        <f t="shared" si="251"/>
        <v xml:space="preserve">["REP"] =    0; </v>
      </c>
      <c r="AM485">
        <f>IF(LEN(Q485)&gt;0,VLOOKUP(Q485,Faction!A$2:B$77,2,),1)</f>
        <v>1</v>
      </c>
      <c r="AN485" t="str">
        <f t="shared" si="252"/>
        <v xml:space="preserve">["FACTION"] =  1; </v>
      </c>
      <c r="AO485" t="str">
        <f t="shared" si="253"/>
        <v xml:space="preserve">["TIER"] = 1; </v>
      </c>
      <c r="AP485" t="str">
        <f t="shared" si="254"/>
        <v xml:space="preserve">                     </v>
      </c>
      <c r="AQ485" t="str">
        <f t="shared" si="255"/>
        <v/>
      </c>
      <c r="AR485" t="str">
        <f t="shared" si="256"/>
        <v xml:space="preserve">["NAME"] = { ["EN"] = "Ally to the Townsfolk of the Kingstead Neighbourhoods"; }; </v>
      </c>
      <c r="AS485" t="str">
        <f t="shared" si="257"/>
        <v xml:space="preserve">["LORE"] = { ["EN"] = "Your continued loyalty to the Townsfolk of the Kingstead Neighbourhoods endears you to the community there."; }; </v>
      </c>
      <c r="AT485" t="str">
        <f t="shared" si="258"/>
        <v xml:space="preserve">["SUMMARY"] = { ["EN"] = "Gain 8000 reputation"; }; </v>
      </c>
      <c r="AU485" t="str">
        <f t="shared" si="259"/>
        <v/>
      </c>
      <c r="AV485" t="str">
        <f t="shared" si="260"/>
        <v/>
      </c>
      <c r="AW485" t="str">
        <f t="shared" si="261"/>
        <v>};</v>
      </c>
    </row>
    <row r="486" spans="1:49" x14ac:dyDescent="0.25">
      <c r="A486">
        <v>1879400837</v>
      </c>
      <c r="B486">
        <v>111</v>
      </c>
      <c r="C486" t="s">
        <v>1416</v>
      </c>
      <c r="D486" t="s">
        <v>30</v>
      </c>
      <c r="E486" t="s">
        <v>2326</v>
      </c>
      <c r="F486" t="s">
        <v>1423</v>
      </c>
      <c r="I486" t="s">
        <v>1406</v>
      </c>
      <c r="J486" t="s">
        <v>1419</v>
      </c>
      <c r="K486">
        <v>2</v>
      </c>
      <c r="T486" t="str">
        <f t="shared" si="235"/>
        <v>[1879400837] = 2, // Friend to the Townsfolk of the Kingstead Neighbourhoods</v>
      </c>
      <c r="U486" t="str">
        <f t="shared" si="236"/>
        <v>[485] = {["ID"] = 1879400837; ["TIER"] = 2; }; -- Friend to the Townsfolk of the Kingstead Neighbourhoods</v>
      </c>
      <c r="V486" s="1" t="str">
        <f t="shared" si="237"/>
        <v>[485]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86">
        <f t="shared" si="238"/>
        <v>485</v>
      </c>
      <c r="X486" t="str">
        <f t="shared" si="239"/>
        <v>[485] = {</v>
      </c>
      <c r="Y486" t="str">
        <f t="shared" si="240"/>
        <v xml:space="preserve">["ID"] = 1879400837; </v>
      </c>
      <c r="Z486" t="str">
        <f t="shared" si="241"/>
        <v xml:space="preserve">["ID"] = 1879400837; </v>
      </c>
      <c r="AA486" t="str">
        <f t="shared" si="242"/>
        <v/>
      </c>
      <c r="AB486" s="1" t="str">
        <f t="shared" si="243"/>
        <v xml:space="preserve">["SAVE_INDEX"] = 111; </v>
      </c>
      <c r="AC486">
        <f>VLOOKUP(D486,Type!A$2:B$16,2,)</f>
        <v>7</v>
      </c>
      <c r="AD486" t="str">
        <f t="shared" si="244"/>
        <v xml:space="preserve">["TYPE"] =  7; </v>
      </c>
      <c r="AE486">
        <f>IF(NOT(ISBLANK(E486)),VLOOKUP(E486,Type!D$2:E$6,2,FALSE),"")</f>
        <v>5</v>
      </c>
      <c r="AF486" t="str">
        <f t="shared" si="245"/>
        <v xml:space="preserve">["NA"] = 5; </v>
      </c>
      <c r="AG486" t="str">
        <f t="shared" si="246"/>
        <v>0</v>
      </c>
      <c r="AH486" t="str">
        <f t="shared" si="247"/>
        <v xml:space="preserve">["VXP"] =    0; </v>
      </c>
      <c r="AI486" t="str">
        <f t="shared" si="248"/>
        <v>0</v>
      </c>
      <c r="AJ486" t="str">
        <f t="shared" si="249"/>
        <v xml:space="preserve">["LP"] =  0; </v>
      </c>
      <c r="AK486" t="str">
        <f t="shared" si="250"/>
        <v>0</v>
      </c>
      <c r="AL486" t="str">
        <f t="shared" si="251"/>
        <v xml:space="preserve">["REP"] =    0; </v>
      </c>
      <c r="AM486">
        <f>IF(LEN(Q486)&gt;0,VLOOKUP(Q486,Faction!A$2:B$77,2,),1)</f>
        <v>1</v>
      </c>
      <c r="AN486" t="str">
        <f t="shared" si="252"/>
        <v xml:space="preserve">["FACTION"] =  1; </v>
      </c>
      <c r="AO486" t="str">
        <f t="shared" si="253"/>
        <v xml:space="preserve">["TIER"] = 2; </v>
      </c>
      <c r="AP486" t="str">
        <f t="shared" si="254"/>
        <v xml:space="preserve">                     </v>
      </c>
      <c r="AQ486" t="str">
        <f t="shared" si="255"/>
        <v/>
      </c>
      <c r="AR486" t="str">
        <f t="shared" si="256"/>
        <v xml:space="preserve">["NAME"] = { ["EN"] = "Friend to the Townsfolk of the Kingstead Neighbourhoods"; }; </v>
      </c>
      <c r="AS486" t="str">
        <f t="shared" si="257"/>
        <v xml:space="preserve">["LORE"] = { ["EN"] = "All you have done throughout the neighbourhoods of the Kingstead has made the folk who live there friendly to you."; }; </v>
      </c>
      <c r="AT486" t="str">
        <f t="shared" si="258"/>
        <v xml:space="preserve">["SUMMARY"] = { ["EN"] = "Gain 4000 reputation"; }; </v>
      </c>
      <c r="AU486" t="str">
        <f t="shared" si="259"/>
        <v xml:space="preserve">["TITLE"] = { ["EN"] = "Citizen of the Kingstead"; }; </v>
      </c>
      <c r="AV486" t="str">
        <f t="shared" si="260"/>
        <v/>
      </c>
      <c r="AW486" t="str">
        <f t="shared" si="261"/>
        <v>};</v>
      </c>
    </row>
    <row r="487" spans="1:49" x14ac:dyDescent="0.25">
      <c r="A487">
        <v>1879400835</v>
      </c>
      <c r="B487">
        <v>112</v>
      </c>
      <c r="C487" t="s">
        <v>1417</v>
      </c>
      <c r="D487" t="s">
        <v>30</v>
      </c>
      <c r="E487" t="s">
        <v>2326</v>
      </c>
      <c r="I487" t="s">
        <v>1406</v>
      </c>
      <c r="J487" t="s">
        <v>1418</v>
      </c>
      <c r="K487">
        <v>3</v>
      </c>
      <c r="T487" t="str">
        <f t="shared" si="235"/>
        <v>[1879400835] = 3, // Known to the Townsfolk of the Kingstead Neighbourhoods</v>
      </c>
      <c r="U487" t="str">
        <f t="shared" si="236"/>
        <v>[486] = {["ID"] = 1879400835; ["TIER"] = 3; }; -- Known to the Townsfolk of the Kingstead Neighbourhoods</v>
      </c>
      <c r="V487" s="1" t="str">
        <f t="shared" si="237"/>
        <v>[486]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87">
        <f t="shared" si="238"/>
        <v>486</v>
      </c>
      <c r="X487" t="str">
        <f t="shared" si="239"/>
        <v>[486] = {</v>
      </c>
      <c r="Y487" t="str">
        <f t="shared" si="240"/>
        <v xml:space="preserve">["ID"] = 1879400835; </v>
      </c>
      <c r="Z487" t="str">
        <f t="shared" si="241"/>
        <v xml:space="preserve">["ID"] = 1879400835; </v>
      </c>
      <c r="AA487" t="str">
        <f t="shared" si="242"/>
        <v/>
      </c>
      <c r="AB487" s="1" t="str">
        <f t="shared" si="243"/>
        <v xml:space="preserve">["SAVE_INDEX"] = 112; </v>
      </c>
      <c r="AC487">
        <f>VLOOKUP(D487,Type!A$2:B$16,2,)</f>
        <v>7</v>
      </c>
      <c r="AD487" t="str">
        <f t="shared" si="244"/>
        <v xml:space="preserve">["TYPE"] =  7; </v>
      </c>
      <c r="AE487">
        <f>IF(NOT(ISBLANK(E487)),VLOOKUP(E487,Type!D$2:E$6,2,FALSE),"")</f>
        <v>5</v>
      </c>
      <c r="AF487" t="str">
        <f t="shared" si="245"/>
        <v xml:space="preserve">["NA"] = 5; </v>
      </c>
      <c r="AG487" t="str">
        <f t="shared" si="246"/>
        <v>0</v>
      </c>
      <c r="AH487" t="str">
        <f t="shared" si="247"/>
        <v xml:space="preserve">["VXP"] =    0; </v>
      </c>
      <c r="AI487" t="str">
        <f t="shared" si="248"/>
        <v>0</v>
      </c>
      <c r="AJ487" t="str">
        <f t="shared" si="249"/>
        <v xml:space="preserve">["LP"] =  0; </v>
      </c>
      <c r="AK487" t="str">
        <f t="shared" si="250"/>
        <v>0</v>
      </c>
      <c r="AL487" t="str">
        <f t="shared" si="251"/>
        <v xml:space="preserve">["REP"] =    0; </v>
      </c>
      <c r="AM487">
        <f>IF(LEN(Q487)&gt;0,VLOOKUP(Q487,Faction!A$2:B$77,2,),1)</f>
        <v>1</v>
      </c>
      <c r="AN487" t="str">
        <f t="shared" si="252"/>
        <v xml:space="preserve">["FACTION"] =  1; </v>
      </c>
      <c r="AO487" t="str">
        <f t="shared" si="253"/>
        <v xml:space="preserve">["TIER"] = 3; </v>
      </c>
      <c r="AP487" t="str">
        <f t="shared" si="254"/>
        <v xml:space="preserve">                     </v>
      </c>
      <c r="AQ487" t="str">
        <f t="shared" si="255"/>
        <v/>
      </c>
      <c r="AR487" t="str">
        <f t="shared" si="256"/>
        <v xml:space="preserve">["NAME"] = { ["EN"] = "Known to the Townsfolk of the Kingstead Neighbourhoods"; }; </v>
      </c>
      <c r="AS487" t="str">
        <f t="shared" si="257"/>
        <v xml:space="preserve">["LORE"] = { ["EN"] = "Your name is now known throughout the neighbourhoods of the Kingstead and you have been welcomed as a part of the community."; }; </v>
      </c>
      <c r="AT487" t="str">
        <f t="shared" si="258"/>
        <v xml:space="preserve">["SUMMARY"] = { ["EN"] = "Gain 4000 reputation"; }; </v>
      </c>
      <c r="AU487" t="str">
        <f t="shared" si="259"/>
        <v/>
      </c>
      <c r="AV487" t="str">
        <f t="shared" si="260"/>
        <v/>
      </c>
      <c r="AW487" t="str">
        <f t="shared" si="261"/>
        <v>};</v>
      </c>
    </row>
    <row r="488" spans="1:49" x14ac:dyDescent="0.25">
      <c r="T488" t="str">
        <f t="shared" si="235"/>
        <v/>
      </c>
      <c r="U488" t="str">
        <f t="shared" si="236"/>
        <v xml:space="preserve">[487] = {}; -- </v>
      </c>
      <c r="V488" s="1" t="e">
        <f t="shared" si="237"/>
        <v>#N/A</v>
      </c>
      <c r="W488">
        <f t="shared" si="238"/>
        <v>487</v>
      </c>
      <c r="X488" t="str">
        <f t="shared" si="239"/>
        <v>[487] = {</v>
      </c>
      <c r="Y488" t="str">
        <f t="shared" si="240"/>
        <v xml:space="preserve">                     </v>
      </c>
      <c r="Z488" t="str">
        <f t="shared" si="241"/>
        <v/>
      </c>
      <c r="AA488" t="str">
        <f t="shared" si="242"/>
        <v/>
      </c>
      <c r="AB488" s="1" t="str">
        <f t="shared" si="243"/>
        <v xml:space="preserve">                      </v>
      </c>
      <c r="AC488" t="e">
        <f>VLOOKUP(D488,Type!A$2:B$16,2,)</f>
        <v>#N/A</v>
      </c>
      <c r="AD488" t="e">
        <f t="shared" si="244"/>
        <v>#N/A</v>
      </c>
      <c r="AE488" t="str">
        <f>IF(NOT(ISBLANK(E488)),VLOOKUP(E488,Type!D$2:E$6,2,FALSE),"")</f>
        <v/>
      </c>
      <c r="AF488" t="str">
        <f t="shared" si="245"/>
        <v xml:space="preserve">            </v>
      </c>
      <c r="AG488" t="str">
        <f t="shared" si="246"/>
        <v>0</v>
      </c>
      <c r="AH488" t="str">
        <f t="shared" si="247"/>
        <v xml:space="preserve">["VXP"] =    0; </v>
      </c>
      <c r="AI488" t="str">
        <f t="shared" si="248"/>
        <v>0</v>
      </c>
      <c r="AJ488" t="str">
        <f t="shared" si="249"/>
        <v xml:space="preserve">["LP"] =  0; </v>
      </c>
      <c r="AK488" t="str">
        <f t="shared" si="250"/>
        <v>0</v>
      </c>
      <c r="AL488" t="str">
        <f t="shared" si="251"/>
        <v xml:space="preserve">["REP"] =    0; </v>
      </c>
      <c r="AM488">
        <f>IF(LEN(Q488)&gt;0,VLOOKUP(Q488,Faction!A$2:B$77,2,),1)</f>
        <v>1</v>
      </c>
      <c r="AN488" t="str">
        <f t="shared" si="252"/>
        <v xml:space="preserve">["FACTION"] =  1; </v>
      </c>
      <c r="AO488" t="str">
        <f t="shared" si="253"/>
        <v/>
      </c>
      <c r="AP488" t="str">
        <f t="shared" si="254"/>
        <v xml:space="preserve">                     </v>
      </c>
      <c r="AQ488" t="str">
        <f t="shared" si="255"/>
        <v/>
      </c>
      <c r="AR488" t="str">
        <f t="shared" si="256"/>
        <v xml:space="preserve">["NAME"] = { ["EN"] = ""; }; </v>
      </c>
      <c r="AS488" t="str">
        <f t="shared" si="257"/>
        <v/>
      </c>
      <c r="AT488" t="str">
        <f t="shared" si="258"/>
        <v/>
      </c>
      <c r="AU488" t="str">
        <f t="shared" si="259"/>
        <v/>
      </c>
      <c r="AV488" t="str">
        <f t="shared" si="260"/>
        <v/>
      </c>
      <c r="AW488" t="str">
        <f t="shared" si="261"/>
        <v>};</v>
      </c>
    </row>
    <row r="489" spans="1:49" x14ac:dyDescent="0.25">
      <c r="T489" t="str">
        <f t="shared" si="235"/>
        <v/>
      </c>
      <c r="U489" t="str">
        <f t="shared" si="236"/>
        <v xml:space="preserve">[488] = {}; -- </v>
      </c>
      <c r="V489" s="1" t="e">
        <f t="shared" si="237"/>
        <v>#N/A</v>
      </c>
      <c r="W489">
        <f t="shared" si="238"/>
        <v>488</v>
      </c>
      <c r="X489" t="str">
        <f t="shared" si="239"/>
        <v>[488] = {</v>
      </c>
      <c r="Y489" t="str">
        <f t="shared" si="240"/>
        <v xml:space="preserve">                     </v>
      </c>
      <c r="Z489" t="str">
        <f t="shared" si="241"/>
        <v/>
      </c>
      <c r="AA489" t="str">
        <f t="shared" si="242"/>
        <v/>
      </c>
      <c r="AB489" s="1" t="str">
        <f t="shared" si="243"/>
        <v xml:space="preserve">                      </v>
      </c>
      <c r="AC489" t="e">
        <f>VLOOKUP(D489,Type!A$2:B$16,2,)</f>
        <v>#N/A</v>
      </c>
      <c r="AD489" t="e">
        <f t="shared" si="244"/>
        <v>#N/A</v>
      </c>
      <c r="AE489" t="str">
        <f>IF(NOT(ISBLANK(E489)),VLOOKUP(E489,Type!D$2:E$6,2,FALSE),"")</f>
        <v/>
      </c>
      <c r="AF489" t="str">
        <f t="shared" si="245"/>
        <v xml:space="preserve">            </v>
      </c>
      <c r="AG489" t="str">
        <f t="shared" si="246"/>
        <v>0</v>
      </c>
      <c r="AH489" t="str">
        <f t="shared" si="247"/>
        <v xml:space="preserve">["VXP"] =    0; </v>
      </c>
      <c r="AI489" t="str">
        <f t="shared" si="248"/>
        <v>0</v>
      </c>
      <c r="AJ489" t="str">
        <f t="shared" si="249"/>
        <v xml:space="preserve">["LP"] =  0; </v>
      </c>
      <c r="AK489" t="str">
        <f t="shared" si="250"/>
        <v>0</v>
      </c>
      <c r="AL489" t="str">
        <f t="shared" si="251"/>
        <v xml:space="preserve">["REP"] =    0; </v>
      </c>
      <c r="AM489">
        <f>IF(LEN(Q489)&gt;0,VLOOKUP(Q489,Faction!A$2:B$77,2,),1)</f>
        <v>1</v>
      </c>
      <c r="AN489" t="str">
        <f t="shared" si="252"/>
        <v xml:space="preserve">["FACTION"] =  1; </v>
      </c>
      <c r="AO489" t="str">
        <f t="shared" si="253"/>
        <v/>
      </c>
      <c r="AP489" t="str">
        <f t="shared" si="254"/>
        <v xml:space="preserve">                     </v>
      </c>
      <c r="AQ489" t="str">
        <f t="shared" si="255"/>
        <v/>
      </c>
      <c r="AR489" t="str">
        <f t="shared" si="256"/>
        <v xml:space="preserve">["NAME"] = { ["EN"] = ""; }; </v>
      </c>
      <c r="AS489" t="str">
        <f t="shared" si="257"/>
        <v/>
      </c>
      <c r="AT489" t="str">
        <f t="shared" si="258"/>
        <v/>
      </c>
      <c r="AU489" t="str">
        <f t="shared" si="259"/>
        <v/>
      </c>
      <c r="AV489" t="str">
        <f t="shared" si="260"/>
        <v/>
      </c>
      <c r="AW489" t="str">
        <f t="shared" si="261"/>
        <v>};</v>
      </c>
    </row>
    <row r="490" spans="1:49" x14ac:dyDescent="0.25">
      <c r="T490" t="str">
        <f t="shared" si="235"/>
        <v/>
      </c>
      <c r="U490" t="str">
        <f t="shared" si="236"/>
        <v xml:space="preserve">[489] = {}; -- </v>
      </c>
      <c r="V490" s="1" t="e">
        <f t="shared" si="237"/>
        <v>#N/A</v>
      </c>
      <c r="W490">
        <f t="shared" si="238"/>
        <v>489</v>
      </c>
      <c r="X490" t="str">
        <f t="shared" si="239"/>
        <v>[489] = {</v>
      </c>
      <c r="Y490" t="str">
        <f t="shared" si="240"/>
        <v xml:space="preserve">                     </v>
      </c>
      <c r="Z490" t="str">
        <f t="shared" si="241"/>
        <v/>
      </c>
      <c r="AA490" t="str">
        <f t="shared" si="242"/>
        <v/>
      </c>
      <c r="AB490" s="1" t="str">
        <f t="shared" si="243"/>
        <v xml:space="preserve">                      </v>
      </c>
      <c r="AC490" t="e">
        <f>VLOOKUP(D490,Type!A$2:B$16,2,)</f>
        <v>#N/A</v>
      </c>
      <c r="AD490" t="e">
        <f t="shared" si="244"/>
        <v>#N/A</v>
      </c>
      <c r="AE490" t="str">
        <f>IF(NOT(ISBLANK(E490)),VLOOKUP(E490,Type!D$2:E$6,2,FALSE),"")</f>
        <v/>
      </c>
      <c r="AF490" t="str">
        <f t="shared" si="245"/>
        <v xml:space="preserve">            </v>
      </c>
      <c r="AG490" t="str">
        <f t="shared" si="246"/>
        <v>0</v>
      </c>
      <c r="AH490" t="str">
        <f t="shared" si="247"/>
        <v xml:space="preserve">["VXP"] =    0; </v>
      </c>
      <c r="AI490" t="str">
        <f t="shared" si="248"/>
        <v>0</v>
      </c>
      <c r="AJ490" t="str">
        <f t="shared" si="249"/>
        <v xml:space="preserve">["LP"] =  0; </v>
      </c>
      <c r="AK490" t="str">
        <f t="shared" si="250"/>
        <v>0</v>
      </c>
      <c r="AL490" t="str">
        <f t="shared" si="251"/>
        <v xml:space="preserve">["REP"] =    0; </v>
      </c>
      <c r="AM490">
        <f>IF(LEN(Q490)&gt;0,VLOOKUP(Q490,Faction!A$2:B$77,2,),1)</f>
        <v>1</v>
      </c>
      <c r="AN490" t="str">
        <f t="shared" si="252"/>
        <v xml:space="preserve">["FACTION"] =  1; </v>
      </c>
      <c r="AO490" t="str">
        <f t="shared" si="253"/>
        <v/>
      </c>
      <c r="AP490" t="str">
        <f t="shared" si="254"/>
        <v xml:space="preserve">                     </v>
      </c>
      <c r="AQ490" t="str">
        <f t="shared" si="255"/>
        <v/>
      </c>
      <c r="AR490" t="str">
        <f t="shared" si="256"/>
        <v xml:space="preserve">["NAME"] = { ["EN"] = ""; }; </v>
      </c>
      <c r="AS490" t="str">
        <f t="shared" si="257"/>
        <v/>
      </c>
      <c r="AT490" t="str">
        <f t="shared" si="258"/>
        <v/>
      </c>
      <c r="AU490" t="str">
        <f t="shared" si="259"/>
        <v/>
      </c>
      <c r="AV490" t="str">
        <f t="shared" si="260"/>
        <v/>
      </c>
      <c r="AW490" t="str">
        <f t="shared" si="261"/>
        <v>};</v>
      </c>
    </row>
    <row r="491" spans="1:49" x14ac:dyDescent="0.25">
      <c r="T491" t="str">
        <f t="shared" si="235"/>
        <v/>
      </c>
      <c r="U491" t="str">
        <f t="shared" si="236"/>
        <v xml:space="preserve">[490] = {}; -- </v>
      </c>
      <c r="V491" s="1" t="e">
        <f t="shared" si="237"/>
        <v>#N/A</v>
      </c>
      <c r="W491">
        <f t="shared" si="238"/>
        <v>490</v>
      </c>
      <c r="X491" t="str">
        <f t="shared" si="239"/>
        <v>[490] = {</v>
      </c>
      <c r="Y491" t="str">
        <f t="shared" si="240"/>
        <v xml:space="preserve">                     </v>
      </c>
      <c r="Z491" t="str">
        <f t="shared" si="241"/>
        <v/>
      </c>
      <c r="AA491" t="str">
        <f t="shared" si="242"/>
        <v/>
      </c>
      <c r="AB491" s="1" t="str">
        <f t="shared" si="243"/>
        <v xml:space="preserve">                      </v>
      </c>
      <c r="AC491" t="e">
        <f>VLOOKUP(D491,Type!A$2:B$16,2,)</f>
        <v>#N/A</v>
      </c>
      <c r="AD491" t="e">
        <f t="shared" si="244"/>
        <v>#N/A</v>
      </c>
      <c r="AE491" t="str">
        <f>IF(NOT(ISBLANK(E491)),VLOOKUP(E491,Type!D$2:E$6,2,FALSE),"")</f>
        <v/>
      </c>
      <c r="AF491" t="str">
        <f t="shared" si="245"/>
        <v xml:space="preserve">            </v>
      </c>
      <c r="AG491" t="str">
        <f t="shared" si="246"/>
        <v>0</v>
      </c>
      <c r="AH491" t="str">
        <f t="shared" si="247"/>
        <v xml:space="preserve">["VXP"] =    0; </v>
      </c>
      <c r="AI491" t="str">
        <f t="shared" si="248"/>
        <v>0</v>
      </c>
      <c r="AJ491" t="str">
        <f t="shared" si="249"/>
        <v xml:space="preserve">["LP"] =  0; </v>
      </c>
      <c r="AK491" t="str">
        <f t="shared" si="250"/>
        <v>0</v>
      </c>
      <c r="AL491" t="str">
        <f t="shared" si="251"/>
        <v xml:space="preserve">["REP"] =    0; </v>
      </c>
      <c r="AM491">
        <f>IF(LEN(Q491)&gt;0,VLOOKUP(Q491,Faction!A$2:B$77,2,),1)</f>
        <v>1</v>
      </c>
      <c r="AN491" t="str">
        <f t="shared" si="252"/>
        <v xml:space="preserve">["FACTION"] =  1; </v>
      </c>
      <c r="AO491" t="str">
        <f t="shared" si="253"/>
        <v/>
      </c>
      <c r="AP491" t="str">
        <f t="shared" si="254"/>
        <v xml:space="preserve">                     </v>
      </c>
      <c r="AQ491" t="str">
        <f t="shared" si="255"/>
        <v/>
      </c>
      <c r="AR491" t="str">
        <f t="shared" si="256"/>
        <v xml:space="preserve">["NAME"] = { ["EN"] = ""; }; </v>
      </c>
      <c r="AS491" t="str">
        <f t="shared" si="257"/>
        <v/>
      </c>
      <c r="AT491" t="str">
        <f t="shared" si="258"/>
        <v/>
      </c>
      <c r="AU491" t="str">
        <f t="shared" si="259"/>
        <v/>
      </c>
      <c r="AV491" t="str">
        <f t="shared" si="260"/>
        <v/>
      </c>
      <c r="AW491" t="str">
        <f t="shared" si="261"/>
        <v>};</v>
      </c>
    </row>
    <row r="492" spans="1:49" x14ac:dyDescent="0.25">
      <c r="U492" t="str">
        <f t="shared" ref="U492" si="262">CONCATENATE(X492,Z492,AA492,AO492,AW492," -- ",C492)</f>
        <v xml:space="preserve"> -- </v>
      </c>
      <c r="V492" s="1"/>
      <c r="AB492" s="1"/>
      <c r="AO492" t="str">
        <f t="shared" ref="AO492" si="263">IF(K492&gt;0,CONCATENATE("[""TIER""] = ",TEXT(K492,"0"),";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92">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2025-12-09T21:24:39Z</dcterms:modified>
</cp:coreProperties>
</file>