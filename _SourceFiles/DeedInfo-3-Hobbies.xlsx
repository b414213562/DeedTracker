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DeedTracker\_SourceFiles\"/>
    </mc:Choice>
  </mc:AlternateContent>
  <xr:revisionPtr revIDLastSave="0" documentId="13_ncr:1_{FF5F9D8D-9ECC-400C-BBFA-4F584FF4ACFB}" xr6:coauthVersionLast="47" xr6:coauthVersionMax="47" xr10:uidLastSave="{00000000-0000-0000-0000-000000000000}"/>
  <bookViews>
    <workbookView xWindow="-18615" yWindow="1620" windowWidth="18600" windowHeight="14025" activeTab="6" xr2:uid="{CDC9C16A-58F0-4807-B5CD-F77FF9D2EA43}"/>
  </bookViews>
  <sheets>
    <sheet name="Type" sheetId="2" r:id="rId1"/>
    <sheet name="Faction" sheetId="3" r:id="rId2"/>
    <sheet name="Class" sheetId="4" r:id="rId3"/>
    <sheet name="Race" sheetId="8" r:id="rId4"/>
    <sheet name="Vocation" sheetId="5" r:id="rId5"/>
    <sheet name="Fishing" sheetId="11" r:id="rId6"/>
    <sheet name="Birding" sheetId="12" r:id="rId7"/>
    <sheet name="&lt;template&gt;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2" l="1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2" i="12"/>
  <c r="AH3" i="12"/>
  <c r="AH4" i="12"/>
  <c r="AH5" i="12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20" i="12"/>
  <c r="AH121" i="12"/>
  <c r="AH122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5" i="12"/>
  <c r="AH136" i="12"/>
  <c r="AH137" i="12"/>
  <c r="AH138" i="12"/>
  <c r="AH139" i="12"/>
  <c r="AH140" i="12"/>
  <c r="AH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2" i="12"/>
  <c r="R102" i="12"/>
  <c r="S102" i="12" s="1"/>
  <c r="T102" i="12"/>
  <c r="U102" i="12"/>
  <c r="V102" i="12"/>
  <c r="W102" i="12"/>
  <c r="X102" i="12"/>
  <c r="Y102" i="12" s="1"/>
  <c r="Z102" i="12"/>
  <c r="AA102" i="12"/>
  <c r="AB102" i="12"/>
  <c r="AC102" i="12"/>
  <c r="AD102" i="12"/>
  <c r="AE102" i="12"/>
  <c r="AF102" i="12"/>
  <c r="AG102" i="12" s="1"/>
  <c r="AI102" i="12"/>
  <c r="AJ102" i="12"/>
  <c r="AK102" i="12"/>
  <c r="AL102" i="12"/>
  <c r="AM102" i="12"/>
  <c r="R103" i="12"/>
  <c r="S103" i="12"/>
  <c r="T103" i="12"/>
  <c r="U103" i="12"/>
  <c r="V103" i="12"/>
  <c r="W103" i="12"/>
  <c r="X103" i="12"/>
  <c r="Y103" i="12" s="1"/>
  <c r="Z103" i="12"/>
  <c r="AA103" i="12" s="1"/>
  <c r="AB103" i="12"/>
  <c r="AC103" i="12" s="1"/>
  <c r="AD103" i="12"/>
  <c r="AE103" i="12"/>
  <c r="AF103" i="12"/>
  <c r="AG103" i="12" s="1"/>
  <c r="AI103" i="12"/>
  <c r="AJ103" i="12"/>
  <c r="AK103" i="12"/>
  <c r="AL103" i="12"/>
  <c r="AM103" i="12"/>
  <c r="R104" i="12"/>
  <c r="S104" i="12" s="1"/>
  <c r="T104" i="12"/>
  <c r="U104" i="12"/>
  <c r="V104" i="12"/>
  <c r="W104" i="12"/>
  <c r="X104" i="12"/>
  <c r="Y104" i="12"/>
  <c r="Z104" i="12"/>
  <c r="AA104" i="12" s="1"/>
  <c r="AB104" i="12"/>
  <c r="AC104" i="12" s="1"/>
  <c r="AD104" i="12"/>
  <c r="AE104" i="12"/>
  <c r="AF104" i="12"/>
  <c r="AG104" i="12" s="1"/>
  <c r="AI104" i="12"/>
  <c r="AJ104" i="12"/>
  <c r="AK104" i="12"/>
  <c r="AL104" i="12"/>
  <c r="AM104" i="12"/>
  <c r="R105" i="12"/>
  <c r="S105" i="12" s="1"/>
  <c r="T105" i="12"/>
  <c r="U105" i="12"/>
  <c r="V105" i="12"/>
  <c r="W105" i="12"/>
  <c r="X105" i="12"/>
  <c r="Y105" i="12" s="1"/>
  <c r="Z105" i="12"/>
  <c r="AA105" i="12" s="1"/>
  <c r="AB105" i="12"/>
  <c r="AC105" i="12"/>
  <c r="AD105" i="12"/>
  <c r="AE105" i="12"/>
  <c r="AF105" i="12"/>
  <c r="AG105" i="12"/>
  <c r="AI105" i="12"/>
  <c r="AJ105" i="12"/>
  <c r="AK105" i="12"/>
  <c r="AL105" i="12"/>
  <c r="AM105" i="12"/>
  <c r="R106" i="12"/>
  <c r="S106" i="12" s="1"/>
  <c r="T106" i="12"/>
  <c r="U106" i="12"/>
  <c r="V106" i="12"/>
  <c r="W106" i="12"/>
  <c r="X106" i="12"/>
  <c r="Y106" i="12" s="1"/>
  <c r="Z106" i="12"/>
  <c r="AA106" i="12"/>
  <c r="AB106" i="12"/>
  <c r="AC106" i="12"/>
  <c r="AD106" i="12"/>
  <c r="AE106" i="12"/>
  <c r="AF106" i="12"/>
  <c r="AG106" i="12" s="1"/>
  <c r="AI106" i="12"/>
  <c r="AJ106" i="12"/>
  <c r="AK106" i="12"/>
  <c r="AL106" i="12"/>
  <c r="AM106" i="12"/>
  <c r="R107" i="12"/>
  <c r="S107" i="12"/>
  <c r="T107" i="12"/>
  <c r="U107" i="12"/>
  <c r="V107" i="12"/>
  <c r="W107" i="12"/>
  <c r="X107" i="12"/>
  <c r="Y107" i="12" s="1"/>
  <c r="Z107" i="12"/>
  <c r="AA107" i="12" s="1"/>
  <c r="AB107" i="12"/>
  <c r="AC107" i="12" s="1"/>
  <c r="AD107" i="12"/>
  <c r="AE107" i="12"/>
  <c r="AF107" i="12"/>
  <c r="AG107" i="12" s="1"/>
  <c r="AI107" i="12"/>
  <c r="AJ107" i="12"/>
  <c r="AK107" i="12"/>
  <c r="AL107" i="12"/>
  <c r="AM107" i="12"/>
  <c r="R108" i="12"/>
  <c r="S108" i="12" s="1"/>
  <c r="T108" i="12"/>
  <c r="U108" i="12"/>
  <c r="V108" i="12"/>
  <c r="W108" i="12"/>
  <c r="X108" i="12"/>
  <c r="Y108" i="12"/>
  <c r="Z108" i="12"/>
  <c r="AA108" i="12" s="1"/>
  <c r="AB108" i="12"/>
  <c r="AC108" i="12"/>
  <c r="AD108" i="12"/>
  <c r="AE108" i="12"/>
  <c r="AF108" i="12"/>
  <c r="AG108" i="12" s="1"/>
  <c r="AI108" i="12"/>
  <c r="AJ108" i="12"/>
  <c r="AK108" i="12"/>
  <c r="AL108" i="12"/>
  <c r="AM108" i="12"/>
  <c r="R109" i="12"/>
  <c r="S109" i="12" s="1"/>
  <c r="T109" i="12"/>
  <c r="U109" i="12"/>
  <c r="V109" i="12"/>
  <c r="W109" i="12"/>
  <c r="X109" i="12"/>
  <c r="Y109" i="12" s="1"/>
  <c r="Z109" i="12"/>
  <c r="AA109" i="12" s="1"/>
  <c r="AB109" i="12"/>
  <c r="AC109" i="12"/>
  <c r="AD109" i="12"/>
  <c r="AE109" i="12"/>
  <c r="AF109" i="12"/>
  <c r="AG109" i="12"/>
  <c r="AI109" i="12"/>
  <c r="AJ109" i="12"/>
  <c r="AK109" i="12"/>
  <c r="AL109" i="12"/>
  <c r="AM109" i="12"/>
  <c r="R110" i="12"/>
  <c r="S110" i="12" s="1"/>
  <c r="T110" i="12"/>
  <c r="U110" i="12"/>
  <c r="V110" i="12"/>
  <c r="W110" i="12"/>
  <c r="X110" i="12"/>
  <c r="Y110" i="12" s="1"/>
  <c r="Z110" i="12"/>
  <c r="AA110" i="12"/>
  <c r="AB110" i="12"/>
  <c r="AC110" i="12"/>
  <c r="AD110" i="12"/>
  <c r="AE110" i="12"/>
  <c r="AF110" i="12"/>
  <c r="AG110" i="12" s="1"/>
  <c r="AI110" i="12"/>
  <c r="AJ110" i="12"/>
  <c r="AK110" i="12"/>
  <c r="AL110" i="12"/>
  <c r="AM110" i="12"/>
  <c r="R111" i="12"/>
  <c r="S111" i="12"/>
  <c r="T111" i="12"/>
  <c r="U111" i="12"/>
  <c r="V111" i="12"/>
  <c r="W111" i="12"/>
  <c r="X111" i="12"/>
  <c r="Y111" i="12" s="1"/>
  <c r="Z111" i="12"/>
  <c r="AA111" i="12" s="1"/>
  <c r="AB111" i="12"/>
  <c r="AC111" i="12" s="1"/>
  <c r="AD111" i="12"/>
  <c r="AE111" i="12"/>
  <c r="AF111" i="12"/>
  <c r="AG111" i="12" s="1"/>
  <c r="AI111" i="12"/>
  <c r="AJ111" i="12"/>
  <c r="AK111" i="12"/>
  <c r="AL111" i="12"/>
  <c r="AM111" i="12"/>
  <c r="R112" i="12"/>
  <c r="S112" i="12" s="1"/>
  <c r="T112" i="12"/>
  <c r="U112" i="12"/>
  <c r="V112" i="12"/>
  <c r="W112" i="12"/>
  <c r="X112" i="12"/>
  <c r="Y112" i="12"/>
  <c r="Z112" i="12"/>
  <c r="AA112" i="12" s="1"/>
  <c r="AB112" i="12"/>
  <c r="AC112" i="12"/>
  <c r="AD112" i="12"/>
  <c r="AE112" i="12"/>
  <c r="AF112" i="12"/>
  <c r="AG112" i="12" s="1"/>
  <c r="AI112" i="12"/>
  <c r="AJ112" i="12"/>
  <c r="AK112" i="12"/>
  <c r="AL112" i="12"/>
  <c r="AM112" i="12"/>
  <c r="R113" i="12"/>
  <c r="S113" i="12" s="1"/>
  <c r="T113" i="12"/>
  <c r="U113" i="12"/>
  <c r="V113" i="12"/>
  <c r="W113" i="12"/>
  <c r="X113" i="12"/>
  <c r="Y113" i="12" s="1"/>
  <c r="Z113" i="12"/>
  <c r="AA113" i="12" s="1"/>
  <c r="AB113" i="12"/>
  <c r="AC113" i="12"/>
  <c r="AD113" i="12"/>
  <c r="AE113" i="12"/>
  <c r="AF113" i="12"/>
  <c r="AG113" i="12"/>
  <c r="AI113" i="12"/>
  <c r="AJ113" i="12"/>
  <c r="AK113" i="12"/>
  <c r="AL113" i="12"/>
  <c r="AM113" i="12"/>
  <c r="R114" i="12"/>
  <c r="S114" i="12" s="1"/>
  <c r="T114" i="12"/>
  <c r="U114" i="12"/>
  <c r="V114" i="12"/>
  <c r="W114" i="12"/>
  <c r="X114" i="12"/>
  <c r="Y114" i="12" s="1"/>
  <c r="Z114" i="12"/>
  <c r="AA114" i="12"/>
  <c r="AB114" i="12"/>
  <c r="AC114" i="12"/>
  <c r="AD114" i="12"/>
  <c r="AE114" i="12"/>
  <c r="AF114" i="12"/>
  <c r="AG114" i="12" s="1"/>
  <c r="AI114" i="12"/>
  <c r="AJ114" i="12"/>
  <c r="AK114" i="12"/>
  <c r="AL114" i="12"/>
  <c r="AM114" i="12"/>
  <c r="R115" i="12"/>
  <c r="S115" i="12"/>
  <c r="T115" i="12"/>
  <c r="U115" i="12"/>
  <c r="V115" i="12"/>
  <c r="W115" i="12"/>
  <c r="X115" i="12"/>
  <c r="Y115" i="12" s="1"/>
  <c r="Z115" i="12"/>
  <c r="AA115" i="12" s="1"/>
  <c r="AB115" i="12"/>
  <c r="AC115" i="12" s="1"/>
  <c r="AD115" i="12"/>
  <c r="AE115" i="12"/>
  <c r="AF115" i="12"/>
  <c r="AG115" i="12" s="1"/>
  <c r="AI115" i="12"/>
  <c r="AJ115" i="12"/>
  <c r="AK115" i="12"/>
  <c r="AL115" i="12"/>
  <c r="AM115" i="12"/>
  <c r="R116" i="12"/>
  <c r="S116" i="12" s="1"/>
  <c r="T116" i="12"/>
  <c r="U116" i="12"/>
  <c r="V116" i="12"/>
  <c r="W116" i="12"/>
  <c r="X116" i="12"/>
  <c r="Y116" i="12"/>
  <c r="Z116" i="12"/>
  <c r="AA116" i="12" s="1"/>
  <c r="AB116" i="12"/>
  <c r="AC116" i="12"/>
  <c r="AD116" i="12"/>
  <c r="AE116" i="12"/>
  <c r="AF116" i="12"/>
  <c r="AG116" i="12" s="1"/>
  <c r="AI116" i="12"/>
  <c r="AJ116" i="12"/>
  <c r="AK116" i="12"/>
  <c r="AL116" i="12"/>
  <c r="AM116" i="12"/>
  <c r="R117" i="12"/>
  <c r="S117" i="12" s="1"/>
  <c r="T117" i="12"/>
  <c r="U117" i="12"/>
  <c r="V117" i="12"/>
  <c r="W117" i="12"/>
  <c r="X117" i="12"/>
  <c r="Y117" i="12" s="1"/>
  <c r="Z117" i="12"/>
  <c r="AA117" i="12" s="1"/>
  <c r="AB117" i="12"/>
  <c r="AC117" i="12"/>
  <c r="AD117" i="12"/>
  <c r="AE117" i="12"/>
  <c r="AF117" i="12"/>
  <c r="AG117" i="12"/>
  <c r="AI117" i="12"/>
  <c r="AJ117" i="12"/>
  <c r="AK117" i="12"/>
  <c r="AL117" i="12"/>
  <c r="AM117" i="12"/>
  <c r="R118" i="12"/>
  <c r="S118" i="12" s="1"/>
  <c r="T118" i="12"/>
  <c r="U118" i="12"/>
  <c r="V118" i="12"/>
  <c r="W118" i="12"/>
  <c r="X118" i="12"/>
  <c r="Y118" i="12" s="1"/>
  <c r="Z118" i="12"/>
  <c r="AA118" i="12"/>
  <c r="AB118" i="12"/>
  <c r="AC118" i="12"/>
  <c r="AD118" i="12"/>
  <c r="AE118" i="12"/>
  <c r="AF118" i="12"/>
  <c r="AG118" i="12" s="1"/>
  <c r="AI118" i="12"/>
  <c r="AJ118" i="12"/>
  <c r="AK118" i="12"/>
  <c r="AL118" i="12"/>
  <c r="AM118" i="12"/>
  <c r="R119" i="12"/>
  <c r="S119" i="12"/>
  <c r="T119" i="12"/>
  <c r="U119" i="12"/>
  <c r="V119" i="12"/>
  <c r="W119" i="12"/>
  <c r="X119" i="12"/>
  <c r="Y119" i="12" s="1"/>
  <c r="Z119" i="12"/>
  <c r="AA119" i="12" s="1"/>
  <c r="AB119" i="12"/>
  <c r="AC119" i="12" s="1"/>
  <c r="AD119" i="12"/>
  <c r="AE119" i="12"/>
  <c r="AF119" i="12"/>
  <c r="AG119" i="12" s="1"/>
  <c r="AI119" i="12"/>
  <c r="AJ119" i="12"/>
  <c r="AK119" i="12"/>
  <c r="AL119" i="12"/>
  <c r="AM119" i="12"/>
  <c r="R120" i="12"/>
  <c r="S120" i="12" s="1"/>
  <c r="T120" i="12"/>
  <c r="U120" i="12"/>
  <c r="V120" i="12"/>
  <c r="W120" i="12"/>
  <c r="X120" i="12"/>
  <c r="Y120" i="12"/>
  <c r="Z120" i="12"/>
  <c r="AA120" i="12" s="1"/>
  <c r="AB120" i="12"/>
  <c r="AC120" i="12"/>
  <c r="AD120" i="12"/>
  <c r="AE120" i="12"/>
  <c r="AF120" i="12"/>
  <c r="AG120" i="12" s="1"/>
  <c r="AI120" i="12"/>
  <c r="AJ120" i="12"/>
  <c r="AK120" i="12"/>
  <c r="AL120" i="12"/>
  <c r="AM120" i="12"/>
  <c r="R121" i="12"/>
  <c r="S121" i="12" s="1"/>
  <c r="Q121" i="12" s="1"/>
  <c r="T121" i="12"/>
  <c r="U121" i="12"/>
  <c r="V121" i="12"/>
  <c r="W121" i="12"/>
  <c r="X121" i="12"/>
  <c r="Y121" i="12" s="1"/>
  <c r="Z121" i="12"/>
  <c r="AA121" i="12" s="1"/>
  <c r="AB121" i="12"/>
  <c r="AC121" i="12"/>
  <c r="AD121" i="12"/>
  <c r="AE121" i="12"/>
  <c r="AF121" i="12"/>
  <c r="AG121" i="12"/>
  <c r="AI121" i="12"/>
  <c r="AJ121" i="12"/>
  <c r="AK121" i="12"/>
  <c r="AL121" i="12"/>
  <c r="AM121" i="12"/>
  <c r="R122" i="12"/>
  <c r="S122" i="12" s="1"/>
  <c r="T122" i="12"/>
  <c r="U122" i="12"/>
  <c r="V122" i="12"/>
  <c r="W122" i="12"/>
  <c r="X122" i="12"/>
  <c r="Y122" i="12" s="1"/>
  <c r="Z122" i="12"/>
  <c r="AA122" i="12"/>
  <c r="AB122" i="12"/>
  <c r="AC122" i="12"/>
  <c r="AD122" i="12"/>
  <c r="AE122" i="12"/>
  <c r="AF122" i="12"/>
  <c r="AG122" i="12" s="1"/>
  <c r="AI122" i="12"/>
  <c r="AJ122" i="12"/>
  <c r="AK122" i="12"/>
  <c r="AL122" i="12"/>
  <c r="AM122" i="12"/>
  <c r="R123" i="12"/>
  <c r="S123" i="12"/>
  <c r="T123" i="12"/>
  <c r="U123" i="12"/>
  <c r="V123" i="12"/>
  <c r="W123" i="12"/>
  <c r="X123" i="12"/>
  <c r="Y123" i="12" s="1"/>
  <c r="Z123" i="12"/>
  <c r="AA123" i="12" s="1"/>
  <c r="AB123" i="12"/>
  <c r="AC123" i="12" s="1"/>
  <c r="AD123" i="12"/>
  <c r="AE123" i="12"/>
  <c r="AF123" i="12"/>
  <c r="AG123" i="12" s="1"/>
  <c r="AI123" i="12"/>
  <c r="AJ123" i="12"/>
  <c r="AK123" i="12"/>
  <c r="AL123" i="12"/>
  <c r="AM123" i="12"/>
  <c r="R124" i="12"/>
  <c r="S124" i="12" s="1"/>
  <c r="T124" i="12"/>
  <c r="U124" i="12"/>
  <c r="V124" i="12"/>
  <c r="W124" i="12"/>
  <c r="X124" i="12"/>
  <c r="Y124" i="12"/>
  <c r="Z124" i="12"/>
  <c r="AA124" i="12" s="1"/>
  <c r="AB124" i="12"/>
  <c r="AC124" i="12"/>
  <c r="AD124" i="12"/>
  <c r="AE124" i="12"/>
  <c r="AF124" i="12"/>
  <c r="AG124" i="12" s="1"/>
  <c r="AI124" i="12"/>
  <c r="AJ124" i="12"/>
  <c r="AK124" i="12"/>
  <c r="AL124" i="12"/>
  <c r="AM124" i="12"/>
  <c r="R125" i="12"/>
  <c r="S125" i="12" s="1"/>
  <c r="T125" i="12"/>
  <c r="U125" i="12"/>
  <c r="V125" i="12"/>
  <c r="W125" i="12"/>
  <c r="X125" i="12"/>
  <c r="Y125" i="12" s="1"/>
  <c r="Z125" i="12"/>
  <c r="AA125" i="12" s="1"/>
  <c r="AB125" i="12"/>
  <c r="AC125" i="12"/>
  <c r="AD125" i="12"/>
  <c r="AE125" i="12"/>
  <c r="AF125" i="12"/>
  <c r="AG125" i="12"/>
  <c r="AI125" i="12"/>
  <c r="AJ125" i="12"/>
  <c r="AK125" i="12"/>
  <c r="AL125" i="12"/>
  <c r="AM125" i="12"/>
  <c r="R126" i="12"/>
  <c r="S126" i="12" s="1"/>
  <c r="T126" i="12"/>
  <c r="U126" i="12"/>
  <c r="V126" i="12"/>
  <c r="W126" i="12"/>
  <c r="X126" i="12"/>
  <c r="Y126" i="12" s="1"/>
  <c r="Z126" i="12"/>
  <c r="AA126" i="12"/>
  <c r="AB126" i="12"/>
  <c r="AC126" i="12"/>
  <c r="AD126" i="12"/>
  <c r="AE126" i="12"/>
  <c r="AF126" i="12"/>
  <c r="AG126" i="12" s="1"/>
  <c r="AI126" i="12"/>
  <c r="AJ126" i="12"/>
  <c r="AK126" i="12"/>
  <c r="AL126" i="12"/>
  <c r="AM126" i="12"/>
  <c r="R127" i="12"/>
  <c r="S127" i="12"/>
  <c r="T127" i="12"/>
  <c r="U127" i="12"/>
  <c r="V127" i="12"/>
  <c r="W127" i="12"/>
  <c r="X127" i="12"/>
  <c r="Y127" i="12" s="1"/>
  <c r="Z127" i="12"/>
  <c r="AA127" i="12" s="1"/>
  <c r="AB127" i="12"/>
  <c r="AC127" i="12" s="1"/>
  <c r="AD127" i="12"/>
  <c r="AE127" i="12"/>
  <c r="AF127" i="12"/>
  <c r="AG127" i="12" s="1"/>
  <c r="AI127" i="12"/>
  <c r="AJ127" i="12"/>
  <c r="AK127" i="12"/>
  <c r="AL127" i="12"/>
  <c r="AM127" i="12"/>
  <c r="R128" i="12"/>
  <c r="S128" i="12" s="1"/>
  <c r="T128" i="12"/>
  <c r="U128" i="12"/>
  <c r="V128" i="12"/>
  <c r="W128" i="12"/>
  <c r="X128" i="12"/>
  <c r="Y128" i="12"/>
  <c r="Z128" i="12"/>
  <c r="AA128" i="12" s="1"/>
  <c r="AB128" i="12"/>
  <c r="AC128" i="12"/>
  <c r="AD128" i="12"/>
  <c r="AE128" i="12"/>
  <c r="AF128" i="12"/>
  <c r="AG128" i="12" s="1"/>
  <c r="AI128" i="12"/>
  <c r="AJ128" i="12"/>
  <c r="AK128" i="12"/>
  <c r="AL128" i="12"/>
  <c r="AM128" i="12"/>
  <c r="R129" i="12"/>
  <c r="S129" i="12" s="1"/>
  <c r="T129" i="12"/>
  <c r="U129" i="12"/>
  <c r="V129" i="12"/>
  <c r="W129" i="12"/>
  <c r="X129" i="12"/>
  <c r="Y129" i="12" s="1"/>
  <c r="Z129" i="12"/>
  <c r="AA129" i="12" s="1"/>
  <c r="AB129" i="12"/>
  <c r="AC129" i="12"/>
  <c r="AD129" i="12"/>
  <c r="AE129" i="12"/>
  <c r="AF129" i="12"/>
  <c r="AG129" i="12"/>
  <c r="AI129" i="12"/>
  <c r="AJ129" i="12"/>
  <c r="AK129" i="12"/>
  <c r="AL129" i="12"/>
  <c r="AM129" i="12"/>
  <c r="R130" i="12"/>
  <c r="S130" i="12" s="1"/>
  <c r="T130" i="12"/>
  <c r="U130" i="12"/>
  <c r="V130" i="12"/>
  <c r="W130" i="12"/>
  <c r="X130" i="12"/>
  <c r="Y130" i="12" s="1"/>
  <c r="Z130" i="12"/>
  <c r="AA130" i="12"/>
  <c r="AB130" i="12"/>
  <c r="AC130" i="12"/>
  <c r="AD130" i="12"/>
  <c r="AE130" i="12"/>
  <c r="AF130" i="12"/>
  <c r="AG130" i="12" s="1"/>
  <c r="AI130" i="12"/>
  <c r="AJ130" i="12"/>
  <c r="AK130" i="12"/>
  <c r="AL130" i="12"/>
  <c r="AM130" i="12"/>
  <c r="R131" i="12"/>
  <c r="S131" i="12"/>
  <c r="T131" i="12"/>
  <c r="U131" i="12"/>
  <c r="V131" i="12"/>
  <c r="W131" i="12"/>
  <c r="X131" i="12"/>
  <c r="Y131" i="12" s="1"/>
  <c r="Z131" i="12"/>
  <c r="AA131" i="12" s="1"/>
  <c r="AB131" i="12"/>
  <c r="AC131" i="12" s="1"/>
  <c r="AD131" i="12"/>
  <c r="AE131" i="12"/>
  <c r="AF131" i="12"/>
  <c r="AG131" i="12" s="1"/>
  <c r="AI131" i="12"/>
  <c r="AJ131" i="12"/>
  <c r="AK131" i="12"/>
  <c r="AL131" i="12"/>
  <c r="AM131" i="12"/>
  <c r="R132" i="12"/>
  <c r="S132" i="12" s="1"/>
  <c r="T132" i="12"/>
  <c r="U132" i="12"/>
  <c r="V132" i="12"/>
  <c r="W132" i="12"/>
  <c r="X132" i="12"/>
  <c r="Y132" i="12"/>
  <c r="Z132" i="12"/>
  <c r="AA132" i="12" s="1"/>
  <c r="AB132" i="12"/>
  <c r="AC132" i="12"/>
  <c r="AD132" i="12"/>
  <c r="AE132" i="12"/>
  <c r="AF132" i="12"/>
  <c r="AG132" i="12" s="1"/>
  <c r="AI132" i="12"/>
  <c r="AJ132" i="12"/>
  <c r="AK132" i="12"/>
  <c r="AL132" i="12"/>
  <c r="AM132" i="12"/>
  <c r="R133" i="12"/>
  <c r="S133" i="12" s="1"/>
  <c r="T133" i="12"/>
  <c r="U133" i="12"/>
  <c r="V133" i="12"/>
  <c r="W133" i="12"/>
  <c r="X133" i="12"/>
  <c r="Y133" i="12" s="1"/>
  <c r="Z133" i="12"/>
  <c r="AA133" i="12" s="1"/>
  <c r="AB133" i="12"/>
  <c r="AC133" i="12"/>
  <c r="AD133" i="12"/>
  <c r="AE133" i="12"/>
  <c r="AF133" i="12"/>
  <c r="AG133" i="12"/>
  <c r="AI133" i="12"/>
  <c r="AJ133" i="12"/>
  <c r="AK133" i="12"/>
  <c r="AL133" i="12"/>
  <c r="AM133" i="12"/>
  <c r="R134" i="12"/>
  <c r="S134" i="12" s="1"/>
  <c r="T134" i="12"/>
  <c r="U134" i="12"/>
  <c r="V134" i="12"/>
  <c r="W134" i="12"/>
  <c r="X134" i="12"/>
  <c r="Y134" i="12" s="1"/>
  <c r="Z134" i="12"/>
  <c r="AA134" i="12"/>
  <c r="AB134" i="12"/>
  <c r="AC134" i="12"/>
  <c r="AD134" i="12"/>
  <c r="AE134" i="12"/>
  <c r="AF134" i="12"/>
  <c r="AG134" i="12" s="1"/>
  <c r="AI134" i="12"/>
  <c r="AJ134" i="12"/>
  <c r="AK134" i="12"/>
  <c r="AL134" i="12"/>
  <c r="AM134" i="12"/>
  <c r="R135" i="12"/>
  <c r="S135" i="12"/>
  <c r="T135" i="12"/>
  <c r="U135" i="12"/>
  <c r="V135" i="12"/>
  <c r="W135" i="12"/>
  <c r="X135" i="12"/>
  <c r="Y135" i="12" s="1"/>
  <c r="Z135" i="12"/>
  <c r="AA135" i="12" s="1"/>
  <c r="AB135" i="12"/>
  <c r="AC135" i="12" s="1"/>
  <c r="AD135" i="12"/>
  <c r="AE135" i="12"/>
  <c r="AF135" i="12"/>
  <c r="AG135" i="12" s="1"/>
  <c r="AI135" i="12"/>
  <c r="AJ135" i="12"/>
  <c r="AK135" i="12"/>
  <c r="AL135" i="12"/>
  <c r="AM135" i="12"/>
  <c r="R136" i="12"/>
  <c r="S136" i="12" s="1"/>
  <c r="T136" i="12"/>
  <c r="U136" i="12"/>
  <c r="V136" i="12"/>
  <c r="W136" i="12"/>
  <c r="X136" i="12"/>
  <c r="Y136" i="12"/>
  <c r="Z136" i="12"/>
  <c r="AA136" i="12" s="1"/>
  <c r="AB136" i="12"/>
  <c r="AC136" i="12"/>
  <c r="AD136" i="12"/>
  <c r="AE136" i="12"/>
  <c r="AF136" i="12"/>
  <c r="AG136" i="12" s="1"/>
  <c r="AI136" i="12"/>
  <c r="AJ136" i="12"/>
  <c r="AK136" i="12"/>
  <c r="AL136" i="12"/>
  <c r="AM136" i="12"/>
  <c r="R137" i="12"/>
  <c r="S137" i="12" s="1"/>
  <c r="T137" i="12"/>
  <c r="U137" i="12"/>
  <c r="V137" i="12"/>
  <c r="W137" i="12"/>
  <c r="X137" i="12"/>
  <c r="Y137" i="12" s="1"/>
  <c r="Z137" i="12"/>
  <c r="AA137" i="12" s="1"/>
  <c r="AB137" i="12"/>
  <c r="AC137" i="12"/>
  <c r="AD137" i="12"/>
  <c r="AE137" i="12"/>
  <c r="AF137" i="12"/>
  <c r="AG137" i="12"/>
  <c r="AI137" i="12"/>
  <c r="AJ137" i="12"/>
  <c r="AK137" i="12"/>
  <c r="AL137" i="12"/>
  <c r="AM137" i="12"/>
  <c r="R138" i="12"/>
  <c r="S138" i="12" s="1"/>
  <c r="T138" i="12"/>
  <c r="U138" i="12"/>
  <c r="V138" i="12"/>
  <c r="W138" i="12"/>
  <c r="X138" i="12"/>
  <c r="Y138" i="12" s="1"/>
  <c r="Z138" i="12"/>
  <c r="AA138" i="12"/>
  <c r="AB138" i="12"/>
  <c r="AC138" i="12"/>
  <c r="AD138" i="12"/>
  <c r="AE138" i="12"/>
  <c r="AF138" i="12"/>
  <c r="AG138" i="12" s="1"/>
  <c r="AI138" i="12"/>
  <c r="AJ138" i="12"/>
  <c r="AK138" i="12"/>
  <c r="AL138" i="12"/>
  <c r="AM138" i="12"/>
  <c r="R139" i="12"/>
  <c r="S139" i="12"/>
  <c r="T139" i="12"/>
  <c r="U139" i="12"/>
  <c r="V139" i="12"/>
  <c r="W139" i="12"/>
  <c r="X139" i="12"/>
  <c r="Y139" i="12" s="1"/>
  <c r="Z139" i="12"/>
  <c r="AA139" i="12" s="1"/>
  <c r="AB139" i="12"/>
  <c r="AC139" i="12" s="1"/>
  <c r="AD139" i="12"/>
  <c r="AE139" i="12"/>
  <c r="AF139" i="12"/>
  <c r="AG139" i="12" s="1"/>
  <c r="AI139" i="12"/>
  <c r="AJ139" i="12"/>
  <c r="AK139" i="12"/>
  <c r="AL139" i="12"/>
  <c r="AM139" i="12"/>
  <c r="R140" i="12"/>
  <c r="S140" i="12" s="1"/>
  <c r="T140" i="12"/>
  <c r="U140" i="12"/>
  <c r="V140" i="12"/>
  <c r="W140" i="12"/>
  <c r="X140" i="12"/>
  <c r="Y140" i="12"/>
  <c r="Z140" i="12"/>
  <c r="AA140" i="12" s="1"/>
  <c r="AB140" i="12"/>
  <c r="AC140" i="12"/>
  <c r="AD140" i="12"/>
  <c r="AE140" i="12"/>
  <c r="AF140" i="12"/>
  <c r="AG140" i="12" s="1"/>
  <c r="AI140" i="12"/>
  <c r="AJ140" i="12"/>
  <c r="AK140" i="12"/>
  <c r="AL140" i="12"/>
  <c r="AM140" i="12"/>
  <c r="R3" i="12"/>
  <c r="S3" i="12" s="1"/>
  <c r="T3" i="12"/>
  <c r="U3" i="12"/>
  <c r="V3" i="12"/>
  <c r="W3" i="12"/>
  <c r="X3" i="12"/>
  <c r="Y3" i="12"/>
  <c r="Z3" i="12"/>
  <c r="AA3" i="12"/>
  <c r="AB3" i="12"/>
  <c r="AC3" i="12" s="1"/>
  <c r="AD3" i="12"/>
  <c r="AE3" i="12"/>
  <c r="AF3" i="12"/>
  <c r="AG3" i="12" s="1"/>
  <c r="AI3" i="12"/>
  <c r="AJ3" i="12"/>
  <c r="AK3" i="12"/>
  <c r="AL3" i="12"/>
  <c r="AM3" i="12"/>
  <c r="R4" i="12"/>
  <c r="S4" i="12" s="1"/>
  <c r="T4" i="12"/>
  <c r="U4" i="12"/>
  <c r="V4" i="12"/>
  <c r="W4" i="12"/>
  <c r="X4" i="12"/>
  <c r="Y4" i="12" s="1"/>
  <c r="Z4" i="12"/>
  <c r="AA4" i="12" s="1"/>
  <c r="AB4" i="12"/>
  <c r="AC4" i="12"/>
  <c r="AD4" i="12"/>
  <c r="AE4" i="12" s="1"/>
  <c r="AF4" i="12"/>
  <c r="AG4" i="12" s="1"/>
  <c r="AI4" i="12"/>
  <c r="AJ4" i="12"/>
  <c r="AK4" i="12"/>
  <c r="AL4" i="12"/>
  <c r="AM4" i="12"/>
  <c r="R5" i="12"/>
  <c r="S5" i="12" s="1"/>
  <c r="T5" i="12"/>
  <c r="U5" i="12"/>
  <c r="V5" i="12"/>
  <c r="W5" i="12"/>
  <c r="X5" i="12"/>
  <c r="Y5" i="12" s="1"/>
  <c r="Z5" i="12"/>
  <c r="AA5" i="12" s="1"/>
  <c r="AB5" i="12"/>
  <c r="AC5" i="12"/>
  <c r="AD5" i="12"/>
  <c r="AE5" i="12"/>
  <c r="AF5" i="12"/>
  <c r="AG5" i="12" s="1"/>
  <c r="AI5" i="12"/>
  <c r="AJ5" i="12"/>
  <c r="AK5" i="12"/>
  <c r="AL5" i="12"/>
  <c r="AM5" i="12"/>
  <c r="R6" i="12"/>
  <c r="S6" i="12" s="1"/>
  <c r="T6" i="12"/>
  <c r="U6" i="12"/>
  <c r="V6" i="12"/>
  <c r="W6" i="12"/>
  <c r="X6" i="12"/>
  <c r="Y6" i="12" s="1"/>
  <c r="Z6" i="12"/>
  <c r="AA6" i="12" s="1"/>
  <c r="AB6" i="12"/>
  <c r="AC6" i="12"/>
  <c r="AD6" i="12"/>
  <c r="AE6" i="12" s="1"/>
  <c r="AF6" i="12"/>
  <c r="AG6" i="12"/>
  <c r="AI6" i="12"/>
  <c r="AJ6" i="12"/>
  <c r="AK6" i="12"/>
  <c r="AL6" i="12"/>
  <c r="AM6" i="12"/>
  <c r="R7" i="12"/>
  <c r="S7" i="12" s="1"/>
  <c r="T7" i="12"/>
  <c r="U7" i="12"/>
  <c r="V7" i="12"/>
  <c r="W7" i="12"/>
  <c r="X7" i="12"/>
  <c r="Y7" i="12"/>
  <c r="Z7" i="12"/>
  <c r="AA7" i="12" s="1"/>
  <c r="AB7" i="12"/>
  <c r="AC7" i="12" s="1"/>
  <c r="AD7" i="12"/>
  <c r="AE7" i="12" s="1"/>
  <c r="AF7" i="12"/>
  <c r="AG7" i="12" s="1"/>
  <c r="AI7" i="12"/>
  <c r="AJ7" i="12"/>
  <c r="AK7" i="12"/>
  <c r="AL7" i="12"/>
  <c r="AM7" i="12"/>
  <c r="R8" i="12"/>
  <c r="S8" i="12" s="1"/>
  <c r="T8" i="12"/>
  <c r="U8" i="12"/>
  <c r="V8" i="12"/>
  <c r="W8" i="12"/>
  <c r="X8" i="12"/>
  <c r="Y8" i="12" s="1"/>
  <c r="Z8" i="12"/>
  <c r="AA8" i="12" s="1"/>
  <c r="AB8" i="12"/>
  <c r="AC8" i="12" s="1"/>
  <c r="AD8" i="12"/>
  <c r="AE8" i="12"/>
  <c r="AF8" i="12"/>
  <c r="AG8" i="12" s="1"/>
  <c r="AI8" i="12"/>
  <c r="AJ8" i="12"/>
  <c r="AK8" i="12"/>
  <c r="AL8" i="12"/>
  <c r="AM8" i="12"/>
  <c r="R9" i="12"/>
  <c r="S9" i="12" s="1"/>
  <c r="T9" i="12"/>
  <c r="U9" i="12"/>
  <c r="V9" i="12"/>
  <c r="W9" i="12"/>
  <c r="X9" i="12"/>
  <c r="Y9" i="12" s="1"/>
  <c r="Z9" i="12"/>
  <c r="AA9" i="12"/>
  <c r="AB9" i="12"/>
  <c r="AC9" i="12"/>
  <c r="AD9" i="12"/>
  <c r="AE9" i="12"/>
  <c r="AF9" i="12"/>
  <c r="AG9" i="12" s="1"/>
  <c r="AI9" i="12"/>
  <c r="AJ9" i="12"/>
  <c r="AK9" i="12"/>
  <c r="AL9" i="12"/>
  <c r="AM9" i="12"/>
  <c r="R10" i="12"/>
  <c r="S10" i="12"/>
  <c r="T10" i="12"/>
  <c r="U10" i="12"/>
  <c r="V10" i="12"/>
  <c r="W10" i="12"/>
  <c r="X10" i="12"/>
  <c r="Y10" i="12" s="1"/>
  <c r="Z10" i="12"/>
  <c r="AA10" i="12" s="1"/>
  <c r="AB10" i="12"/>
  <c r="AC10" i="12" s="1"/>
  <c r="AD10" i="12"/>
  <c r="AE10" i="12" s="1"/>
  <c r="AF10" i="12"/>
  <c r="AG10" i="12" s="1"/>
  <c r="AI10" i="12"/>
  <c r="AJ10" i="12"/>
  <c r="AK10" i="12"/>
  <c r="AL10" i="12"/>
  <c r="AM10" i="12"/>
  <c r="R11" i="12"/>
  <c r="S11" i="12" s="1"/>
  <c r="T11" i="12"/>
  <c r="U11" i="12"/>
  <c r="V11" i="12"/>
  <c r="W11" i="12"/>
  <c r="X11" i="12"/>
  <c r="Y11" i="12" s="1"/>
  <c r="Z11" i="12"/>
  <c r="AA11" i="12" s="1"/>
  <c r="AB11" i="12"/>
  <c r="AC11" i="12"/>
  <c r="AD11" i="12"/>
  <c r="AE11" i="12"/>
  <c r="AF11" i="12"/>
  <c r="AG11" i="12" s="1"/>
  <c r="AI11" i="12"/>
  <c r="AJ11" i="12"/>
  <c r="AK11" i="12"/>
  <c r="AL11" i="12"/>
  <c r="AM11" i="12"/>
  <c r="R12" i="12"/>
  <c r="S12" i="12" s="1"/>
  <c r="T12" i="12"/>
  <c r="U12" i="12"/>
  <c r="V12" i="12"/>
  <c r="W12" i="12"/>
  <c r="X12" i="12"/>
  <c r="Y12" i="12" s="1"/>
  <c r="Z12" i="12"/>
  <c r="AA12" i="12" s="1"/>
  <c r="AB12" i="12"/>
  <c r="AC12" i="12"/>
  <c r="AD12" i="12"/>
  <c r="AE12" i="12" s="1"/>
  <c r="AF12" i="12"/>
  <c r="AG12" i="12"/>
  <c r="AI12" i="12"/>
  <c r="AJ12" i="12"/>
  <c r="AK12" i="12"/>
  <c r="AL12" i="12"/>
  <c r="AM12" i="12"/>
  <c r="R13" i="12"/>
  <c r="S13" i="12" s="1"/>
  <c r="T13" i="12"/>
  <c r="U13" i="12"/>
  <c r="V13" i="12"/>
  <c r="W13" i="12"/>
  <c r="X13" i="12"/>
  <c r="Y13" i="12"/>
  <c r="Z13" i="12"/>
  <c r="AA13" i="12" s="1"/>
  <c r="AB13" i="12"/>
  <c r="AC13" i="12" s="1"/>
  <c r="AD13" i="12"/>
  <c r="AE13" i="12"/>
  <c r="AF13" i="12"/>
  <c r="AG13" i="12" s="1"/>
  <c r="AI13" i="12"/>
  <c r="AJ13" i="12"/>
  <c r="AK13" i="12"/>
  <c r="AL13" i="12"/>
  <c r="AM13" i="12"/>
  <c r="R14" i="12"/>
  <c r="S14" i="12"/>
  <c r="T14" i="12"/>
  <c r="U14" i="12"/>
  <c r="V14" i="12"/>
  <c r="W14" i="12"/>
  <c r="X14" i="12"/>
  <c r="Y14" i="12" s="1"/>
  <c r="Z14" i="12"/>
  <c r="AA14" i="12" s="1"/>
  <c r="AB14" i="12"/>
  <c r="AC14" i="12" s="1"/>
  <c r="AD14" i="12"/>
  <c r="AE14" i="12"/>
  <c r="AF14" i="12"/>
  <c r="AG14" i="12"/>
  <c r="AI14" i="12"/>
  <c r="AJ14" i="12"/>
  <c r="AK14" i="12"/>
  <c r="AL14" i="12"/>
  <c r="AM14" i="12"/>
  <c r="R15" i="12"/>
  <c r="S15" i="12" s="1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 s="1"/>
  <c r="AI15" i="12"/>
  <c r="AJ15" i="12"/>
  <c r="AK15" i="12"/>
  <c r="AL15" i="12"/>
  <c r="AM15" i="12"/>
  <c r="R16" i="12"/>
  <c r="S16" i="12"/>
  <c r="T16" i="12"/>
  <c r="U16" i="12"/>
  <c r="V16" i="12"/>
  <c r="W16" i="12"/>
  <c r="X16" i="12"/>
  <c r="Y16" i="12" s="1"/>
  <c r="Z16" i="12"/>
  <c r="AA16" i="12" s="1"/>
  <c r="AB16" i="12"/>
  <c r="AC16" i="12"/>
  <c r="AD16" i="12"/>
  <c r="AE16" i="12" s="1"/>
  <c r="AF16" i="12"/>
  <c r="AG16" i="12" s="1"/>
  <c r="AI16" i="12"/>
  <c r="AJ16" i="12"/>
  <c r="AK16" i="12"/>
  <c r="AL16" i="12"/>
  <c r="AM16" i="12"/>
  <c r="R17" i="12"/>
  <c r="S17" i="12" s="1"/>
  <c r="T17" i="12"/>
  <c r="U17" i="12"/>
  <c r="V17" i="12"/>
  <c r="W17" i="12"/>
  <c r="X17" i="12"/>
  <c r="Y17" i="12" s="1"/>
  <c r="Z17" i="12"/>
  <c r="AA17" i="12" s="1"/>
  <c r="AB17" i="12"/>
  <c r="AC17" i="12" s="1"/>
  <c r="AD17" i="12"/>
  <c r="AE17" i="12"/>
  <c r="AF17" i="12"/>
  <c r="AG17" i="12" s="1"/>
  <c r="AI17" i="12"/>
  <c r="AJ17" i="12"/>
  <c r="AK17" i="12"/>
  <c r="AL17" i="12"/>
  <c r="AM17" i="12"/>
  <c r="R18" i="12"/>
  <c r="S18" i="12" s="1"/>
  <c r="T18" i="12"/>
  <c r="U18" i="12"/>
  <c r="V18" i="12"/>
  <c r="W18" i="12"/>
  <c r="X18" i="12"/>
  <c r="Y18" i="12" s="1"/>
  <c r="Z18" i="12"/>
  <c r="AA18" i="12" s="1"/>
  <c r="AB18" i="12"/>
  <c r="AC18" i="12"/>
  <c r="AD18" i="12"/>
  <c r="AE18" i="12"/>
  <c r="AF18" i="12"/>
  <c r="AG18" i="12" s="1"/>
  <c r="AI18" i="12"/>
  <c r="AJ18" i="12"/>
  <c r="AK18" i="12"/>
  <c r="AL18" i="12"/>
  <c r="AM18" i="12"/>
  <c r="R19" i="12"/>
  <c r="S19" i="12" s="1"/>
  <c r="T19" i="12"/>
  <c r="U19" i="12"/>
  <c r="V19" i="12"/>
  <c r="W19" i="12"/>
  <c r="X19" i="12"/>
  <c r="Y19" i="12"/>
  <c r="Z19" i="12"/>
  <c r="AA19" i="12" s="1"/>
  <c r="AB19" i="12"/>
  <c r="AC19" i="12" s="1"/>
  <c r="AD19" i="12"/>
  <c r="AE19" i="12" s="1"/>
  <c r="AF19" i="12"/>
  <c r="AG19" i="12" s="1"/>
  <c r="AI19" i="12"/>
  <c r="AJ19" i="12"/>
  <c r="AK19" i="12"/>
  <c r="AL19" i="12"/>
  <c r="AM19" i="12"/>
  <c r="R20" i="12"/>
  <c r="S20" i="12"/>
  <c r="T20" i="12"/>
  <c r="U20" i="12"/>
  <c r="V20" i="12"/>
  <c r="W20" i="12"/>
  <c r="X20" i="12"/>
  <c r="Y20" i="12" s="1"/>
  <c r="Z20" i="12"/>
  <c r="AA20" i="12" s="1"/>
  <c r="AB20" i="12"/>
  <c r="AC20" i="12"/>
  <c r="AD20" i="12"/>
  <c r="AE20" i="12"/>
  <c r="AF20" i="12"/>
  <c r="AG20" i="12"/>
  <c r="AI20" i="12"/>
  <c r="AJ20" i="12"/>
  <c r="AK20" i="12"/>
  <c r="AL20" i="12"/>
  <c r="AM20" i="12"/>
  <c r="R21" i="12"/>
  <c r="S21" i="12" s="1"/>
  <c r="T21" i="12"/>
  <c r="U21" i="12"/>
  <c r="V21" i="12"/>
  <c r="W21" i="12"/>
  <c r="X21" i="12"/>
  <c r="Y21" i="12"/>
  <c r="Z21" i="12"/>
  <c r="AA21" i="12" s="1"/>
  <c r="AB21" i="12"/>
  <c r="AC21" i="12"/>
  <c r="AD21" i="12"/>
  <c r="AE21" i="12" s="1"/>
  <c r="AF21" i="12"/>
  <c r="AG21" i="12" s="1"/>
  <c r="AI21" i="12"/>
  <c r="AJ21" i="12"/>
  <c r="AK21" i="12"/>
  <c r="AL21" i="12"/>
  <c r="AM21" i="12"/>
  <c r="R22" i="12"/>
  <c r="S22" i="12"/>
  <c r="T22" i="12"/>
  <c r="U22" i="12"/>
  <c r="V22" i="12"/>
  <c r="W22" i="12"/>
  <c r="X22" i="12"/>
  <c r="Y22" i="12" s="1"/>
  <c r="Z22" i="12"/>
  <c r="AA22" i="12" s="1"/>
  <c r="AB22" i="12"/>
  <c r="AC22" i="12" s="1"/>
  <c r="AD22" i="12"/>
  <c r="AE22" i="12" s="1"/>
  <c r="AF22" i="12"/>
  <c r="AG22" i="12" s="1"/>
  <c r="AI22" i="12"/>
  <c r="AJ22" i="12"/>
  <c r="AK22" i="12"/>
  <c r="AL22" i="12"/>
  <c r="AM22" i="12"/>
  <c r="R23" i="12"/>
  <c r="S23" i="12" s="1"/>
  <c r="T23" i="12"/>
  <c r="U23" i="12"/>
  <c r="V23" i="12"/>
  <c r="W23" i="12"/>
  <c r="X23" i="12"/>
  <c r="Y23" i="12" s="1"/>
  <c r="Z23" i="12"/>
  <c r="AA23" i="12"/>
  <c r="AB23" i="12"/>
  <c r="AC23" i="12" s="1"/>
  <c r="AD23" i="12"/>
  <c r="AE23" i="12"/>
  <c r="AF23" i="12"/>
  <c r="AG23" i="12" s="1"/>
  <c r="AI23" i="12"/>
  <c r="AJ23" i="12"/>
  <c r="AK23" i="12"/>
  <c r="AL23" i="12"/>
  <c r="AM23" i="12"/>
  <c r="R24" i="12"/>
  <c r="S24" i="12" s="1"/>
  <c r="T24" i="12"/>
  <c r="U24" i="12"/>
  <c r="V24" i="12"/>
  <c r="W24" i="12"/>
  <c r="X24" i="12"/>
  <c r="Y24" i="12" s="1"/>
  <c r="Z24" i="12"/>
  <c r="AA24" i="12" s="1"/>
  <c r="AB24" i="12"/>
  <c r="AC24" i="12"/>
  <c r="AD24" i="12"/>
  <c r="AE24" i="12" s="1"/>
  <c r="AF24" i="12"/>
  <c r="AG24" i="12"/>
  <c r="AI24" i="12"/>
  <c r="AJ24" i="12"/>
  <c r="AK24" i="12"/>
  <c r="AL24" i="12"/>
  <c r="AM24" i="12"/>
  <c r="R25" i="12"/>
  <c r="S25" i="12" s="1"/>
  <c r="T25" i="12"/>
  <c r="U25" i="12"/>
  <c r="V25" i="12"/>
  <c r="W25" i="12"/>
  <c r="X25" i="12"/>
  <c r="Y25" i="12" s="1"/>
  <c r="Z25" i="12"/>
  <c r="AA25" i="12" s="1"/>
  <c r="AB25" i="12"/>
  <c r="AC25" i="12"/>
  <c r="AD25" i="12"/>
  <c r="AE25" i="12" s="1"/>
  <c r="AF25" i="12"/>
  <c r="AG25" i="12" s="1"/>
  <c r="AI25" i="12"/>
  <c r="AJ25" i="12"/>
  <c r="AK25" i="12"/>
  <c r="AL25" i="12"/>
  <c r="AM25" i="12"/>
  <c r="R26" i="12"/>
  <c r="S26" i="12" s="1"/>
  <c r="T26" i="12"/>
  <c r="U26" i="12"/>
  <c r="V26" i="12"/>
  <c r="W26" i="12"/>
  <c r="X26" i="12"/>
  <c r="Y26" i="12" s="1"/>
  <c r="Z26" i="12"/>
  <c r="AA26" i="12" s="1"/>
  <c r="AB26" i="12"/>
  <c r="AC26" i="12"/>
  <c r="AD26" i="12"/>
  <c r="AE26" i="12"/>
  <c r="AF26" i="12"/>
  <c r="AG26" i="12" s="1"/>
  <c r="AI26" i="12"/>
  <c r="AJ26" i="12"/>
  <c r="AK26" i="12"/>
  <c r="AL26" i="12"/>
  <c r="AM26" i="12"/>
  <c r="R27" i="12"/>
  <c r="S27" i="12" s="1"/>
  <c r="T27" i="12"/>
  <c r="U27" i="12"/>
  <c r="V27" i="12"/>
  <c r="W27" i="12"/>
  <c r="X27" i="12"/>
  <c r="Y27" i="12"/>
  <c r="Z27" i="12"/>
  <c r="AA27" i="12"/>
  <c r="AB27" i="12"/>
  <c r="AC27" i="12"/>
  <c r="AD27" i="12"/>
  <c r="AE27" i="12" s="1"/>
  <c r="AF27" i="12"/>
  <c r="AG27" i="12" s="1"/>
  <c r="AI27" i="12"/>
  <c r="AJ27" i="12"/>
  <c r="AK27" i="12"/>
  <c r="AL27" i="12"/>
  <c r="AM27" i="12"/>
  <c r="R28" i="12"/>
  <c r="S28" i="12"/>
  <c r="T28" i="12"/>
  <c r="U28" i="12"/>
  <c r="V28" i="12"/>
  <c r="W28" i="12"/>
  <c r="X28" i="12"/>
  <c r="Y28" i="12" s="1"/>
  <c r="Z28" i="12"/>
  <c r="AA28" i="12" s="1"/>
  <c r="AB28" i="12"/>
  <c r="AC28" i="12" s="1"/>
  <c r="AD28" i="12"/>
  <c r="AE28" i="12" s="1"/>
  <c r="AF28" i="12"/>
  <c r="AG28" i="12"/>
  <c r="AI28" i="12"/>
  <c r="AJ28" i="12"/>
  <c r="AK28" i="12"/>
  <c r="AL28" i="12"/>
  <c r="AM28" i="12"/>
  <c r="R29" i="12"/>
  <c r="S29" i="12" s="1"/>
  <c r="T29" i="12"/>
  <c r="U29" i="12"/>
  <c r="V29" i="12"/>
  <c r="W29" i="12"/>
  <c r="X29" i="12"/>
  <c r="Y29" i="12" s="1"/>
  <c r="Z29" i="12"/>
  <c r="AA29" i="12"/>
  <c r="AB29" i="12"/>
  <c r="AC29" i="12" s="1"/>
  <c r="AD29" i="12"/>
  <c r="AE29" i="12"/>
  <c r="AF29" i="12"/>
  <c r="AG29" i="12" s="1"/>
  <c r="AI29" i="12"/>
  <c r="AJ29" i="12"/>
  <c r="AK29" i="12"/>
  <c r="AL29" i="12"/>
  <c r="AM29" i="12"/>
  <c r="R30" i="12"/>
  <c r="S30" i="12"/>
  <c r="T30" i="12"/>
  <c r="U30" i="12"/>
  <c r="V30" i="12"/>
  <c r="W30" i="12"/>
  <c r="X30" i="12"/>
  <c r="Y30" i="12" s="1"/>
  <c r="Z30" i="12"/>
  <c r="AA30" i="12" s="1"/>
  <c r="AB30" i="12"/>
  <c r="AC30" i="12" s="1"/>
  <c r="AD30" i="12"/>
  <c r="AE30" i="12" s="1"/>
  <c r="AF30" i="12"/>
  <c r="AG30" i="12"/>
  <c r="AI30" i="12"/>
  <c r="AJ30" i="12"/>
  <c r="AK30" i="12"/>
  <c r="AL30" i="12"/>
  <c r="AM30" i="12"/>
  <c r="R31" i="12"/>
  <c r="S31" i="12" s="1"/>
  <c r="T31" i="12"/>
  <c r="U31" i="12"/>
  <c r="V31" i="12"/>
  <c r="W31" i="12"/>
  <c r="X31" i="12"/>
  <c r="Y31" i="12" s="1"/>
  <c r="Z31" i="12"/>
  <c r="AA31" i="12"/>
  <c r="AB31" i="12"/>
  <c r="AC31" i="12"/>
  <c r="AD31" i="12"/>
  <c r="AE31" i="12" s="1"/>
  <c r="AF31" i="12"/>
  <c r="AG31" i="12" s="1"/>
  <c r="AI31" i="12"/>
  <c r="AJ31" i="12"/>
  <c r="AK31" i="12"/>
  <c r="AL31" i="12"/>
  <c r="AM31" i="12"/>
  <c r="R32" i="12"/>
  <c r="S32" i="12" s="1"/>
  <c r="T32" i="12"/>
  <c r="U32" i="12"/>
  <c r="V32" i="12"/>
  <c r="W32" i="12"/>
  <c r="X32" i="12"/>
  <c r="Y32" i="12" s="1"/>
  <c r="Z32" i="12"/>
  <c r="AA32" i="12" s="1"/>
  <c r="AB32" i="12"/>
  <c r="AC32" i="12"/>
  <c r="AD32" i="12"/>
  <c r="AE32" i="12"/>
  <c r="AF32" i="12"/>
  <c r="AG32" i="12" s="1"/>
  <c r="AI32" i="12"/>
  <c r="AJ32" i="12"/>
  <c r="AK32" i="12"/>
  <c r="AL32" i="12"/>
  <c r="AM32" i="12"/>
  <c r="R33" i="12"/>
  <c r="S33" i="12"/>
  <c r="T33" i="12"/>
  <c r="U33" i="12"/>
  <c r="V33" i="12"/>
  <c r="W33" i="12"/>
  <c r="X33" i="12"/>
  <c r="Y33" i="12" s="1"/>
  <c r="Z33" i="12"/>
  <c r="AA33" i="12" s="1"/>
  <c r="AB33" i="12"/>
  <c r="AC33" i="12" s="1"/>
  <c r="AD33" i="12"/>
  <c r="AE33" i="12"/>
  <c r="AF33" i="12"/>
  <c r="AG33" i="12" s="1"/>
  <c r="AI33" i="12"/>
  <c r="AJ33" i="12"/>
  <c r="AK33" i="12"/>
  <c r="AL33" i="12"/>
  <c r="AM33" i="12"/>
  <c r="R34" i="12"/>
  <c r="S34" i="12" s="1"/>
  <c r="T34" i="12"/>
  <c r="U34" i="12"/>
  <c r="V34" i="12"/>
  <c r="W34" i="12"/>
  <c r="X34" i="12"/>
  <c r="Y34" i="12" s="1"/>
  <c r="Z34" i="12"/>
  <c r="AA34" i="12"/>
  <c r="AB34" i="12"/>
  <c r="AC34" i="12"/>
  <c r="AD34" i="12"/>
  <c r="AE34" i="12"/>
  <c r="AF34" i="12"/>
  <c r="AG34" i="12" s="1"/>
  <c r="AI34" i="12"/>
  <c r="AJ34" i="12"/>
  <c r="AK34" i="12"/>
  <c r="AL34" i="12"/>
  <c r="AM34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 s="1"/>
  <c r="AF35" i="12"/>
  <c r="AG35" i="12" s="1"/>
  <c r="AI35" i="12"/>
  <c r="AJ35" i="12"/>
  <c r="AK35" i="12"/>
  <c r="AL35" i="12"/>
  <c r="AM35" i="12"/>
  <c r="R36" i="12"/>
  <c r="S36" i="12" s="1"/>
  <c r="Q36" i="12" s="1"/>
  <c r="T36" i="12"/>
  <c r="U36" i="12"/>
  <c r="V36" i="12"/>
  <c r="W36" i="12"/>
  <c r="X36" i="12"/>
  <c r="Y36" i="12" s="1"/>
  <c r="Z36" i="12"/>
  <c r="AA36" i="12" s="1"/>
  <c r="AB36" i="12"/>
  <c r="AC36" i="12" s="1"/>
  <c r="AD36" i="12"/>
  <c r="AE36" i="12"/>
  <c r="AF36" i="12"/>
  <c r="AG36" i="12" s="1"/>
  <c r="AI36" i="12"/>
  <c r="AJ36" i="12"/>
  <c r="AK36" i="12"/>
  <c r="AL36" i="12"/>
  <c r="AM36" i="12"/>
  <c r="R37" i="12"/>
  <c r="S37" i="12"/>
  <c r="T37" i="12"/>
  <c r="U37" i="12"/>
  <c r="V37" i="12"/>
  <c r="W37" i="12"/>
  <c r="X37" i="12"/>
  <c r="Y37" i="12"/>
  <c r="Z37" i="12"/>
  <c r="AA37" i="12" s="1"/>
  <c r="AB37" i="12"/>
  <c r="AC37" i="12" s="1"/>
  <c r="AD37" i="12"/>
  <c r="AE37" i="12" s="1"/>
  <c r="AF37" i="12"/>
  <c r="AG37" i="12" s="1"/>
  <c r="AI37" i="12"/>
  <c r="AJ37" i="12"/>
  <c r="AK37" i="12"/>
  <c r="AL37" i="12"/>
  <c r="AM37" i="12"/>
  <c r="R38" i="12"/>
  <c r="S38" i="12" s="1"/>
  <c r="T38" i="12"/>
  <c r="U38" i="12"/>
  <c r="V38" i="12"/>
  <c r="W38" i="12"/>
  <c r="X38" i="12"/>
  <c r="Y38" i="12" s="1"/>
  <c r="Z38" i="12"/>
  <c r="AA38" i="12"/>
  <c r="AB38" i="12"/>
  <c r="AC38" i="12"/>
  <c r="AD38" i="12"/>
  <c r="AE38" i="12"/>
  <c r="AF38" i="12"/>
  <c r="AG38" i="12" s="1"/>
  <c r="AI38" i="12"/>
  <c r="AJ38" i="12"/>
  <c r="AK38" i="12"/>
  <c r="AL38" i="12"/>
  <c r="AM38" i="12"/>
  <c r="R39" i="12"/>
  <c r="S39" i="12" s="1"/>
  <c r="T39" i="12"/>
  <c r="U39" i="12"/>
  <c r="V39" i="12"/>
  <c r="W39" i="12"/>
  <c r="X39" i="12"/>
  <c r="Y39" i="12"/>
  <c r="Z39" i="12"/>
  <c r="AA39" i="12"/>
  <c r="AB39" i="12"/>
  <c r="AC39" i="12" s="1"/>
  <c r="AD39" i="12"/>
  <c r="AE39" i="12"/>
  <c r="AF39" i="12"/>
  <c r="AG39" i="12" s="1"/>
  <c r="AI39" i="12"/>
  <c r="AJ39" i="12"/>
  <c r="AK39" i="12"/>
  <c r="AL39" i="12"/>
  <c r="AM39" i="12"/>
  <c r="R40" i="12"/>
  <c r="S40" i="12"/>
  <c r="T40" i="12"/>
  <c r="U40" i="12"/>
  <c r="V40" i="12"/>
  <c r="W40" i="12"/>
  <c r="X40" i="12"/>
  <c r="Y40" i="12" s="1"/>
  <c r="Z40" i="12"/>
  <c r="AA40" i="12"/>
  <c r="AB40" i="12"/>
  <c r="AC40" i="12" s="1"/>
  <c r="AD40" i="12"/>
  <c r="AE40" i="12" s="1"/>
  <c r="AF40" i="12"/>
  <c r="AG40" i="12" s="1"/>
  <c r="AI40" i="12"/>
  <c r="AJ40" i="12"/>
  <c r="AK40" i="12"/>
  <c r="AL40" i="12"/>
  <c r="AM40" i="12"/>
  <c r="R41" i="12"/>
  <c r="S41" i="12" s="1"/>
  <c r="T41" i="12"/>
  <c r="U41" i="12"/>
  <c r="V41" i="12"/>
  <c r="W41" i="12"/>
  <c r="X41" i="12"/>
  <c r="Y41" i="12"/>
  <c r="Z41" i="12"/>
  <c r="AA41" i="12" s="1"/>
  <c r="AB41" i="12"/>
  <c r="AC41" i="12"/>
  <c r="AD41" i="12"/>
  <c r="AE41" i="12"/>
  <c r="AF41" i="12"/>
  <c r="AG41" i="12" s="1"/>
  <c r="AI41" i="12"/>
  <c r="AJ41" i="12"/>
  <c r="AK41" i="12"/>
  <c r="AL41" i="12"/>
  <c r="AM41" i="12"/>
  <c r="R42" i="12"/>
  <c r="S42" i="12" s="1"/>
  <c r="T42" i="12"/>
  <c r="U42" i="12"/>
  <c r="V42" i="12"/>
  <c r="W42" i="12"/>
  <c r="X42" i="12"/>
  <c r="Y42" i="12" s="1"/>
  <c r="Z42" i="12"/>
  <c r="AA42" i="12"/>
  <c r="AB42" i="12"/>
  <c r="AC42" i="12" s="1"/>
  <c r="AD42" i="12"/>
  <c r="AE42" i="12" s="1"/>
  <c r="AF42" i="12"/>
  <c r="AG42" i="12"/>
  <c r="AI42" i="12"/>
  <c r="AJ42" i="12"/>
  <c r="AK42" i="12"/>
  <c r="AL42" i="12"/>
  <c r="AM42" i="12"/>
  <c r="R43" i="12"/>
  <c r="S43" i="12" s="1"/>
  <c r="T43" i="12"/>
  <c r="U43" i="12"/>
  <c r="V43" i="12"/>
  <c r="W43" i="12"/>
  <c r="X43" i="12"/>
  <c r="Y43" i="12"/>
  <c r="Z43" i="12"/>
  <c r="AA43" i="12" s="1"/>
  <c r="AB43" i="12"/>
  <c r="AC43" i="12"/>
  <c r="AD43" i="12"/>
  <c r="AE43" i="12"/>
  <c r="AF43" i="12"/>
  <c r="AG43" i="12" s="1"/>
  <c r="AI43" i="12"/>
  <c r="AJ43" i="12"/>
  <c r="AK43" i="12"/>
  <c r="AL43" i="12"/>
  <c r="AM43" i="12"/>
  <c r="R44" i="12"/>
  <c r="S44" i="12"/>
  <c r="T44" i="12"/>
  <c r="U44" i="12"/>
  <c r="V44" i="12"/>
  <c r="W44" i="12"/>
  <c r="X44" i="12"/>
  <c r="Y44" i="12" s="1"/>
  <c r="Z44" i="12"/>
  <c r="AA44" i="12" s="1"/>
  <c r="AB44" i="12"/>
  <c r="AC44" i="12"/>
  <c r="AD44" i="12"/>
  <c r="AE44" i="12" s="1"/>
  <c r="AF44" i="12"/>
  <c r="AG44" i="12"/>
  <c r="AI44" i="12"/>
  <c r="AJ44" i="12"/>
  <c r="AK44" i="12"/>
  <c r="AL44" i="12"/>
  <c r="AM44" i="12"/>
  <c r="R45" i="12"/>
  <c r="S45" i="12" s="1"/>
  <c r="T45" i="12"/>
  <c r="U45" i="12"/>
  <c r="V45" i="12"/>
  <c r="W45" i="12"/>
  <c r="X45" i="12"/>
  <c r="Y45" i="12" s="1"/>
  <c r="Z45" i="12"/>
  <c r="AA45" i="12" s="1"/>
  <c r="AB45" i="12"/>
  <c r="AC45" i="12"/>
  <c r="AD45" i="12"/>
  <c r="AE45" i="12"/>
  <c r="AF45" i="12"/>
  <c r="AG45" i="12" s="1"/>
  <c r="AI45" i="12"/>
  <c r="AJ45" i="12"/>
  <c r="AK45" i="12"/>
  <c r="AL45" i="12"/>
  <c r="AM45" i="12"/>
  <c r="R46" i="12"/>
  <c r="S46" i="12" s="1"/>
  <c r="Q46" i="12" s="1"/>
  <c r="T46" i="12"/>
  <c r="U46" i="12"/>
  <c r="V46" i="12"/>
  <c r="W46" i="12"/>
  <c r="X46" i="12"/>
  <c r="Y46" i="12" s="1"/>
  <c r="Z46" i="12"/>
  <c r="AA46" i="12"/>
  <c r="AB46" i="12"/>
  <c r="AC46" i="12"/>
  <c r="AD46" i="12"/>
  <c r="AE46" i="12"/>
  <c r="AF46" i="12"/>
  <c r="AG46" i="12" s="1"/>
  <c r="AI46" i="12"/>
  <c r="AJ46" i="12"/>
  <c r="AK46" i="12"/>
  <c r="AL46" i="12"/>
  <c r="AM46" i="12"/>
  <c r="R47" i="12"/>
  <c r="S47" i="12"/>
  <c r="T47" i="12"/>
  <c r="U47" i="12"/>
  <c r="V47" i="12"/>
  <c r="W47" i="12"/>
  <c r="X47" i="12"/>
  <c r="Y47" i="12" s="1"/>
  <c r="Z47" i="12"/>
  <c r="AA47" i="12"/>
  <c r="AB47" i="12"/>
  <c r="AC47" i="12"/>
  <c r="AD47" i="12"/>
  <c r="AE47" i="12" s="1"/>
  <c r="AF47" i="12"/>
  <c r="AG47" i="12" s="1"/>
  <c r="AI47" i="12"/>
  <c r="AJ47" i="12"/>
  <c r="AK47" i="12"/>
  <c r="AL47" i="12"/>
  <c r="AM47" i="12"/>
  <c r="R48" i="12"/>
  <c r="S48" i="12" s="1"/>
  <c r="T48" i="12"/>
  <c r="U48" i="12"/>
  <c r="V48" i="12"/>
  <c r="W48" i="12"/>
  <c r="X48" i="12"/>
  <c r="Y48" i="12" s="1"/>
  <c r="Z48" i="12"/>
  <c r="AA48" i="12" s="1"/>
  <c r="AB48" i="12"/>
  <c r="AC48" i="12" s="1"/>
  <c r="AD48" i="12"/>
  <c r="AE48" i="12"/>
  <c r="AF48" i="12"/>
  <c r="AG48" i="12"/>
  <c r="AI48" i="12"/>
  <c r="AJ48" i="12"/>
  <c r="AK48" i="12"/>
  <c r="AL48" i="12"/>
  <c r="AM48" i="12"/>
  <c r="R49" i="12"/>
  <c r="S49" i="12"/>
  <c r="T49" i="12"/>
  <c r="U49" i="12"/>
  <c r="V49" i="12"/>
  <c r="W49" i="12"/>
  <c r="X49" i="12"/>
  <c r="Y49" i="12"/>
  <c r="Z49" i="12"/>
  <c r="AA49" i="12"/>
  <c r="AB49" i="12"/>
  <c r="AC49" i="12" s="1"/>
  <c r="AD49" i="12"/>
  <c r="AE49" i="12" s="1"/>
  <c r="AF49" i="12"/>
  <c r="AG49" i="12" s="1"/>
  <c r="AI49" i="12"/>
  <c r="AJ49" i="12"/>
  <c r="AK49" i="12"/>
  <c r="AL49" i="12"/>
  <c r="AM49" i="12"/>
  <c r="R50" i="12"/>
  <c r="S50" i="12" s="1"/>
  <c r="T50" i="12"/>
  <c r="U50" i="12"/>
  <c r="V50" i="12"/>
  <c r="W50" i="12"/>
  <c r="X50" i="12"/>
  <c r="Y50" i="12" s="1"/>
  <c r="Z50" i="12"/>
  <c r="AA50" i="12" s="1"/>
  <c r="AB50" i="12"/>
  <c r="AC50" i="12"/>
  <c r="AD50" i="12"/>
  <c r="AE50" i="12"/>
  <c r="AF50" i="12"/>
  <c r="AG50" i="12"/>
  <c r="AI50" i="12"/>
  <c r="AJ50" i="12"/>
  <c r="AK50" i="12"/>
  <c r="AL50" i="12"/>
  <c r="AM50" i="12"/>
  <c r="R51" i="12"/>
  <c r="S51" i="12" s="1"/>
  <c r="T51" i="12"/>
  <c r="U51" i="12"/>
  <c r="V51" i="12"/>
  <c r="W51" i="12"/>
  <c r="X51" i="12"/>
  <c r="Y51" i="12"/>
  <c r="Z51" i="12"/>
  <c r="AA51" i="12"/>
  <c r="AB51" i="12"/>
  <c r="AC51" i="12" s="1"/>
  <c r="AD51" i="12"/>
  <c r="AE51" i="12" s="1"/>
  <c r="AF51" i="12"/>
  <c r="AG51" i="12" s="1"/>
  <c r="AI51" i="12"/>
  <c r="AJ51" i="12"/>
  <c r="AK51" i="12"/>
  <c r="AL51" i="12"/>
  <c r="AM51" i="12"/>
  <c r="R52" i="12"/>
  <c r="S52" i="12"/>
  <c r="T52" i="12"/>
  <c r="U52" i="12"/>
  <c r="V52" i="12"/>
  <c r="W52" i="12"/>
  <c r="X52" i="12"/>
  <c r="Y52" i="12" s="1"/>
  <c r="Z52" i="12"/>
  <c r="AA52" i="12" s="1"/>
  <c r="AB52" i="12"/>
  <c r="AC52" i="12"/>
  <c r="AD52" i="12"/>
  <c r="AE52" i="12" s="1"/>
  <c r="AF52" i="12"/>
  <c r="AG52" i="12" s="1"/>
  <c r="AI52" i="12"/>
  <c r="AJ52" i="12"/>
  <c r="AK52" i="12"/>
  <c r="AL52" i="12"/>
  <c r="AM52" i="12"/>
  <c r="R53" i="12"/>
  <c r="S53" i="12" s="1"/>
  <c r="T53" i="12"/>
  <c r="U53" i="12"/>
  <c r="V53" i="12"/>
  <c r="W53" i="12"/>
  <c r="X53" i="12"/>
  <c r="Y53" i="12"/>
  <c r="Z53" i="12"/>
  <c r="AA53" i="12" s="1"/>
  <c r="AB53" i="12"/>
  <c r="AC53" i="12"/>
  <c r="AD53" i="12"/>
  <c r="AE53" i="12"/>
  <c r="AF53" i="12"/>
  <c r="AG53" i="12" s="1"/>
  <c r="AI53" i="12"/>
  <c r="AJ53" i="12"/>
  <c r="AK53" i="12"/>
  <c r="AL53" i="12"/>
  <c r="AM53" i="12"/>
  <c r="R54" i="12"/>
  <c r="S54" i="12" s="1"/>
  <c r="T54" i="12"/>
  <c r="U54" i="12"/>
  <c r="V54" i="12"/>
  <c r="W54" i="12"/>
  <c r="X54" i="12"/>
  <c r="Y54" i="12" s="1"/>
  <c r="Z54" i="12"/>
  <c r="AA54" i="12"/>
  <c r="AB54" i="12"/>
  <c r="AC54" i="12"/>
  <c r="AD54" i="12"/>
  <c r="AE54" i="12" s="1"/>
  <c r="AF54" i="12"/>
  <c r="AG54" i="12" s="1"/>
  <c r="AI54" i="12"/>
  <c r="AJ54" i="12"/>
  <c r="AK54" i="12"/>
  <c r="AL54" i="12"/>
  <c r="AM54" i="12"/>
  <c r="R55" i="12"/>
  <c r="S55" i="12"/>
  <c r="T55" i="12"/>
  <c r="U55" i="12"/>
  <c r="V55" i="12"/>
  <c r="W55" i="12"/>
  <c r="X55" i="12"/>
  <c r="Y55" i="12"/>
  <c r="Z55" i="12"/>
  <c r="AA55" i="12" s="1"/>
  <c r="AB55" i="12"/>
  <c r="AC55" i="12" s="1"/>
  <c r="AD55" i="12"/>
  <c r="AE55" i="12" s="1"/>
  <c r="AF55" i="12"/>
  <c r="AG55" i="12" s="1"/>
  <c r="AI55" i="12"/>
  <c r="AJ55" i="12"/>
  <c r="AK55" i="12"/>
  <c r="AL55" i="12"/>
  <c r="AM55" i="12"/>
  <c r="R56" i="12"/>
  <c r="S56" i="12" s="1"/>
  <c r="T56" i="12"/>
  <c r="U56" i="12"/>
  <c r="V56" i="12"/>
  <c r="W56" i="12"/>
  <c r="X56" i="12"/>
  <c r="Y56" i="12" s="1"/>
  <c r="Z56" i="12"/>
  <c r="AA56" i="12"/>
  <c r="AB56" i="12"/>
  <c r="AC56" i="12"/>
  <c r="AD56" i="12"/>
  <c r="AE56" i="12" s="1"/>
  <c r="AF56" i="12"/>
  <c r="AG56" i="12" s="1"/>
  <c r="AI56" i="12"/>
  <c r="AJ56" i="12"/>
  <c r="AK56" i="12"/>
  <c r="AL56" i="12"/>
  <c r="AM56" i="12"/>
  <c r="R57" i="12"/>
  <c r="S57" i="12"/>
  <c r="T57" i="12"/>
  <c r="U57" i="12"/>
  <c r="V57" i="12"/>
  <c r="W57" i="12"/>
  <c r="X57" i="12"/>
  <c r="Y57" i="12" s="1"/>
  <c r="Z57" i="12"/>
  <c r="AA57" i="12" s="1"/>
  <c r="AB57" i="12"/>
  <c r="AC57" i="12" s="1"/>
  <c r="AD57" i="12"/>
  <c r="AE57" i="12" s="1"/>
  <c r="AF57" i="12"/>
  <c r="AG57" i="12" s="1"/>
  <c r="AI57" i="12"/>
  <c r="AJ57" i="12"/>
  <c r="AK57" i="12"/>
  <c r="AL57" i="12"/>
  <c r="AM57" i="12"/>
  <c r="R58" i="12"/>
  <c r="S58" i="12"/>
  <c r="T58" i="12"/>
  <c r="U58" i="12"/>
  <c r="V58" i="12"/>
  <c r="W58" i="12"/>
  <c r="X58" i="12"/>
  <c r="Y58" i="12" s="1"/>
  <c r="Z58" i="12"/>
  <c r="AA58" i="12" s="1"/>
  <c r="AB58" i="12"/>
  <c r="AC58" i="12"/>
  <c r="AD58" i="12"/>
  <c r="AE58" i="12"/>
  <c r="AF58" i="12"/>
  <c r="AG58" i="12"/>
  <c r="AI58" i="12"/>
  <c r="AJ58" i="12"/>
  <c r="AK58" i="12"/>
  <c r="AL58" i="12"/>
  <c r="AM58" i="12"/>
  <c r="R59" i="12"/>
  <c r="S59" i="12" s="1"/>
  <c r="T59" i="12"/>
  <c r="U59" i="12"/>
  <c r="V59" i="12"/>
  <c r="W59" i="12"/>
  <c r="X59" i="12"/>
  <c r="Y59" i="12"/>
  <c r="Z59" i="12"/>
  <c r="AA59" i="12"/>
  <c r="AB59" i="12"/>
  <c r="AC59" i="12" s="1"/>
  <c r="AD59" i="12"/>
  <c r="AE59" i="12"/>
  <c r="AF59" i="12"/>
  <c r="AG59" i="12"/>
  <c r="AI59" i="12"/>
  <c r="AJ59" i="12"/>
  <c r="AK59" i="12"/>
  <c r="AL59" i="12"/>
  <c r="AM59" i="12"/>
  <c r="R60" i="12"/>
  <c r="S60" i="12" s="1"/>
  <c r="T60" i="12"/>
  <c r="U60" i="12"/>
  <c r="V60" i="12"/>
  <c r="W60" i="12"/>
  <c r="X60" i="12"/>
  <c r="Y60" i="12"/>
  <c r="Z60" i="12"/>
  <c r="AA60" i="12" s="1"/>
  <c r="AB60" i="12"/>
  <c r="AC60" i="12"/>
  <c r="AD60" i="12"/>
  <c r="AE60" i="12"/>
  <c r="AF60" i="12"/>
  <c r="AG60" i="12"/>
  <c r="AI60" i="12"/>
  <c r="AJ60" i="12"/>
  <c r="AK60" i="12"/>
  <c r="AL60" i="12"/>
  <c r="AM60" i="12"/>
  <c r="R61" i="12"/>
  <c r="S61" i="12" s="1"/>
  <c r="T61" i="12"/>
  <c r="U61" i="12"/>
  <c r="V61" i="12"/>
  <c r="W61" i="12"/>
  <c r="X61" i="12"/>
  <c r="Y61" i="12" s="1"/>
  <c r="Z61" i="12"/>
  <c r="AA61" i="12"/>
  <c r="AB61" i="12"/>
  <c r="AC61" i="12" s="1"/>
  <c r="AD61" i="12"/>
  <c r="AE61" i="12"/>
  <c r="AF61" i="12"/>
  <c r="AG61" i="12"/>
  <c r="AI61" i="12"/>
  <c r="AJ61" i="12"/>
  <c r="AK61" i="12"/>
  <c r="AL61" i="12"/>
  <c r="AM61" i="12"/>
  <c r="R62" i="12"/>
  <c r="S62" i="12" s="1"/>
  <c r="T62" i="12"/>
  <c r="U62" i="12"/>
  <c r="V62" i="12"/>
  <c r="W62" i="12"/>
  <c r="X62" i="12"/>
  <c r="Y62" i="12"/>
  <c r="Z62" i="12"/>
  <c r="AA62" i="12" s="1"/>
  <c r="AB62" i="12"/>
  <c r="AC62" i="12"/>
  <c r="AD62" i="12"/>
  <c r="AE62" i="12" s="1"/>
  <c r="AF62" i="12"/>
  <c r="AG62" i="12"/>
  <c r="AI62" i="12"/>
  <c r="AJ62" i="12"/>
  <c r="AK62" i="12"/>
  <c r="AL62" i="12"/>
  <c r="AM62" i="12"/>
  <c r="R63" i="12"/>
  <c r="S63" i="12" s="1"/>
  <c r="T63" i="12"/>
  <c r="U63" i="12"/>
  <c r="V63" i="12"/>
  <c r="W63" i="12"/>
  <c r="X63" i="12"/>
  <c r="Y63" i="12"/>
  <c r="Z63" i="12"/>
  <c r="AA63" i="12" s="1"/>
  <c r="AB63" i="12"/>
  <c r="AC63" i="12" s="1"/>
  <c r="AD63" i="12"/>
  <c r="AE63" i="12" s="1"/>
  <c r="AF63" i="12"/>
  <c r="AG63" i="12" s="1"/>
  <c r="AI63" i="12"/>
  <c r="AJ63" i="12"/>
  <c r="AK63" i="12"/>
  <c r="AL63" i="12"/>
  <c r="AM63" i="12"/>
  <c r="R64" i="12"/>
  <c r="S64" i="12"/>
  <c r="T64" i="12"/>
  <c r="U64" i="12"/>
  <c r="V64" i="12"/>
  <c r="W64" i="12"/>
  <c r="X64" i="12"/>
  <c r="Y64" i="12" s="1"/>
  <c r="Z64" i="12"/>
  <c r="AA64" i="12" s="1"/>
  <c r="AB64" i="12"/>
  <c r="AC64" i="12"/>
  <c r="AD64" i="12"/>
  <c r="AE64" i="12"/>
  <c r="AF64" i="12"/>
  <c r="AG64" i="12"/>
  <c r="AI64" i="12"/>
  <c r="AJ64" i="12"/>
  <c r="AK64" i="12"/>
  <c r="AL64" i="12"/>
  <c r="AM64" i="12"/>
  <c r="R65" i="12"/>
  <c r="S65" i="12" s="1"/>
  <c r="T65" i="12"/>
  <c r="U65" i="12"/>
  <c r="V65" i="12"/>
  <c r="W65" i="12"/>
  <c r="X65" i="12"/>
  <c r="Y65" i="12"/>
  <c r="Z65" i="12"/>
  <c r="AA65" i="12" s="1"/>
  <c r="AB65" i="12"/>
  <c r="AC65" i="12"/>
  <c r="AD65" i="12"/>
  <c r="AE65" i="12"/>
  <c r="AF65" i="12"/>
  <c r="AG65" i="12"/>
  <c r="AI65" i="12"/>
  <c r="AJ65" i="12"/>
  <c r="AK65" i="12"/>
  <c r="AL65" i="12"/>
  <c r="AM65" i="12"/>
  <c r="R66" i="12"/>
  <c r="S66" i="12"/>
  <c r="T66" i="12"/>
  <c r="U66" i="12"/>
  <c r="V66" i="12"/>
  <c r="W66" i="12"/>
  <c r="X66" i="12"/>
  <c r="Y66" i="12"/>
  <c r="Z66" i="12"/>
  <c r="AA66" i="12" s="1"/>
  <c r="AB66" i="12"/>
  <c r="AC66" i="12" s="1"/>
  <c r="AD66" i="12"/>
  <c r="AE66" i="12"/>
  <c r="AF66" i="12"/>
  <c r="AG66" i="12"/>
  <c r="AI66" i="12"/>
  <c r="AJ66" i="12"/>
  <c r="AK66" i="12"/>
  <c r="AL66" i="12"/>
  <c r="AM66" i="12"/>
  <c r="R67" i="12"/>
  <c r="S67" i="12" s="1"/>
  <c r="T67" i="12"/>
  <c r="U67" i="12"/>
  <c r="V67" i="12"/>
  <c r="W67" i="12"/>
  <c r="X67" i="12"/>
  <c r="Y67" i="12"/>
  <c r="Z67" i="12"/>
  <c r="AA67" i="12" s="1"/>
  <c r="AB67" i="12"/>
  <c r="AC67" i="12" s="1"/>
  <c r="AD67" i="12"/>
  <c r="AE67" i="12"/>
  <c r="AF67" i="12"/>
  <c r="AG67" i="12" s="1"/>
  <c r="AI67" i="12"/>
  <c r="AJ67" i="12"/>
  <c r="AK67" i="12"/>
  <c r="AL67" i="12"/>
  <c r="AM67" i="12"/>
  <c r="R68" i="12"/>
  <c r="S68" i="12"/>
  <c r="T68" i="12"/>
  <c r="U68" i="12"/>
  <c r="V68" i="12"/>
  <c r="W68" i="12"/>
  <c r="X68" i="12"/>
  <c r="Y68" i="12"/>
  <c r="Z68" i="12"/>
  <c r="AA68" i="12" s="1"/>
  <c r="AB68" i="12"/>
  <c r="AC68" i="12"/>
  <c r="AD68" i="12"/>
  <c r="AE68" i="12"/>
  <c r="AF68" i="12"/>
  <c r="AG68" i="12"/>
  <c r="AI68" i="12"/>
  <c r="AJ68" i="12"/>
  <c r="AK68" i="12"/>
  <c r="AL68" i="12"/>
  <c r="AM68" i="12"/>
  <c r="R69" i="12"/>
  <c r="S69" i="12" s="1"/>
  <c r="T69" i="12"/>
  <c r="U69" i="12"/>
  <c r="V69" i="12"/>
  <c r="W69" i="12"/>
  <c r="X69" i="12"/>
  <c r="Y69" i="12"/>
  <c r="Z69" i="12"/>
  <c r="AA69" i="12" s="1"/>
  <c r="AB69" i="12"/>
  <c r="AC69" i="12"/>
  <c r="AD69" i="12"/>
  <c r="AE69" i="12" s="1"/>
  <c r="AF69" i="12"/>
  <c r="AG69" i="12"/>
  <c r="AI69" i="12"/>
  <c r="AJ69" i="12"/>
  <c r="AK69" i="12"/>
  <c r="AL69" i="12"/>
  <c r="AM69" i="12"/>
  <c r="R70" i="12"/>
  <c r="S70" i="12" s="1"/>
  <c r="T70" i="12"/>
  <c r="U70" i="12"/>
  <c r="V70" i="12"/>
  <c r="W70" i="12"/>
  <c r="X70" i="12"/>
  <c r="Y70" i="12"/>
  <c r="Z70" i="12"/>
  <c r="AA70" i="12" s="1"/>
  <c r="AB70" i="12"/>
  <c r="AC70" i="12"/>
  <c r="AD70" i="12"/>
  <c r="AE70" i="12"/>
  <c r="AF70" i="12"/>
  <c r="AG70" i="12"/>
  <c r="AI70" i="12"/>
  <c r="AJ70" i="12"/>
  <c r="AK70" i="12"/>
  <c r="AL70" i="12"/>
  <c r="AM70" i="12"/>
  <c r="R71" i="12"/>
  <c r="S71" i="12" s="1"/>
  <c r="T71" i="12"/>
  <c r="U71" i="12"/>
  <c r="V71" i="12"/>
  <c r="W71" i="12"/>
  <c r="X71" i="12"/>
  <c r="Y71" i="12" s="1"/>
  <c r="Z71" i="12"/>
  <c r="AA71" i="12" s="1"/>
  <c r="AB71" i="12"/>
  <c r="AC71" i="12"/>
  <c r="AD71" i="12"/>
  <c r="AE71" i="12" s="1"/>
  <c r="AF71" i="12"/>
  <c r="AG71" i="12"/>
  <c r="AI71" i="12"/>
  <c r="AJ71" i="12"/>
  <c r="AK71" i="12"/>
  <c r="AL71" i="12"/>
  <c r="AM71" i="12"/>
  <c r="R72" i="12"/>
  <c r="S72" i="12" s="1"/>
  <c r="T72" i="12"/>
  <c r="U72" i="12"/>
  <c r="V72" i="12"/>
  <c r="W72" i="12"/>
  <c r="X72" i="12"/>
  <c r="Y72" i="12" s="1"/>
  <c r="Z72" i="12"/>
  <c r="AA72" i="12" s="1"/>
  <c r="AB72" i="12"/>
  <c r="AC72" i="12"/>
  <c r="AD72" i="12"/>
  <c r="AE72" i="12"/>
  <c r="AF72" i="12"/>
  <c r="AG72" i="12" s="1"/>
  <c r="AI72" i="12"/>
  <c r="AJ72" i="12"/>
  <c r="AK72" i="12"/>
  <c r="AL72" i="12"/>
  <c r="AM72" i="12"/>
  <c r="R73" i="12"/>
  <c r="S73" i="12" s="1"/>
  <c r="T73" i="12"/>
  <c r="U73" i="12"/>
  <c r="V73" i="12"/>
  <c r="W73" i="12"/>
  <c r="X73" i="12"/>
  <c r="Y73" i="12"/>
  <c r="Z73" i="12"/>
  <c r="AA73" i="12"/>
  <c r="AB73" i="12"/>
  <c r="AC73" i="12" s="1"/>
  <c r="AD73" i="12"/>
  <c r="AE73" i="12"/>
  <c r="AF73" i="12"/>
  <c r="AG73" i="12"/>
  <c r="AI73" i="12"/>
  <c r="AJ73" i="12"/>
  <c r="AK73" i="12"/>
  <c r="AL73" i="12"/>
  <c r="AM73" i="12"/>
  <c r="R74" i="12"/>
  <c r="S74" i="12"/>
  <c r="T74" i="12"/>
  <c r="U74" i="12"/>
  <c r="V74" i="12"/>
  <c r="W74" i="12"/>
  <c r="X74" i="12"/>
  <c r="Y74" i="12"/>
  <c r="Z74" i="12"/>
  <c r="AA74" i="12" s="1"/>
  <c r="AB74" i="12"/>
  <c r="AC74" i="12" s="1"/>
  <c r="AD74" i="12"/>
  <c r="AE74" i="12"/>
  <c r="AF74" i="12"/>
  <c r="AG74" i="12" s="1"/>
  <c r="AI74" i="12"/>
  <c r="AJ74" i="12"/>
  <c r="AK74" i="12"/>
  <c r="AL74" i="12"/>
  <c r="AM74" i="12"/>
  <c r="R75" i="12"/>
  <c r="S75" i="12" s="1"/>
  <c r="T75" i="12"/>
  <c r="U75" i="12"/>
  <c r="V75" i="12"/>
  <c r="W75" i="12"/>
  <c r="X75" i="12"/>
  <c r="Y75" i="12"/>
  <c r="Z75" i="12"/>
  <c r="AA75" i="12" s="1"/>
  <c r="AB75" i="12"/>
  <c r="AC75" i="12" s="1"/>
  <c r="AD75" i="12"/>
  <c r="AE75" i="12"/>
  <c r="AF75" i="12"/>
  <c r="AG75" i="12"/>
  <c r="AI75" i="12"/>
  <c r="AJ75" i="12"/>
  <c r="AK75" i="12"/>
  <c r="AL75" i="12"/>
  <c r="AM75" i="12"/>
  <c r="R76" i="12"/>
  <c r="S76" i="12" s="1"/>
  <c r="T76" i="12"/>
  <c r="U76" i="12"/>
  <c r="V76" i="12"/>
  <c r="W76" i="12"/>
  <c r="X76" i="12"/>
  <c r="Y76" i="12"/>
  <c r="Z76" i="12"/>
  <c r="AA76" i="12" s="1"/>
  <c r="AB76" i="12"/>
  <c r="AC76" i="12"/>
  <c r="AD76" i="12"/>
  <c r="AE76" i="12"/>
  <c r="AF76" i="12"/>
  <c r="AG76" i="12"/>
  <c r="AI76" i="12"/>
  <c r="AJ76" i="12"/>
  <c r="AK76" i="12"/>
  <c r="AL76" i="12"/>
  <c r="AM76" i="12"/>
  <c r="R77" i="12"/>
  <c r="S77" i="12" s="1"/>
  <c r="T77" i="12"/>
  <c r="U77" i="12"/>
  <c r="V77" i="12"/>
  <c r="W77" i="12"/>
  <c r="X77" i="12"/>
  <c r="Y77" i="12"/>
  <c r="Z77" i="12"/>
  <c r="AA77" i="12" s="1"/>
  <c r="AB77" i="12"/>
  <c r="AC77" i="12"/>
  <c r="AD77" i="12"/>
  <c r="AE77" i="12"/>
  <c r="AF77" i="12"/>
  <c r="AG77" i="12"/>
  <c r="AI77" i="12"/>
  <c r="AJ77" i="12"/>
  <c r="AK77" i="12"/>
  <c r="AL77" i="12"/>
  <c r="AM77" i="12"/>
  <c r="R78" i="12"/>
  <c r="S78" i="12"/>
  <c r="T78" i="12"/>
  <c r="U78" i="12"/>
  <c r="V78" i="12"/>
  <c r="W78" i="12"/>
  <c r="X78" i="12"/>
  <c r="Y78" i="12"/>
  <c r="Z78" i="12"/>
  <c r="AA78" i="12" s="1"/>
  <c r="AB78" i="12"/>
  <c r="AC78" i="12"/>
  <c r="AD78" i="12"/>
  <c r="AE78" i="12" s="1"/>
  <c r="AF78" i="12"/>
  <c r="AG78" i="12"/>
  <c r="AI78" i="12"/>
  <c r="AJ78" i="12"/>
  <c r="AK78" i="12"/>
  <c r="AL78" i="12"/>
  <c r="AM78" i="12"/>
  <c r="R79" i="12"/>
  <c r="S79" i="12" s="1"/>
  <c r="T79" i="12"/>
  <c r="U79" i="12"/>
  <c r="V79" i="12"/>
  <c r="W79" i="12"/>
  <c r="X79" i="12"/>
  <c r="Y79" i="12"/>
  <c r="Z79" i="12"/>
  <c r="AA79" i="12"/>
  <c r="AB79" i="12"/>
  <c r="AC79" i="12" s="1"/>
  <c r="AD79" i="12"/>
  <c r="AE79" i="12"/>
  <c r="AF79" i="12"/>
  <c r="AG79" i="12"/>
  <c r="AI79" i="12"/>
  <c r="AJ79" i="12"/>
  <c r="AK79" i="12"/>
  <c r="AL79" i="12"/>
  <c r="AM79" i="12"/>
  <c r="R80" i="12"/>
  <c r="S80" i="12"/>
  <c r="T80" i="12"/>
  <c r="U80" i="12"/>
  <c r="V80" i="12"/>
  <c r="W80" i="12"/>
  <c r="X80" i="12"/>
  <c r="Y80" i="12"/>
  <c r="Z80" i="12"/>
  <c r="AA80" i="12" s="1"/>
  <c r="AB80" i="12"/>
  <c r="AC80" i="12" s="1"/>
  <c r="AD80" i="12"/>
  <c r="AE80" i="12"/>
  <c r="AF80" i="12"/>
  <c r="AG80" i="12"/>
  <c r="AI80" i="12"/>
  <c r="AJ80" i="12"/>
  <c r="AK80" i="12"/>
  <c r="AL80" i="12"/>
  <c r="AM80" i="12"/>
  <c r="R81" i="12"/>
  <c r="S81" i="12" s="1"/>
  <c r="T81" i="12"/>
  <c r="U81" i="12"/>
  <c r="V81" i="12"/>
  <c r="W81" i="12"/>
  <c r="X81" i="12"/>
  <c r="Y81" i="12"/>
  <c r="Z81" i="12"/>
  <c r="AA81" i="12" s="1"/>
  <c r="AB81" i="12"/>
  <c r="AC81" i="12" s="1"/>
  <c r="AD81" i="12"/>
  <c r="AE81" i="12"/>
  <c r="AF81" i="12"/>
  <c r="AG81" i="12" s="1"/>
  <c r="AI81" i="12"/>
  <c r="AJ81" i="12"/>
  <c r="AK81" i="12"/>
  <c r="AL81" i="12"/>
  <c r="AM81" i="12"/>
  <c r="R82" i="12"/>
  <c r="S82" i="12" s="1"/>
  <c r="T82" i="12"/>
  <c r="U82" i="12"/>
  <c r="V82" i="12"/>
  <c r="W82" i="12"/>
  <c r="X82" i="12"/>
  <c r="Y82" i="12"/>
  <c r="Z82" i="12"/>
  <c r="AA82" i="12" s="1"/>
  <c r="AB82" i="12"/>
  <c r="AC82" i="12" s="1"/>
  <c r="AD82" i="12"/>
  <c r="AE82" i="12"/>
  <c r="AF82" i="12"/>
  <c r="AG82" i="12"/>
  <c r="AI82" i="12"/>
  <c r="AJ82" i="12"/>
  <c r="AK82" i="12"/>
  <c r="AL82" i="12"/>
  <c r="AM82" i="12"/>
  <c r="R83" i="12"/>
  <c r="S83" i="12" s="1"/>
  <c r="T83" i="12"/>
  <c r="U83" i="12"/>
  <c r="V83" i="12"/>
  <c r="W83" i="12"/>
  <c r="X83" i="12"/>
  <c r="Y83" i="12"/>
  <c r="Z83" i="12"/>
  <c r="AA83" i="12"/>
  <c r="AB83" i="12"/>
  <c r="AC83" i="12" s="1"/>
  <c r="AD83" i="12"/>
  <c r="AE83" i="12"/>
  <c r="AF83" i="12"/>
  <c r="AG83" i="12"/>
  <c r="AI83" i="12"/>
  <c r="AJ83" i="12"/>
  <c r="AK83" i="12"/>
  <c r="AL83" i="12"/>
  <c r="AM83" i="12"/>
  <c r="R84" i="12"/>
  <c r="S84" i="12" s="1"/>
  <c r="T84" i="12"/>
  <c r="U84" i="12"/>
  <c r="V84" i="12"/>
  <c r="W84" i="12"/>
  <c r="X84" i="12"/>
  <c r="Y84" i="12"/>
  <c r="Z84" i="12"/>
  <c r="AA84" i="12" s="1"/>
  <c r="AB84" i="12"/>
  <c r="AC84" i="12"/>
  <c r="AD84" i="12"/>
  <c r="AE84" i="12"/>
  <c r="AF84" i="12"/>
  <c r="AG84" i="12"/>
  <c r="AI84" i="12"/>
  <c r="AJ84" i="12"/>
  <c r="AK84" i="12"/>
  <c r="AL84" i="12"/>
  <c r="AM84" i="12"/>
  <c r="R85" i="12"/>
  <c r="S85" i="12" s="1"/>
  <c r="T85" i="12"/>
  <c r="U85" i="12"/>
  <c r="V85" i="12"/>
  <c r="W85" i="12"/>
  <c r="X85" i="12"/>
  <c r="Y85" i="12" s="1"/>
  <c r="Z85" i="12"/>
  <c r="AA85" i="12" s="1"/>
  <c r="AB85" i="12"/>
  <c r="AC85" i="12"/>
  <c r="AD85" i="12"/>
  <c r="AE85" i="12"/>
  <c r="AF85" i="12"/>
  <c r="AG85" i="12"/>
  <c r="AI85" i="12"/>
  <c r="AJ85" i="12"/>
  <c r="AK85" i="12"/>
  <c r="AL85" i="12"/>
  <c r="AM85" i="12"/>
  <c r="R86" i="12"/>
  <c r="S86" i="12"/>
  <c r="Q86" i="12" s="1"/>
  <c r="T86" i="12"/>
  <c r="U86" i="12"/>
  <c r="V86" i="12"/>
  <c r="W86" i="12"/>
  <c r="X86" i="12"/>
  <c r="Y86" i="12"/>
  <c r="Z86" i="12"/>
  <c r="AA86" i="12" s="1"/>
  <c r="AB86" i="12"/>
  <c r="AC86" i="12"/>
  <c r="AD86" i="12"/>
  <c r="AE86" i="12"/>
  <c r="AF86" i="12"/>
  <c r="AG86" i="12"/>
  <c r="AI86" i="12"/>
  <c r="AJ86" i="12"/>
  <c r="AK86" i="12"/>
  <c r="AL86" i="12"/>
  <c r="AM86" i="12"/>
  <c r="R87" i="12"/>
  <c r="S87" i="12" s="1"/>
  <c r="T87" i="12"/>
  <c r="U87" i="12"/>
  <c r="V87" i="12"/>
  <c r="W87" i="12"/>
  <c r="X87" i="12"/>
  <c r="Y87" i="12"/>
  <c r="Z87" i="12"/>
  <c r="AA87" i="12"/>
  <c r="AB87" i="12"/>
  <c r="AC87" i="12" s="1"/>
  <c r="AD87" i="12"/>
  <c r="AE87" i="12"/>
  <c r="AF87" i="12"/>
  <c r="AG87" i="12"/>
  <c r="AI87" i="12"/>
  <c r="AJ87" i="12"/>
  <c r="AK87" i="12"/>
  <c r="AL87" i="12"/>
  <c r="AM87" i="12"/>
  <c r="R88" i="12"/>
  <c r="S88" i="12"/>
  <c r="T88" i="12"/>
  <c r="U88" i="12"/>
  <c r="V88" i="12"/>
  <c r="W88" i="12"/>
  <c r="X88" i="12"/>
  <c r="Y88" i="12"/>
  <c r="Z88" i="12"/>
  <c r="AA88" i="12" s="1"/>
  <c r="AB88" i="12"/>
  <c r="AC88" i="12" s="1"/>
  <c r="AD88" i="12"/>
  <c r="AE88" i="12"/>
  <c r="AF88" i="12"/>
  <c r="AG88" i="12" s="1"/>
  <c r="AI88" i="12"/>
  <c r="AJ88" i="12"/>
  <c r="AK88" i="12"/>
  <c r="AL88" i="12"/>
  <c r="AM88" i="12"/>
  <c r="R89" i="12"/>
  <c r="S89" i="12" s="1"/>
  <c r="T89" i="12"/>
  <c r="U89" i="12"/>
  <c r="V89" i="12"/>
  <c r="W89" i="12"/>
  <c r="X89" i="12"/>
  <c r="Y89" i="12"/>
  <c r="Z89" i="12"/>
  <c r="AA89" i="12"/>
  <c r="AB89" i="12"/>
  <c r="AC89" i="12" s="1"/>
  <c r="AD89" i="12"/>
  <c r="AE89" i="12"/>
  <c r="AF89" i="12"/>
  <c r="AG89" i="12"/>
  <c r="AI89" i="12"/>
  <c r="AJ89" i="12"/>
  <c r="AK89" i="12"/>
  <c r="AL89" i="12"/>
  <c r="AM89" i="12"/>
  <c r="R90" i="12"/>
  <c r="S90" i="12" s="1"/>
  <c r="T90" i="12"/>
  <c r="U90" i="12"/>
  <c r="V90" i="12"/>
  <c r="W90" i="12"/>
  <c r="X90" i="12"/>
  <c r="Y90" i="12"/>
  <c r="Z90" i="12"/>
  <c r="AA90" i="12" s="1"/>
  <c r="AB90" i="12"/>
  <c r="AC90" i="12"/>
  <c r="AD90" i="12"/>
  <c r="AE90" i="12" s="1"/>
  <c r="AF90" i="12"/>
  <c r="AG90" i="12"/>
  <c r="AI90" i="12"/>
  <c r="AJ90" i="12"/>
  <c r="AK90" i="12"/>
  <c r="AL90" i="12"/>
  <c r="AM90" i="12"/>
  <c r="R91" i="12"/>
  <c r="S91" i="12" s="1"/>
  <c r="T91" i="12"/>
  <c r="U91" i="12"/>
  <c r="V91" i="12"/>
  <c r="W91" i="12"/>
  <c r="X91" i="12"/>
  <c r="Y91" i="12"/>
  <c r="Z91" i="12"/>
  <c r="AA91" i="12" s="1"/>
  <c r="AB91" i="12"/>
  <c r="AC91" i="12"/>
  <c r="AD91" i="12"/>
  <c r="AE91" i="12"/>
  <c r="AF91" i="12"/>
  <c r="AG91" i="12"/>
  <c r="AI91" i="12"/>
  <c r="AJ91" i="12"/>
  <c r="AK91" i="12"/>
  <c r="AL91" i="12"/>
  <c r="AM91" i="12"/>
  <c r="R92" i="12"/>
  <c r="S92" i="12" s="1"/>
  <c r="T92" i="12"/>
  <c r="U92" i="12"/>
  <c r="V92" i="12"/>
  <c r="W92" i="12"/>
  <c r="X92" i="12"/>
  <c r="Y92" i="12" s="1"/>
  <c r="Z92" i="12"/>
  <c r="AA92" i="12" s="1"/>
  <c r="AB92" i="12"/>
  <c r="AC92" i="12"/>
  <c r="AD92" i="12"/>
  <c r="AE92" i="12"/>
  <c r="AF92" i="12"/>
  <c r="AG92" i="12"/>
  <c r="AI92" i="12"/>
  <c r="AJ92" i="12"/>
  <c r="AK92" i="12"/>
  <c r="AL92" i="12"/>
  <c r="AM92" i="12"/>
  <c r="R93" i="12"/>
  <c r="S93" i="12" s="1"/>
  <c r="T93" i="12"/>
  <c r="U93" i="12"/>
  <c r="V93" i="12"/>
  <c r="W93" i="12"/>
  <c r="X93" i="12"/>
  <c r="Y93" i="12"/>
  <c r="Z93" i="12"/>
  <c r="AA93" i="12" s="1"/>
  <c r="AB93" i="12"/>
  <c r="AC93" i="12"/>
  <c r="AD93" i="12"/>
  <c r="AE93" i="12"/>
  <c r="AF93" i="12"/>
  <c r="AG93" i="12"/>
  <c r="AI93" i="12"/>
  <c r="AJ93" i="12"/>
  <c r="AK93" i="12"/>
  <c r="AL93" i="12"/>
  <c r="AM93" i="12"/>
  <c r="R94" i="12"/>
  <c r="S94" i="12"/>
  <c r="T94" i="12"/>
  <c r="U94" i="12"/>
  <c r="V94" i="12"/>
  <c r="W94" i="12"/>
  <c r="X94" i="12"/>
  <c r="Y94" i="12"/>
  <c r="Z94" i="12"/>
  <c r="AA94" i="12" s="1"/>
  <c r="AB94" i="12"/>
  <c r="AC94" i="12" s="1"/>
  <c r="AD94" i="12"/>
  <c r="AE94" i="12"/>
  <c r="AF94" i="12"/>
  <c r="AG94" i="12"/>
  <c r="AI94" i="12"/>
  <c r="AJ94" i="12"/>
  <c r="AK94" i="12"/>
  <c r="AL94" i="12"/>
  <c r="AM94" i="12"/>
  <c r="R95" i="12"/>
  <c r="S95" i="12" s="1"/>
  <c r="T95" i="12"/>
  <c r="U95" i="12"/>
  <c r="V95" i="12"/>
  <c r="W95" i="12"/>
  <c r="X95" i="12"/>
  <c r="Y95" i="12"/>
  <c r="Z95" i="12"/>
  <c r="AA95" i="12" s="1"/>
  <c r="AB95" i="12"/>
  <c r="AC95" i="12" s="1"/>
  <c r="AD95" i="12"/>
  <c r="AE95" i="12" s="1"/>
  <c r="AF95" i="12"/>
  <c r="AG95" i="12"/>
  <c r="AI95" i="12"/>
  <c r="AJ95" i="12"/>
  <c r="AK95" i="12"/>
  <c r="AL95" i="12"/>
  <c r="AM95" i="12"/>
  <c r="R96" i="12"/>
  <c r="S96" i="12"/>
  <c r="T96" i="12"/>
  <c r="U96" i="12"/>
  <c r="V96" i="12"/>
  <c r="W96" i="12"/>
  <c r="X96" i="12"/>
  <c r="Y96" i="12" s="1"/>
  <c r="Z96" i="12"/>
  <c r="AA96" i="12" s="1"/>
  <c r="AB96" i="12"/>
  <c r="AC96" i="12"/>
  <c r="AD96" i="12"/>
  <c r="AE96" i="12"/>
  <c r="AF96" i="12"/>
  <c r="AG96" i="12"/>
  <c r="AI96" i="12"/>
  <c r="AJ96" i="12"/>
  <c r="AK96" i="12"/>
  <c r="AL96" i="12"/>
  <c r="AM96" i="12"/>
  <c r="R97" i="12"/>
  <c r="S97" i="12" s="1"/>
  <c r="T97" i="12"/>
  <c r="U97" i="12"/>
  <c r="V97" i="12"/>
  <c r="W97" i="12"/>
  <c r="X97" i="12"/>
  <c r="Y97" i="12" s="1"/>
  <c r="Z97" i="12"/>
  <c r="AA97" i="12"/>
  <c r="AB97" i="12"/>
  <c r="AC97" i="12"/>
  <c r="AD97" i="12"/>
  <c r="AE97" i="12"/>
  <c r="AF97" i="12"/>
  <c r="AG97" i="12"/>
  <c r="AI97" i="12"/>
  <c r="AJ97" i="12"/>
  <c r="AK97" i="12"/>
  <c r="AL97" i="12"/>
  <c r="AM97" i="12"/>
  <c r="R98" i="12"/>
  <c r="S98" i="12" s="1"/>
  <c r="T98" i="12"/>
  <c r="U98" i="12"/>
  <c r="V98" i="12"/>
  <c r="W98" i="12"/>
  <c r="X98" i="12"/>
  <c r="Y98" i="12"/>
  <c r="Z98" i="12"/>
  <c r="AA98" i="12" s="1"/>
  <c r="AB98" i="12"/>
  <c r="AC98" i="12"/>
  <c r="AD98" i="12"/>
  <c r="AE98" i="12" s="1"/>
  <c r="AF98" i="12"/>
  <c r="AG98" i="12" s="1"/>
  <c r="AI98" i="12"/>
  <c r="AJ98" i="12"/>
  <c r="AK98" i="12"/>
  <c r="AL98" i="12"/>
  <c r="AM98" i="12"/>
  <c r="R99" i="12"/>
  <c r="S99" i="12" s="1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F99" i="12"/>
  <c r="AG99" i="12"/>
  <c r="AI99" i="12"/>
  <c r="AJ99" i="12"/>
  <c r="AK99" i="12"/>
  <c r="AL99" i="12"/>
  <c r="AM99" i="12"/>
  <c r="R100" i="12"/>
  <c r="S100" i="12"/>
  <c r="T100" i="12"/>
  <c r="U100" i="12"/>
  <c r="V100" i="12"/>
  <c r="W100" i="12"/>
  <c r="X100" i="12"/>
  <c r="Y100" i="12"/>
  <c r="Z100" i="12"/>
  <c r="AA100" i="12" s="1"/>
  <c r="AB100" i="12"/>
  <c r="AC100" i="12"/>
  <c r="AD100" i="12"/>
  <c r="AE100" i="12"/>
  <c r="AF100" i="12"/>
  <c r="AG100" i="12" s="1"/>
  <c r="AI100" i="12"/>
  <c r="AJ100" i="12"/>
  <c r="AK100" i="12"/>
  <c r="AL100" i="12"/>
  <c r="AM100" i="12"/>
  <c r="R101" i="12"/>
  <c r="S101" i="12" s="1"/>
  <c r="T101" i="12"/>
  <c r="U101" i="12"/>
  <c r="V101" i="12"/>
  <c r="W101" i="12"/>
  <c r="X101" i="12"/>
  <c r="Y101" i="12"/>
  <c r="Z101" i="12"/>
  <c r="AA101" i="12" s="1"/>
  <c r="AB101" i="12"/>
  <c r="AC101" i="12"/>
  <c r="AD101" i="12"/>
  <c r="AE101" i="12" s="1"/>
  <c r="AF101" i="12"/>
  <c r="AG101" i="12"/>
  <c r="AI101" i="12"/>
  <c r="AJ101" i="12"/>
  <c r="AK101" i="12"/>
  <c r="AL101" i="12"/>
  <c r="AM101" i="12"/>
  <c r="AM2" i="12"/>
  <c r="AL2" i="12"/>
  <c r="AK2" i="12"/>
  <c r="AJ2" i="12"/>
  <c r="AI2" i="12"/>
  <c r="AF2" i="12"/>
  <c r="AG2" i="12" s="1"/>
  <c r="AD2" i="12"/>
  <c r="AE2" i="12" s="1"/>
  <c r="AB2" i="12"/>
  <c r="AC2" i="12" s="1"/>
  <c r="Z2" i="12"/>
  <c r="AA2" i="12" s="1"/>
  <c r="X2" i="12"/>
  <c r="Y2" i="12" s="1"/>
  <c r="W2" i="12"/>
  <c r="V2" i="12"/>
  <c r="U2" i="12"/>
  <c r="T2" i="12"/>
  <c r="R2" i="12"/>
  <c r="S2" i="12" s="1"/>
  <c r="O3" i="11"/>
  <c r="O4" i="11"/>
  <c r="O5" i="11"/>
  <c r="O6" i="11"/>
  <c r="O7" i="11"/>
  <c r="U3" i="11"/>
  <c r="U4" i="11"/>
  <c r="U5" i="11"/>
  <c r="U6" i="11"/>
  <c r="U7" i="11"/>
  <c r="U2" i="11"/>
  <c r="T3" i="11"/>
  <c r="T4" i="11"/>
  <c r="T5" i="11"/>
  <c r="T6" i="11"/>
  <c r="T7" i="11"/>
  <c r="T2" i="11"/>
  <c r="V3" i="11"/>
  <c r="V4" i="11"/>
  <c r="V5" i="11"/>
  <c r="V6" i="11"/>
  <c r="V7" i="11"/>
  <c r="V2" i="11"/>
  <c r="S3" i="11"/>
  <c r="S4" i="11"/>
  <c r="S5" i="11"/>
  <c r="S6" i="11"/>
  <c r="S7" i="11"/>
  <c r="S2" i="11"/>
  <c r="O3" i="1"/>
  <c r="P3" i="1"/>
  <c r="Q3" i="1"/>
  <c r="R3" i="1"/>
  <c r="S3" i="1" s="1"/>
  <c r="T3" i="1"/>
  <c r="V3" i="1" s="1"/>
  <c r="W3" i="1" s="1"/>
  <c r="U3" i="1"/>
  <c r="X3" i="1"/>
  <c r="Y3" i="1" s="1"/>
  <c r="Z3" i="1"/>
  <c r="AA3" i="1"/>
  <c r="AB3" i="1"/>
  <c r="AC3" i="1" s="1"/>
  <c r="AD3" i="1"/>
  <c r="AE3" i="1" s="1"/>
  <c r="AF3" i="1"/>
  <c r="AG3" i="1"/>
  <c r="AH3" i="1"/>
  <c r="AI3" i="1"/>
  <c r="AJ3" i="1"/>
  <c r="AK3" i="1"/>
  <c r="O4" i="1"/>
  <c r="P4" i="1"/>
  <c r="Q4" i="1"/>
  <c r="R4" i="1"/>
  <c r="S4" i="1"/>
  <c r="T4" i="1"/>
  <c r="V4" i="1" s="1"/>
  <c r="W4" i="1" s="1"/>
  <c r="U4" i="1"/>
  <c r="X4" i="1"/>
  <c r="Y4" i="1" s="1"/>
  <c r="Z4" i="1"/>
  <c r="AA4" i="1" s="1"/>
  <c r="AB4" i="1"/>
  <c r="AC4" i="1" s="1"/>
  <c r="AD4" i="1"/>
  <c r="AE4" i="1" s="1"/>
  <c r="AF4" i="1"/>
  <c r="AG4" i="1"/>
  <c r="AH4" i="1"/>
  <c r="AI4" i="1"/>
  <c r="AJ4" i="1"/>
  <c r="AK4" i="1"/>
  <c r="O5" i="1"/>
  <c r="P5" i="1"/>
  <c r="Q5" i="1"/>
  <c r="R5" i="1"/>
  <c r="S5" i="1" s="1"/>
  <c r="T5" i="1"/>
  <c r="V5" i="1" s="1"/>
  <c r="W5" i="1" s="1"/>
  <c r="U5" i="1"/>
  <c r="X5" i="1"/>
  <c r="Y5" i="1" s="1"/>
  <c r="Z5" i="1"/>
  <c r="AA5" i="1"/>
  <c r="AB5" i="1"/>
  <c r="AC5" i="1" s="1"/>
  <c r="AD5" i="1"/>
  <c r="AE5" i="1" s="1"/>
  <c r="AF5" i="1"/>
  <c r="AG5" i="1"/>
  <c r="AH5" i="1"/>
  <c r="AI5" i="1"/>
  <c r="AJ5" i="1"/>
  <c r="AK5" i="1"/>
  <c r="O6" i="1"/>
  <c r="P6" i="1"/>
  <c r="Q6" i="1"/>
  <c r="R6" i="1"/>
  <c r="S6" i="1"/>
  <c r="T6" i="1"/>
  <c r="V6" i="1" s="1"/>
  <c r="W6" i="1" s="1"/>
  <c r="U6" i="1"/>
  <c r="X6" i="1"/>
  <c r="Y6" i="1" s="1"/>
  <c r="Z6" i="1"/>
  <c r="AA6" i="1" s="1"/>
  <c r="AB6" i="1"/>
  <c r="AC6" i="1" s="1"/>
  <c r="AD6" i="1"/>
  <c r="AE6" i="1" s="1"/>
  <c r="AF6" i="1"/>
  <c r="AG6" i="1"/>
  <c r="AH6" i="1"/>
  <c r="AI6" i="1"/>
  <c r="AJ6" i="1"/>
  <c r="AK6" i="1"/>
  <c r="O7" i="1"/>
  <c r="P7" i="1"/>
  <c r="Q7" i="1"/>
  <c r="R7" i="1"/>
  <c r="S7" i="1" s="1"/>
  <c r="T7" i="1"/>
  <c r="V7" i="1" s="1"/>
  <c r="W7" i="1" s="1"/>
  <c r="U7" i="1"/>
  <c r="X7" i="1"/>
  <c r="Y7" i="1" s="1"/>
  <c r="Z7" i="1"/>
  <c r="AA7" i="1"/>
  <c r="AB7" i="1"/>
  <c r="AC7" i="1" s="1"/>
  <c r="AD7" i="1"/>
  <c r="AE7" i="1" s="1"/>
  <c r="AF7" i="1"/>
  <c r="AG7" i="1"/>
  <c r="AH7" i="1"/>
  <c r="AI7" i="1"/>
  <c r="AJ7" i="1"/>
  <c r="AK7" i="1"/>
  <c r="O8" i="1"/>
  <c r="P8" i="1"/>
  <c r="Q8" i="1"/>
  <c r="R8" i="1"/>
  <c r="S8" i="1"/>
  <c r="T8" i="1"/>
  <c r="V8" i="1" s="1"/>
  <c r="W8" i="1" s="1"/>
  <c r="U8" i="1"/>
  <c r="X8" i="1"/>
  <c r="Y8" i="1" s="1"/>
  <c r="Z8" i="1"/>
  <c r="AA8" i="1" s="1"/>
  <c r="AB8" i="1"/>
  <c r="AC8" i="1" s="1"/>
  <c r="AD8" i="1"/>
  <c r="AE8" i="1" s="1"/>
  <c r="AF8" i="1"/>
  <c r="AG8" i="1"/>
  <c r="AH8" i="1"/>
  <c r="AI8" i="1"/>
  <c r="AJ8" i="1"/>
  <c r="AK8" i="1"/>
  <c r="O9" i="1"/>
  <c r="P9" i="1"/>
  <c r="Q9" i="1"/>
  <c r="R9" i="1"/>
  <c r="S9" i="1" s="1"/>
  <c r="T9" i="1"/>
  <c r="V9" i="1" s="1"/>
  <c r="W9" i="1" s="1"/>
  <c r="U9" i="1"/>
  <c r="X9" i="1"/>
  <c r="Y9" i="1" s="1"/>
  <c r="Z9" i="1"/>
  <c r="AA9" i="1"/>
  <c r="AB9" i="1"/>
  <c r="AC9" i="1" s="1"/>
  <c r="AD9" i="1"/>
  <c r="AE9" i="1" s="1"/>
  <c r="AF9" i="1"/>
  <c r="AG9" i="1"/>
  <c r="AH9" i="1"/>
  <c r="AI9" i="1"/>
  <c r="AJ9" i="1"/>
  <c r="AK9" i="1"/>
  <c r="O10" i="1"/>
  <c r="P10" i="1"/>
  <c r="Q10" i="1"/>
  <c r="R10" i="1"/>
  <c r="S10" i="1"/>
  <c r="T10" i="1"/>
  <c r="V10" i="1" s="1"/>
  <c r="W10" i="1" s="1"/>
  <c r="U10" i="1"/>
  <c r="X10" i="1"/>
  <c r="Y10" i="1" s="1"/>
  <c r="Z10" i="1"/>
  <c r="AA10" i="1" s="1"/>
  <c r="AB10" i="1"/>
  <c r="AC10" i="1" s="1"/>
  <c r="AD10" i="1"/>
  <c r="AE10" i="1" s="1"/>
  <c r="AF10" i="1"/>
  <c r="AG10" i="1"/>
  <c r="AH10" i="1"/>
  <c r="AI10" i="1"/>
  <c r="AJ10" i="1"/>
  <c r="AK10" i="1"/>
  <c r="O11" i="1"/>
  <c r="P11" i="1"/>
  <c r="Q11" i="1"/>
  <c r="R11" i="1"/>
  <c r="S11" i="1" s="1"/>
  <c r="T11" i="1"/>
  <c r="V11" i="1" s="1"/>
  <c r="W11" i="1" s="1"/>
  <c r="U11" i="1"/>
  <c r="X11" i="1"/>
  <c r="Y11" i="1" s="1"/>
  <c r="Z11" i="1"/>
  <c r="AA11" i="1"/>
  <c r="AB11" i="1"/>
  <c r="AC11" i="1" s="1"/>
  <c r="AD11" i="1"/>
  <c r="AE11" i="1" s="1"/>
  <c r="AF11" i="1"/>
  <c r="AG11" i="1"/>
  <c r="AH11" i="1"/>
  <c r="AI11" i="1"/>
  <c r="AJ11" i="1"/>
  <c r="AK11" i="1"/>
  <c r="O12" i="1"/>
  <c r="P12" i="1"/>
  <c r="Q12" i="1"/>
  <c r="R12" i="1"/>
  <c r="S12" i="1"/>
  <c r="T12" i="1"/>
  <c r="V12" i="1" s="1"/>
  <c r="W12" i="1" s="1"/>
  <c r="U12" i="1"/>
  <c r="X12" i="1"/>
  <c r="Y12" i="1" s="1"/>
  <c r="Z12" i="1"/>
  <c r="AA12" i="1" s="1"/>
  <c r="AB12" i="1"/>
  <c r="AC12" i="1" s="1"/>
  <c r="AD12" i="1"/>
  <c r="AE12" i="1" s="1"/>
  <c r="AF12" i="1"/>
  <c r="AG12" i="1"/>
  <c r="AH12" i="1"/>
  <c r="AI12" i="1"/>
  <c r="AJ12" i="1"/>
  <c r="AK12" i="1"/>
  <c r="O13" i="1"/>
  <c r="P13" i="1"/>
  <c r="Q13" i="1"/>
  <c r="R13" i="1"/>
  <c r="S13" i="1" s="1"/>
  <c r="T13" i="1"/>
  <c r="V13" i="1" s="1"/>
  <c r="W13" i="1" s="1"/>
  <c r="U13" i="1"/>
  <c r="X13" i="1"/>
  <c r="Y13" i="1" s="1"/>
  <c r="Z13" i="1"/>
  <c r="AA13" i="1"/>
  <c r="AB13" i="1"/>
  <c r="AC13" i="1" s="1"/>
  <c r="AD13" i="1"/>
  <c r="AE13" i="1" s="1"/>
  <c r="AF13" i="1"/>
  <c r="AG13" i="1"/>
  <c r="AH13" i="1"/>
  <c r="AI13" i="1"/>
  <c r="AJ13" i="1"/>
  <c r="AK13" i="1"/>
  <c r="O14" i="1"/>
  <c r="P14" i="1"/>
  <c r="N14" i="1" s="1"/>
  <c r="Q14" i="1"/>
  <c r="R14" i="1"/>
  <c r="S14" i="1"/>
  <c r="T14" i="1"/>
  <c r="V14" i="1" s="1"/>
  <c r="W14" i="1" s="1"/>
  <c r="U14" i="1"/>
  <c r="X14" i="1"/>
  <c r="Y14" i="1" s="1"/>
  <c r="Z14" i="1"/>
  <c r="AA14" i="1" s="1"/>
  <c r="AB14" i="1"/>
  <c r="AC14" i="1" s="1"/>
  <c r="AD14" i="1"/>
  <c r="AE14" i="1" s="1"/>
  <c r="AF14" i="1"/>
  <c r="AG14" i="1"/>
  <c r="AH14" i="1"/>
  <c r="AI14" i="1"/>
  <c r="AJ14" i="1"/>
  <c r="AK14" i="1"/>
  <c r="O15" i="1"/>
  <c r="P15" i="1"/>
  <c r="Q15" i="1"/>
  <c r="R15" i="1"/>
  <c r="S15" i="1" s="1"/>
  <c r="T15" i="1"/>
  <c r="V15" i="1" s="1"/>
  <c r="W15" i="1" s="1"/>
  <c r="U15" i="1"/>
  <c r="X15" i="1"/>
  <c r="Y15" i="1" s="1"/>
  <c r="Z15" i="1"/>
  <c r="AA15" i="1"/>
  <c r="AB15" i="1"/>
  <c r="AC15" i="1" s="1"/>
  <c r="AD15" i="1"/>
  <c r="AE15" i="1" s="1"/>
  <c r="AF15" i="1"/>
  <c r="AG15" i="1"/>
  <c r="AH15" i="1"/>
  <c r="AI15" i="1"/>
  <c r="AJ15" i="1"/>
  <c r="AK15" i="1"/>
  <c r="O16" i="1"/>
  <c r="P16" i="1"/>
  <c r="N16" i="1" s="1"/>
  <c r="Q16" i="1"/>
  <c r="R16" i="1"/>
  <c r="S16" i="1"/>
  <c r="T16" i="1"/>
  <c r="V16" i="1" s="1"/>
  <c r="W16" i="1" s="1"/>
  <c r="U16" i="1"/>
  <c r="X16" i="1"/>
  <c r="Y16" i="1" s="1"/>
  <c r="Z16" i="1"/>
  <c r="AA16" i="1" s="1"/>
  <c r="AB16" i="1"/>
  <c r="AC16" i="1" s="1"/>
  <c r="AD16" i="1"/>
  <c r="AE16" i="1" s="1"/>
  <c r="AF16" i="1"/>
  <c r="AG16" i="1"/>
  <c r="AH16" i="1"/>
  <c r="AI16" i="1"/>
  <c r="AJ16" i="1"/>
  <c r="AK16" i="1"/>
  <c r="O17" i="1"/>
  <c r="P17" i="1"/>
  <c r="N17" i="1" s="1"/>
  <c r="Q17" i="1"/>
  <c r="R17" i="1"/>
  <c r="S17" i="1" s="1"/>
  <c r="T17" i="1"/>
  <c r="V17" i="1" s="1"/>
  <c r="W17" i="1" s="1"/>
  <c r="U17" i="1"/>
  <c r="X17" i="1"/>
  <c r="Y17" i="1" s="1"/>
  <c r="Z17" i="1"/>
  <c r="AA17" i="1"/>
  <c r="AB17" i="1"/>
  <c r="AC17" i="1" s="1"/>
  <c r="AD17" i="1"/>
  <c r="AE17" i="1" s="1"/>
  <c r="AF17" i="1"/>
  <c r="AG17" i="1"/>
  <c r="AH17" i="1"/>
  <c r="AI17" i="1"/>
  <c r="AJ17" i="1"/>
  <c r="AK17" i="1"/>
  <c r="O18" i="1"/>
  <c r="P18" i="1"/>
  <c r="Q18" i="1"/>
  <c r="R18" i="1"/>
  <c r="S18" i="1"/>
  <c r="T18" i="1"/>
  <c r="V18" i="1" s="1"/>
  <c r="W18" i="1" s="1"/>
  <c r="U18" i="1"/>
  <c r="X18" i="1"/>
  <c r="Y18" i="1" s="1"/>
  <c r="Z18" i="1"/>
  <c r="AA18" i="1" s="1"/>
  <c r="AB18" i="1"/>
  <c r="AC18" i="1" s="1"/>
  <c r="AD18" i="1"/>
  <c r="AE18" i="1" s="1"/>
  <c r="AF18" i="1"/>
  <c r="AG18" i="1"/>
  <c r="AH18" i="1"/>
  <c r="AI18" i="1"/>
  <c r="AJ18" i="1"/>
  <c r="AK18" i="1"/>
  <c r="O19" i="1"/>
  <c r="P19" i="1"/>
  <c r="Q19" i="1"/>
  <c r="R19" i="1"/>
  <c r="S19" i="1" s="1"/>
  <c r="T19" i="1"/>
  <c r="V19" i="1" s="1"/>
  <c r="W19" i="1" s="1"/>
  <c r="U19" i="1"/>
  <c r="X19" i="1"/>
  <c r="Y19" i="1" s="1"/>
  <c r="Z19" i="1"/>
  <c r="AA19" i="1"/>
  <c r="AB19" i="1"/>
  <c r="AC19" i="1" s="1"/>
  <c r="AD19" i="1"/>
  <c r="AE19" i="1" s="1"/>
  <c r="AF19" i="1"/>
  <c r="AG19" i="1"/>
  <c r="AH19" i="1"/>
  <c r="AI19" i="1"/>
  <c r="AJ19" i="1"/>
  <c r="AK19" i="1"/>
  <c r="O20" i="1"/>
  <c r="P20" i="1"/>
  <c r="Q20" i="1"/>
  <c r="R20" i="1"/>
  <c r="S20" i="1"/>
  <c r="T20" i="1"/>
  <c r="V20" i="1" s="1"/>
  <c r="W20" i="1" s="1"/>
  <c r="U20" i="1"/>
  <c r="X20" i="1"/>
  <c r="Y20" i="1" s="1"/>
  <c r="Z20" i="1"/>
  <c r="AA20" i="1" s="1"/>
  <c r="AB20" i="1"/>
  <c r="AC20" i="1" s="1"/>
  <c r="AD20" i="1"/>
  <c r="AE20" i="1" s="1"/>
  <c r="AF20" i="1"/>
  <c r="AG20" i="1"/>
  <c r="AH20" i="1"/>
  <c r="AI20" i="1"/>
  <c r="AJ20" i="1"/>
  <c r="AK20" i="1"/>
  <c r="O21" i="1"/>
  <c r="P21" i="1"/>
  <c r="Q21" i="1"/>
  <c r="R21" i="1"/>
  <c r="S21" i="1" s="1"/>
  <c r="T21" i="1"/>
  <c r="V21" i="1" s="1"/>
  <c r="W21" i="1" s="1"/>
  <c r="U21" i="1"/>
  <c r="X21" i="1"/>
  <c r="Y21" i="1" s="1"/>
  <c r="Z21" i="1"/>
  <c r="AA21" i="1"/>
  <c r="AB21" i="1"/>
  <c r="AC21" i="1" s="1"/>
  <c r="AD21" i="1"/>
  <c r="AE21" i="1" s="1"/>
  <c r="AF21" i="1"/>
  <c r="AG21" i="1"/>
  <c r="AH21" i="1"/>
  <c r="AI21" i="1"/>
  <c r="AJ21" i="1"/>
  <c r="AK21" i="1"/>
  <c r="O22" i="1"/>
  <c r="P22" i="1"/>
  <c r="Q22" i="1"/>
  <c r="R22" i="1"/>
  <c r="S22" i="1"/>
  <c r="T22" i="1"/>
  <c r="V22" i="1" s="1"/>
  <c r="W22" i="1" s="1"/>
  <c r="U22" i="1"/>
  <c r="X22" i="1"/>
  <c r="Y22" i="1" s="1"/>
  <c r="Z22" i="1"/>
  <c r="AA22" i="1" s="1"/>
  <c r="AB22" i="1"/>
  <c r="AC22" i="1" s="1"/>
  <c r="AD22" i="1"/>
  <c r="AE22" i="1" s="1"/>
  <c r="AF22" i="1"/>
  <c r="AG22" i="1"/>
  <c r="AH22" i="1"/>
  <c r="AI22" i="1"/>
  <c r="AJ22" i="1"/>
  <c r="AK22" i="1"/>
  <c r="O23" i="1"/>
  <c r="P23" i="1"/>
  <c r="Q23" i="1"/>
  <c r="R23" i="1"/>
  <c r="S23" i="1" s="1"/>
  <c r="T23" i="1"/>
  <c r="V23" i="1" s="1"/>
  <c r="W23" i="1" s="1"/>
  <c r="U23" i="1"/>
  <c r="X23" i="1"/>
  <c r="Y23" i="1" s="1"/>
  <c r="Z23" i="1"/>
  <c r="AA23" i="1"/>
  <c r="AB23" i="1"/>
  <c r="AC23" i="1" s="1"/>
  <c r="AD23" i="1"/>
  <c r="AE23" i="1" s="1"/>
  <c r="AF23" i="1"/>
  <c r="AG23" i="1"/>
  <c r="AH23" i="1"/>
  <c r="AI23" i="1"/>
  <c r="AJ23" i="1"/>
  <c r="AK23" i="1"/>
  <c r="O24" i="1"/>
  <c r="P24" i="1"/>
  <c r="Q24" i="1"/>
  <c r="R24" i="1"/>
  <c r="S24" i="1"/>
  <c r="T24" i="1"/>
  <c r="V24" i="1" s="1"/>
  <c r="W24" i="1" s="1"/>
  <c r="U24" i="1"/>
  <c r="X24" i="1"/>
  <c r="Y24" i="1" s="1"/>
  <c r="Z24" i="1"/>
  <c r="AA24" i="1" s="1"/>
  <c r="AB24" i="1"/>
  <c r="AC24" i="1" s="1"/>
  <c r="AD24" i="1"/>
  <c r="AE24" i="1" s="1"/>
  <c r="AF24" i="1"/>
  <c r="AG24" i="1"/>
  <c r="AH24" i="1"/>
  <c r="AI24" i="1"/>
  <c r="AJ24" i="1"/>
  <c r="AK24" i="1"/>
  <c r="O25" i="1"/>
  <c r="P25" i="1"/>
  <c r="Q25" i="1"/>
  <c r="R25" i="1"/>
  <c r="S25" i="1" s="1"/>
  <c r="T25" i="1"/>
  <c r="V25" i="1" s="1"/>
  <c r="W25" i="1" s="1"/>
  <c r="U25" i="1"/>
  <c r="X25" i="1"/>
  <c r="Y25" i="1" s="1"/>
  <c r="Z25" i="1"/>
  <c r="AA25" i="1"/>
  <c r="AB25" i="1"/>
  <c r="AC25" i="1" s="1"/>
  <c r="AD25" i="1"/>
  <c r="AE25" i="1" s="1"/>
  <c r="AF25" i="1"/>
  <c r="AG25" i="1"/>
  <c r="AH25" i="1"/>
  <c r="AI25" i="1"/>
  <c r="AJ25" i="1"/>
  <c r="AK25" i="1"/>
  <c r="O26" i="1"/>
  <c r="P26" i="1"/>
  <c r="Q26" i="1"/>
  <c r="R26" i="1"/>
  <c r="S26" i="1"/>
  <c r="T26" i="1"/>
  <c r="V26" i="1" s="1"/>
  <c r="W26" i="1" s="1"/>
  <c r="U26" i="1"/>
  <c r="X26" i="1"/>
  <c r="Y26" i="1" s="1"/>
  <c r="Z26" i="1"/>
  <c r="AA26" i="1" s="1"/>
  <c r="AB26" i="1"/>
  <c r="AC26" i="1" s="1"/>
  <c r="AD26" i="1"/>
  <c r="AE26" i="1" s="1"/>
  <c r="AF26" i="1"/>
  <c r="AG26" i="1"/>
  <c r="AH26" i="1"/>
  <c r="AI26" i="1"/>
  <c r="AJ26" i="1"/>
  <c r="AK26" i="1"/>
  <c r="O27" i="1"/>
  <c r="P27" i="1"/>
  <c r="Q27" i="1"/>
  <c r="R27" i="1"/>
  <c r="S27" i="1" s="1"/>
  <c r="T27" i="1"/>
  <c r="V27" i="1" s="1"/>
  <c r="W27" i="1" s="1"/>
  <c r="U27" i="1"/>
  <c r="X27" i="1"/>
  <c r="Y27" i="1" s="1"/>
  <c r="Z27" i="1"/>
  <c r="AA27" i="1"/>
  <c r="AB27" i="1"/>
  <c r="AC27" i="1" s="1"/>
  <c r="AD27" i="1"/>
  <c r="AE27" i="1" s="1"/>
  <c r="AF27" i="1"/>
  <c r="AG27" i="1"/>
  <c r="AH27" i="1"/>
  <c r="AI27" i="1"/>
  <c r="AJ27" i="1"/>
  <c r="AK27" i="1"/>
  <c r="O28" i="1"/>
  <c r="P28" i="1"/>
  <c r="Q28" i="1"/>
  <c r="R28" i="1"/>
  <c r="S28" i="1"/>
  <c r="T28" i="1"/>
  <c r="V28" i="1" s="1"/>
  <c r="W28" i="1" s="1"/>
  <c r="U28" i="1"/>
  <c r="X28" i="1"/>
  <c r="Y28" i="1" s="1"/>
  <c r="Z28" i="1"/>
  <c r="AA28" i="1" s="1"/>
  <c r="AB28" i="1"/>
  <c r="AC28" i="1" s="1"/>
  <c r="AD28" i="1"/>
  <c r="AE28" i="1" s="1"/>
  <c r="AF28" i="1"/>
  <c r="AG28" i="1"/>
  <c r="AH28" i="1"/>
  <c r="AI28" i="1"/>
  <c r="AJ28" i="1"/>
  <c r="AK28" i="1"/>
  <c r="O29" i="1"/>
  <c r="P29" i="1"/>
  <c r="Q29" i="1"/>
  <c r="R29" i="1"/>
  <c r="S29" i="1" s="1"/>
  <c r="T29" i="1"/>
  <c r="V29" i="1" s="1"/>
  <c r="W29" i="1" s="1"/>
  <c r="U29" i="1"/>
  <c r="X29" i="1"/>
  <c r="Y29" i="1" s="1"/>
  <c r="Z29" i="1"/>
  <c r="AA29" i="1"/>
  <c r="AB29" i="1"/>
  <c r="AC29" i="1" s="1"/>
  <c r="AD29" i="1"/>
  <c r="AE29" i="1" s="1"/>
  <c r="AF29" i="1"/>
  <c r="AG29" i="1"/>
  <c r="AH29" i="1"/>
  <c r="AI29" i="1"/>
  <c r="AJ29" i="1"/>
  <c r="AK29" i="1"/>
  <c r="O30" i="1"/>
  <c r="P30" i="1"/>
  <c r="Q30" i="1"/>
  <c r="R30" i="1"/>
  <c r="S30" i="1"/>
  <c r="T30" i="1"/>
  <c r="V30" i="1" s="1"/>
  <c r="W30" i="1" s="1"/>
  <c r="U30" i="1"/>
  <c r="X30" i="1"/>
  <c r="Y30" i="1" s="1"/>
  <c r="Z30" i="1"/>
  <c r="AA30" i="1" s="1"/>
  <c r="AB30" i="1"/>
  <c r="AC30" i="1" s="1"/>
  <c r="AD30" i="1"/>
  <c r="AE30" i="1" s="1"/>
  <c r="AF30" i="1"/>
  <c r="AG30" i="1"/>
  <c r="AH30" i="1"/>
  <c r="AI30" i="1"/>
  <c r="AJ30" i="1"/>
  <c r="AK30" i="1"/>
  <c r="O31" i="1"/>
  <c r="P31" i="1"/>
  <c r="Q31" i="1"/>
  <c r="R31" i="1"/>
  <c r="S31" i="1" s="1"/>
  <c r="T31" i="1"/>
  <c r="V31" i="1" s="1"/>
  <c r="W31" i="1" s="1"/>
  <c r="U31" i="1"/>
  <c r="X31" i="1"/>
  <c r="Y31" i="1" s="1"/>
  <c r="Z31" i="1"/>
  <c r="AA31" i="1"/>
  <c r="AB31" i="1"/>
  <c r="AC31" i="1" s="1"/>
  <c r="AD31" i="1"/>
  <c r="AE31" i="1" s="1"/>
  <c r="AF31" i="1"/>
  <c r="AG31" i="1"/>
  <c r="AH31" i="1"/>
  <c r="AI31" i="1"/>
  <c r="AJ31" i="1"/>
  <c r="AK31" i="1"/>
  <c r="O32" i="1"/>
  <c r="P32" i="1"/>
  <c r="N32" i="1" s="1"/>
  <c r="Q32" i="1"/>
  <c r="R32" i="1"/>
  <c r="S32" i="1"/>
  <c r="T32" i="1"/>
  <c r="V32" i="1" s="1"/>
  <c r="W32" i="1" s="1"/>
  <c r="U32" i="1"/>
  <c r="X32" i="1"/>
  <c r="Y32" i="1" s="1"/>
  <c r="Z32" i="1"/>
  <c r="AA32" i="1" s="1"/>
  <c r="AB32" i="1"/>
  <c r="AC32" i="1" s="1"/>
  <c r="AD32" i="1"/>
  <c r="AE32" i="1" s="1"/>
  <c r="AF32" i="1"/>
  <c r="AG32" i="1"/>
  <c r="AH32" i="1"/>
  <c r="AI32" i="1"/>
  <c r="AJ32" i="1"/>
  <c r="AK32" i="1"/>
  <c r="O33" i="1"/>
  <c r="P33" i="1"/>
  <c r="N33" i="1" s="1"/>
  <c r="Q33" i="1"/>
  <c r="R33" i="1"/>
  <c r="S33" i="1" s="1"/>
  <c r="T33" i="1"/>
  <c r="V33" i="1" s="1"/>
  <c r="W33" i="1" s="1"/>
  <c r="U33" i="1"/>
  <c r="X33" i="1"/>
  <c r="Y33" i="1" s="1"/>
  <c r="Z33" i="1"/>
  <c r="AA33" i="1"/>
  <c r="AB33" i="1"/>
  <c r="AC33" i="1" s="1"/>
  <c r="AD33" i="1"/>
  <c r="AE33" i="1" s="1"/>
  <c r="AF33" i="1"/>
  <c r="AG33" i="1"/>
  <c r="AH33" i="1"/>
  <c r="AI33" i="1"/>
  <c r="AJ33" i="1"/>
  <c r="AK33" i="1"/>
  <c r="O34" i="1"/>
  <c r="P34" i="1"/>
  <c r="Q34" i="1"/>
  <c r="R34" i="1"/>
  <c r="S34" i="1"/>
  <c r="T34" i="1"/>
  <c r="V34" i="1" s="1"/>
  <c r="W34" i="1" s="1"/>
  <c r="U34" i="1"/>
  <c r="X34" i="1"/>
  <c r="Y34" i="1" s="1"/>
  <c r="Z34" i="1"/>
  <c r="AA34" i="1" s="1"/>
  <c r="AB34" i="1"/>
  <c r="AC34" i="1" s="1"/>
  <c r="AD34" i="1"/>
  <c r="AE34" i="1" s="1"/>
  <c r="AF34" i="1"/>
  <c r="AG34" i="1"/>
  <c r="AH34" i="1"/>
  <c r="AI34" i="1"/>
  <c r="AJ34" i="1"/>
  <c r="AK34" i="1"/>
  <c r="O35" i="1"/>
  <c r="P35" i="1"/>
  <c r="Q35" i="1"/>
  <c r="R35" i="1"/>
  <c r="S35" i="1" s="1"/>
  <c r="T35" i="1"/>
  <c r="V35" i="1" s="1"/>
  <c r="W35" i="1" s="1"/>
  <c r="U35" i="1"/>
  <c r="X35" i="1"/>
  <c r="Y35" i="1" s="1"/>
  <c r="Z35" i="1"/>
  <c r="AA35" i="1"/>
  <c r="AB35" i="1"/>
  <c r="AC35" i="1" s="1"/>
  <c r="AD35" i="1"/>
  <c r="AE35" i="1" s="1"/>
  <c r="AF35" i="1"/>
  <c r="AG35" i="1"/>
  <c r="AH35" i="1"/>
  <c r="AI35" i="1"/>
  <c r="AJ35" i="1"/>
  <c r="AK35" i="1"/>
  <c r="O36" i="1"/>
  <c r="P36" i="1"/>
  <c r="Q36" i="1"/>
  <c r="R36" i="1"/>
  <c r="S36" i="1"/>
  <c r="T36" i="1"/>
  <c r="V36" i="1" s="1"/>
  <c r="W36" i="1" s="1"/>
  <c r="U36" i="1"/>
  <c r="X36" i="1"/>
  <c r="Y36" i="1" s="1"/>
  <c r="Z36" i="1"/>
  <c r="AA36" i="1" s="1"/>
  <c r="AB36" i="1"/>
  <c r="AC36" i="1" s="1"/>
  <c r="AD36" i="1"/>
  <c r="AE36" i="1" s="1"/>
  <c r="AF36" i="1"/>
  <c r="AG36" i="1"/>
  <c r="AH36" i="1"/>
  <c r="AI36" i="1"/>
  <c r="AJ36" i="1"/>
  <c r="AK36" i="1"/>
  <c r="AD2" i="1"/>
  <c r="U2" i="1"/>
  <c r="T2" i="1"/>
  <c r="R2" i="1"/>
  <c r="Q3" i="11"/>
  <c r="R3" i="11" s="1"/>
  <c r="W3" i="11"/>
  <c r="X3" i="11" s="1"/>
  <c r="Y3" i="11"/>
  <c r="Z3" i="11" s="1"/>
  <c r="AA3" i="11"/>
  <c r="AB3" i="11" s="1"/>
  <c r="AC3" i="11"/>
  <c r="AD3" i="11" s="1"/>
  <c r="AE3" i="11"/>
  <c r="AF3" i="11" s="1"/>
  <c r="AG3" i="11"/>
  <c r="AH3" i="11"/>
  <c r="AI3" i="11"/>
  <c r="AJ3" i="11"/>
  <c r="AK3" i="11"/>
  <c r="AL3" i="11"/>
  <c r="Q4" i="11"/>
  <c r="R4" i="11" s="1"/>
  <c r="W4" i="11"/>
  <c r="X4" i="11" s="1"/>
  <c r="Y4" i="11"/>
  <c r="Z4" i="11" s="1"/>
  <c r="AA4" i="11"/>
  <c r="AB4" i="11" s="1"/>
  <c r="AC4" i="11"/>
  <c r="AD4" i="11" s="1"/>
  <c r="AE4" i="11"/>
  <c r="AF4" i="11" s="1"/>
  <c r="AG4" i="11"/>
  <c r="AH4" i="11"/>
  <c r="AI4" i="11"/>
  <c r="AJ4" i="11"/>
  <c r="AK4" i="11"/>
  <c r="AL4" i="11"/>
  <c r="Q5" i="11"/>
  <c r="R5" i="11" s="1"/>
  <c r="W5" i="11"/>
  <c r="X5" i="11" s="1"/>
  <c r="Y5" i="11"/>
  <c r="Z5" i="11" s="1"/>
  <c r="AA5" i="11"/>
  <c r="AB5" i="11" s="1"/>
  <c r="AC5" i="11"/>
  <c r="AD5" i="11" s="1"/>
  <c r="AE5" i="11"/>
  <c r="AF5" i="11" s="1"/>
  <c r="AG5" i="11"/>
  <c r="AH5" i="11"/>
  <c r="AI5" i="11"/>
  <c r="AJ5" i="11"/>
  <c r="AK5" i="11"/>
  <c r="AL5" i="11"/>
  <c r="Q6" i="11"/>
  <c r="R6" i="11" s="1"/>
  <c r="W6" i="11"/>
  <c r="X6" i="11" s="1"/>
  <c r="Y6" i="11"/>
  <c r="Z6" i="11" s="1"/>
  <c r="AA6" i="11"/>
  <c r="AB6" i="11" s="1"/>
  <c r="AC6" i="11"/>
  <c r="AD6" i="11" s="1"/>
  <c r="AE6" i="11"/>
  <c r="AF6" i="11" s="1"/>
  <c r="AG6" i="11"/>
  <c r="AH6" i="11"/>
  <c r="AI6" i="11"/>
  <c r="AJ6" i="11"/>
  <c r="AK6" i="11"/>
  <c r="AL6" i="11"/>
  <c r="Q7" i="11"/>
  <c r="R7" i="11" s="1"/>
  <c r="W7" i="11"/>
  <c r="X7" i="11" s="1"/>
  <c r="Y7" i="11"/>
  <c r="Z7" i="11" s="1"/>
  <c r="AA7" i="11"/>
  <c r="AB7" i="11" s="1"/>
  <c r="AC7" i="11"/>
  <c r="AD7" i="11" s="1"/>
  <c r="AE7" i="11"/>
  <c r="AF7" i="11" s="1"/>
  <c r="AG7" i="11"/>
  <c r="AH7" i="11"/>
  <c r="AI7" i="11"/>
  <c r="AJ7" i="11"/>
  <c r="AK7" i="11"/>
  <c r="AL7" i="11"/>
  <c r="AE2" i="11"/>
  <c r="W2" i="11"/>
  <c r="AJ2" i="1"/>
  <c r="AH2" i="1"/>
  <c r="AG2" i="1"/>
  <c r="AK2" i="11"/>
  <c r="AI2" i="11"/>
  <c r="AH2" i="11"/>
  <c r="Q113" i="12" l="1"/>
  <c r="Q34" i="12"/>
  <c r="Q51" i="12"/>
  <c r="Q44" i="12"/>
  <c r="Q16" i="12"/>
  <c r="Q78" i="12"/>
  <c r="Q66" i="12"/>
  <c r="Q88" i="12"/>
  <c r="Q20" i="12"/>
  <c r="Q140" i="12"/>
  <c r="Q136" i="12"/>
  <c r="Q132" i="12"/>
  <c r="Q128" i="12"/>
  <c r="Q124" i="12"/>
  <c r="Q120" i="12"/>
  <c r="Q116" i="12"/>
  <c r="Q112" i="12"/>
  <c r="Q108" i="12"/>
  <c r="Q104" i="12"/>
  <c r="Q139" i="12"/>
  <c r="Q111" i="12"/>
  <c r="Q138" i="12"/>
  <c r="Q134" i="12"/>
  <c r="Q130" i="12"/>
  <c r="Q126" i="12"/>
  <c r="Q122" i="12"/>
  <c r="Q118" i="12"/>
  <c r="Q114" i="12"/>
  <c r="Q110" i="12"/>
  <c r="Q106" i="12"/>
  <c r="Q102" i="12"/>
  <c r="Q105" i="12"/>
  <c r="Q137" i="12"/>
  <c r="Q133" i="12"/>
  <c r="Q131" i="12"/>
  <c r="Q127" i="12"/>
  <c r="Q125" i="12"/>
  <c r="Q123" i="12"/>
  <c r="Q119" i="12"/>
  <c r="Q117" i="12"/>
  <c r="Q115" i="12"/>
  <c r="Q107" i="12"/>
  <c r="Q103" i="12"/>
  <c r="Q135" i="12"/>
  <c r="Q129" i="12"/>
  <c r="Q109" i="12"/>
  <c r="Q70" i="12"/>
  <c r="Q98" i="12"/>
  <c r="Q8" i="12"/>
  <c r="Q92" i="12"/>
  <c r="Q76" i="12"/>
  <c r="Q60" i="12"/>
  <c r="Q31" i="12"/>
  <c r="Q53" i="12"/>
  <c r="Q82" i="12"/>
  <c r="Q48" i="12"/>
  <c r="Q38" i="12"/>
  <c r="Q79" i="12"/>
  <c r="Q55" i="12"/>
  <c r="Q41" i="12"/>
  <c r="Q67" i="12"/>
  <c r="Q26" i="12"/>
  <c r="Q90" i="12"/>
  <c r="Q33" i="12"/>
  <c r="Q75" i="12"/>
  <c r="Q50" i="12"/>
  <c r="Q29" i="12"/>
  <c r="Q99" i="12"/>
  <c r="Q93" i="12"/>
  <c r="Q81" i="12"/>
  <c r="Q101" i="12"/>
  <c r="Q72" i="12"/>
  <c r="Q69" i="12"/>
  <c r="Q61" i="12"/>
  <c r="Q58" i="12"/>
  <c r="Q95" i="12"/>
  <c r="Q4" i="12"/>
  <c r="Q77" i="12"/>
  <c r="Q74" i="12"/>
  <c r="Q56" i="12"/>
  <c r="Q23" i="12"/>
  <c r="Q18" i="12"/>
  <c r="Q12" i="12"/>
  <c r="Q11" i="12"/>
  <c r="Q5" i="12"/>
  <c r="Q83" i="12"/>
  <c r="Q100" i="12"/>
  <c r="Q97" i="12"/>
  <c r="Q68" i="12"/>
  <c r="Q65" i="12"/>
  <c r="Q14" i="12"/>
  <c r="Q6" i="12"/>
  <c r="Q73" i="12"/>
  <c r="Q30" i="12"/>
  <c r="Q96" i="12"/>
  <c r="Q64" i="12"/>
  <c r="Q87" i="12"/>
  <c r="Q63" i="12"/>
  <c r="Q43" i="12"/>
  <c r="Q89" i="12"/>
  <c r="Q28" i="12"/>
  <c r="Q24" i="12"/>
  <c r="Q80" i="12"/>
  <c r="Q71" i="12"/>
  <c r="Q94" i="12"/>
  <c r="Q91" i="12"/>
  <c r="Q62" i="12"/>
  <c r="Q59" i="12"/>
  <c r="Q27" i="12"/>
  <c r="Q22" i="12"/>
  <c r="Q54" i="12"/>
  <c r="Q84" i="12"/>
  <c r="Q85" i="12"/>
  <c r="Q17" i="12"/>
  <c r="Q9" i="12"/>
  <c r="Q45" i="12"/>
  <c r="Q35" i="12"/>
  <c r="Q40" i="12"/>
  <c r="Q52" i="12"/>
  <c r="Q37" i="12"/>
  <c r="Q10" i="12"/>
  <c r="Q7" i="12"/>
  <c r="Q25" i="12"/>
  <c r="Q19" i="12"/>
  <c r="Q42" i="12"/>
  <c r="Q49" i="12"/>
  <c r="Q32" i="12"/>
  <c r="Q39" i="12"/>
  <c r="Q21" i="12"/>
  <c r="Q57" i="12"/>
  <c r="Q47" i="12"/>
  <c r="Q13" i="12"/>
  <c r="Q15" i="12"/>
  <c r="Q3" i="12"/>
  <c r="Q2" i="12"/>
  <c r="P4" i="11"/>
  <c r="P3" i="11"/>
  <c r="P7" i="11"/>
  <c r="P6" i="11"/>
  <c r="P5" i="11"/>
  <c r="N30" i="1"/>
  <c r="N29" i="1"/>
  <c r="N13" i="1"/>
  <c r="N12" i="1"/>
  <c r="N27" i="1"/>
  <c r="N11" i="1"/>
  <c r="N28" i="1"/>
  <c r="N26" i="1"/>
  <c r="N10" i="1"/>
  <c r="N25" i="1"/>
  <c r="N9" i="1"/>
  <c r="N24" i="1"/>
  <c r="N8" i="1"/>
  <c r="N23" i="1"/>
  <c r="N7" i="1"/>
  <c r="N22" i="1"/>
  <c r="N6" i="1"/>
  <c r="N21" i="1"/>
  <c r="N5" i="1"/>
  <c r="N36" i="1"/>
  <c r="N20" i="1"/>
  <c r="N4" i="1"/>
  <c r="N15" i="1"/>
  <c r="N35" i="1"/>
  <c r="N19" i="1"/>
  <c r="N3" i="1"/>
  <c r="N31" i="1"/>
  <c r="N34" i="1"/>
  <c r="N18" i="1"/>
  <c r="AL2" i="11"/>
  <c r="AJ2" i="11"/>
  <c r="AG2" i="11"/>
  <c r="AF2" i="11"/>
  <c r="AC2" i="11"/>
  <c r="AD2" i="11" s="1"/>
  <c r="AA2" i="11"/>
  <c r="AB2" i="11" s="1"/>
  <c r="Y2" i="11"/>
  <c r="Z2" i="11" s="1"/>
  <c r="X2" i="11"/>
  <c r="Q2" i="11"/>
  <c r="R2" i="11" s="1"/>
  <c r="O2" i="11" s="1"/>
  <c r="P2" i="11" l="1"/>
  <c r="Q2" i="1"/>
  <c r="S2" i="1" l="1"/>
  <c r="V2" i="1" l="1"/>
  <c r="W2" i="1" s="1"/>
  <c r="AK2" i="1" l="1"/>
  <c r="AI2" i="1"/>
  <c r="AF2" i="1"/>
  <c r="AE2" i="1"/>
  <c r="N2" i="1" s="1"/>
  <c r="AB2" i="1"/>
  <c r="AC2" i="1" s="1"/>
  <c r="Z2" i="1"/>
  <c r="AA2" i="1" s="1"/>
  <c r="X2" i="1"/>
  <c r="Y2" i="1" s="1"/>
  <c r="O2" i="1"/>
  <c r="P2" i="1" s="1"/>
</calcChain>
</file>

<file path=xl/sharedStrings.xml><?xml version="1.0" encoding="utf-8"?>
<sst xmlns="http://schemas.openxmlformats.org/spreadsheetml/2006/main" count="419" uniqueCount="309">
  <si>
    <t>TITLE</t>
  </si>
  <si>
    <t>TYPE</t>
  </si>
  <si>
    <t>VXP</t>
  </si>
  <si>
    <t>Title</t>
  </si>
  <si>
    <t>LP</t>
  </si>
  <si>
    <t>REP</t>
  </si>
  <si>
    <t>FACTION</t>
  </si>
  <si>
    <t>SUMMARY</t>
  </si>
  <si>
    <t>DESC</t>
  </si>
  <si>
    <t>TIER</t>
  </si>
  <si>
    <t>Output parts</t>
  </si>
  <si>
    <t>Complete</t>
  </si>
  <si>
    <t>QuestNumber</t>
  </si>
  <si>
    <t>Index</t>
  </si>
  <si>
    <t>TYPE_INT</t>
  </si>
  <si>
    <t>Type</t>
  </si>
  <si>
    <t>VXP_NUM</t>
  </si>
  <si>
    <t>LP_NUM</t>
  </si>
  <si>
    <t>REP_NUM</t>
  </si>
  <si>
    <t>FACTION_INT</t>
  </si>
  <si>
    <t>End</t>
  </si>
  <si>
    <t>Type #</t>
  </si>
  <si>
    <t>Class</t>
  </si>
  <si>
    <t>Epic</t>
  </si>
  <si>
    <t>Event</t>
  </si>
  <si>
    <t>Explorer</t>
  </si>
  <si>
    <t>Lore</t>
  </si>
  <si>
    <t>Meta</t>
  </si>
  <si>
    <t>Quest</t>
  </si>
  <si>
    <t>Race</t>
  </si>
  <si>
    <t>Reputation</t>
  </si>
  <si>
    <t>Slayer</t>
  </si>
  <si>
    <t>Social</t>
  </si>
  <si>
    <t>Unknown</t>
  </si>
  <si>
    <t>Faction</t>
  </si>
  <si>
    <t>Faction #</t>
  </si>
  <si>
    <t>Algraig, Men of Enedwaith</t>
  </si>
  <si>
    <t>Armoury District</t>
  </si>
  <si>
    <t>Bank District</t>
  </si>
  <si>
    <t>Builders' Fellowship</t>
  </si>
  <si>
    <t>Burgsmen's Fellowship</t>
  </si>
  <si>
    <t>Chicken Chasing League of Eriador</t>
  </si>
  <si>
    <t>Conquest of Gorgoroth</t>
  </si>
  <si>
    <t>Council of the North</t>
  </si>
  <si>
    <t>Defenders of Minas Tirith</t>
  </si>
  <si>
    <t>Docks District</t>
  </si>
  <si>
    <t>Dol Amroth</t>
  </si>
  <si>
    <t>Dol Amroth City Watch</t>
  </si>
  <si>
    <t>Durin's Folk</t>
  </si>
  <si>
    <t>Dwarves of Erebor</t>
  </si>
  <si>
    <t>Elves of Felegoth</t>
  </si>
  <si>
    <t>Elves of Rivendell</t>
  </si>
  <si>
    <t>Fushaum Bal North</t>
  </si>
  <si>
    <t>Fushaum Bal South</t>
  </si>
  <si>
    <t>Galadhrim</t>
  </si>
  <si>
    <t>Great Hall District</t>
  </si>
  <si>
    <t>Grey Mountains Expedition</t>
  </si>
  <si>
    <t>Heroes of Limlight Gorge</t>
  </si>
  <si>
    <t>Hobbits of the Company</t>
  </si>
  <si>
    <t>Host of the West</t>
  </si>
  <si>
    <t>Iron Garrison Guards</t>
  </si>
  <si>
    <t>Iron Garrison Miners</t>
  </si>
  <si>
    <t>Library District</t>
  </si>
  <si>
    <t>Lossoth of Forochel</t>
  </si>
  <si>
    <t>Malledhrim</t>
  </si>
  <si>
    <t>Mason District</t>
  </si>
  <si>
    <t>Master-armourer</t>
  </si>
  <si>
    <t>Master-provisioner</t>
  </si>
  <si>
    <t>Master-weaponist</t>
  </si>
  <si>
    <t>Men of Bree</t>
  </si>
  <si>
    <t>Men of Dale</t>
  </si>
  <si>
    <t>Men of Dor-en-Ernil</t>
  </si>
  <si>
    <t>Men of Dunland</t>
  </si>
  <si>
    <t>Men of Lebennin</t>
  </si>
  <si>
    <t>Men of Ringló Vale</t>
  </si>
  <si>
    <t>Men of the Entwash Vale</t>
  </si>
  <si>
    <t>Men of the Norcrofts</t>
  </si>
  <si>
    <t>Men of the Sutcrofts</t>
  </si>
  <si>
    <t>Men of the Wold</t>
  </si>
  <si>
    <t>None</t>
  </si>
  <si>
    <t>Pelargir</t>
  </si>
  <si>
    <t>People of Wildermore</t>
  </si>
  <si>
    <t>Protectors of Wilderland</t>
  </si>
  <si>
    <t>Rangers of Esteldín</t>
  </si>
  <si>
    <t>Rangers of Ithilien</t>
  </si>
  <si>
    <t>Reclamation of Minas Ithil</t>
  </si>
  <si>
    <t>Red Sky Clan</t>
  </si>
  <si>
    <t>Riders of Rohan</t>
  </si>
  <si>
    <t>Smiths' Fellowship</t>
  </si>
  <si>
    <t>Survivors of Wildermore</t>
  </si>
  <si>
    <t>Swan-knights District</t>
  </si>
  <si>
    <t>The Ale Association</t>
  </si>
  <si>
    <t>The Court of Lothlórien</t>
  </si>
  <si>
    <t>The Eglain</t>
  </si>
  <si>
    <t>The Eldgang</t>
  </si>
  <si>
    <t>The Ents of Fangorn Forest</t>
  </si>
  <si>
    <t>The Eorlingas</t>
  </si>
  <si>
    <t>The Great Alliance</t>
  </si>
  <si>
    <t>The Grey Company</t>
  </si>
  <si>
    <t>The Helmingas</t>
  </si>
  <si>
    <t>The Inn League</t>
  </si>
  <si>
    <t>The Kingdom of Gondor</t>
  </si>
  <si>
    <t>The Mathom Society</t>
  </si>
  <si>
    <t>The Riders of Stangard</t>
  </si>
  <si>
    <t>The Wardens of Annúminas</t>
  </si>
  <si>
    <t>The White Company</t>
  </si>
  <si>
    <t>Théodred's Riders</t>
  </si>
  <si>
    <t>Thorin's Hall</t>
  </si>
  <si>
    <t>Townsfolk of the Eastfold</t>
  </si>
  <si>
    <t>Townsfolk of the Kingstead</t>
  </si>
  <si>
    <t>Warehouse District</t>
  </si>
  <si>
    <t>Wilderfolk</t>
  </si>
  <si>
    <t>SUBTYPE</t>
  </si>
  <si>
    <t>Beorning</t>
  </si>
  <si>
    <t>Burglar</t>
  </si>
  <si>
    <t>Minstrel</t>
  </si>
  <si>
    <t>Champion</t>
  </si>
  <si>
    <t>Guardian</t>
  </si>
  <si>
    <t>Hunter</t>
  </si>
  <si>
    <t>Rune-keeper</t>
  </si>
  <si>
    <t>Warden</t>
  </si>
  <si>
    <t>Armsman</t>
  </si>
  <si>
    <t>Historian</t>
  </si>
  <si>
    <t>Tinker</t>
  </si>
  <si>
    <t>Woodsman</t>
  </si>
  <si>
    <t>Yeoman</t>
  </si>
  <si>
    <t>Vocation</t>
  </si>
  <si>
    <t>Lore Master</t>
  </si>
  <si>
    <t>Armorer</t>
  </si>
  <si>
    <t>Max Length:</t>
  </si>
  <si>
    <t>SUBTYPE_CLASS</t>
  </si>
  <si>
    <t>SUBTYPE_VOCATION</t>
  </si>
  <si>
    <t>SUBTYPE_USED</t>
  </si>
  <si>
    <t>Dwarf</t>
  </si>
  <si>
    <t>Elf</t>
  </si>
  <si>
    <t>High Elf</t>
  </si>
  <si>
    <t>Hobbit</t>
  </si>
  <si>
    <t>Man</t>
  </si>
  <si>
    <t>Category</t>
  </si>
  <si>
    <t>Undefined</t>
  </si>
  <si>
    <t>Collection</t>
  </si>
  <si>
    <t>Save Index</t>
  </si>
  <si>
    <t>Darter-master</t>
  </si>
  <si>
    <t>Fortunate Festival Fishes</t>
  </si>
  <si>
    <t>Sturgeon-master</t>
  </si>
  <si>
    <t>The Salmon King</t>
  </si>
  <si>
    <t>Trout-master</t>
  </si>
  <si>
    <t>Lake-master</t>
  </si>
  <si>
    <t>Catch all 9 Darter varieties</t>
  </si>
  <si>
    <t>Catch 10 of 4 types of fish during summer-festival</t>
  </si>
  <si>
    <t>Catch all 9 Sturgeon varieties</t>
  </si>
  <si>
    <t>Catch a 50-pound Salmon</t>
  </si>
  <si>
    <t>Catch all 9 Trout varieties</t>
  </si>
  <si>
    <t>Catch all 20 fish varieties in Lake-town</t>
  </si>
  <si>
    <t>Hobby</t>
  </si>
  <si>
    <t>Catching all nine darters is no easy task!</t>
  </si>
  <si>
    <t>You catch many rare and wondrous fish during the Summer Festival.</t>
  </si>
  <si>
    <t>Rare Fish</t>
  </si>
  <si>
    <t>Catching nine types of sturgeon will not be easy!</t>
  </si>
  <si>
    <t>the Complete Angler</t>
  </si>
  <si>
    <t>Find and catch all nine types of trout!</t>
  </si>
  <si>
    <t>Find and catch all twenty types of eastern, freshwater fish!</t>
  </si>
  <si>
    <t>Name</t>
  </si>
  <si>
    <t>NAME</t>
  </si>
  <si>
    <t>LORE</t>
  </si>
  <si>
    <t>Only the most skilled - and lucky - fisher can make a catch of this size!</t>
  </si>
  <si>
    <t>ID</t>
  </si>
  <si>
    <t>Category ID</t>
  </si>
  <si>
    <t>ID (short)</t>
  </si>
  <si>
    <t>Minimal</t>
  </si>
  <si>
    <t>All the Birds of Bree-land</t>
  </si>
  <si>
    <t>Birds of Bree-land: Common and Uncommon</t>
  </si>
  <si>
    <t>Birds of Bree-land: Rare</t>
  </si>
  <si>
    <t>The Rarest Bird in Bree-land</t>
  </si>
  <si>
    <t>All the Birds of the Shire</t>
  </si>
  <si>
    <t>The Rarest Bird in The Shire</t>
  </si>
  <si>
    <t>Birds of The Shire: Rare</t>
  </si>
  <si>
    <t>Birds of The Shire: Common and Uncommon</t>
  </si>
  <si>
    <t>All the Birds of Ered Luin</t>
  </si>
  <si>
    <t>The Rarest Bird in Ered Luin</t>
  </si>
  <si>
    <t>Birds of Ered Luin: Rare</t>
  </si>
  <si>
    <t>Birds of Ered Luin: Common and Uncommon</t>
  </si>
  <si>
    <t>All the Birds of Swanfleet</t>
  </si>
  <si>
    <t>Birds of Swanfleet: Common and Uncommon</t>
  </si>
  <si>
    <t>Birds of Swanfleet: Rare</t>
  </si>
  <si>
    <t>The Rarest Bird in Swanfleet</t>
  </si>
  <si>
    <t>All the Birds of the Lone-lands</t>
  </si>
  <si>
    <t>Birds of the Lone-lands: Common and Uncommon</t>
  </si>
  <si>
    <t>Birds of the Lone-lands: Rare</t>
  </si>
  <si>
    <t>The Rarest Bird in the Lone-lands</t>
  </si>
  <si>
    <t>All the Birds of the North Downs</t>
  </si>
  <si>
    <t>Birds of The North Downs: Common and Uncommon</t>
  </si>
  <si>
    <t>Birds of the North Downs: Rare</t>
  </si>
  <si>
    <t>The Rarest Bird in the North Downs</t>
  </si>
  <si>
    <t>All the Birds of the Trollshaws</t>
  </si>
  <si>
    <t>Birds of the Trollshaws: Common and Uncommon</t>
  </si>
  <si>
    <t>Birds of the Trollshaws: Rare</t>
  </si>
  <si>
    <t>The Rarest Bird in the Trollshaws</t>
  </si>
  <si>
    <t>All the Birds of the Misty Mountains</t>
  </si>
  <si>
    <t>Birds of the Misty Mountains: Common and Uncommon</t>
  </si>
  <si>
    <t>Birds of the Misty Mountains: Rare</t>
  </si>
  <si>
    <t>The Rarest Bird in the Misty Mountains</t>
  </si>
  <si>
    <t>All the Birds of Evendim</t>
  </si>
  <si>
    <t>Birds of Evendim: Common and Uncommon</t>
  </si>
  <si>
    <t>Birds of Evendim: Rare</t>
  </si>
  <si>
    <t>The Rarest Bird in Evendim</t>
  </si>
  <si>
    <t>All the Birds of Angmar</t>
  </si>
  <si>
    <t>Birds of Angmar: Common and Uncommon</t>
  </si>
  <si>
    <t>Birds of Angmar: Rare</t>
  </si>
  <si>
    <t>The Rarest Bird in Angmar</t>
  </si>
  <si>
    <t>All the Birds of Forochel</t>
  </si>
  <si>
    <t>Birds of Forochel: Common and Uncommon</t>
  </si>
  <si>
    <t>Birds of Forochel: Rare</t>
  </si>
  <si>
    <t>The Rarest Bird in Forochel</t>
  </si>
  <si>
    <t>All the Birds of Eregion</t>
  </si>
  <si>
    <t>Birds of Eregion: Common and Uncommon</t>
  </si>
  <si>
    <t>Birds of Eregion: Rare</t>
  </si>
  <si>
    <t>The Rarest Bird in Eregion</t>
  </si>
  <si>
    <t>All the Birds of Enedwaith</t>
  </si>
  <si>
    <t>Birds of Enedwaith: Common and Uncommon</t>
  </si>
  <si>
    <t>Birds of Enedwaith: Rare</t>
  </si>
  <si>
    <t>The Rarest Bird in Enedwaith</t>
  </si>
  <si>
    <t>All the Birds of Dunland</t>
  </si>
  <si>
    <t>Birds of Dunland: Common and Uncommon</t>
  </si>
  <si>
    <t>Birds of Dunland: Rare</t>
  </si>
  <si>
    <t>The Rarest Bird in Dunland</t>
  </si>
  <si>
    <t>All the Birds of Cardolan</t>
  </si>
  <si>
    <t>Birds of Cardolan: Common and Uncommon</t>
  </si>
  <si>
    <t>Birds of Cardolan: Rare</t>
  </si>
  <si>
    <t>The Rarest Bird in Cardolan</t>
  </si>
  <si>
    <t>The Rarest of Birds in Eriador</t>
  </si>
  <si>
    <t>All the Birds of Lothlórien</t>
  </si>
  <si>
    <t>Birds of Lothlórien: Common and Uncommon</t>
  </si>
  <si>
    <t>Birds of Lothlórien: Rare</t>
  </si>
  <si>
    <t>The Rarest Bird in Lothlórien</t>
  </si>
  <si>
    <t>All the Birds of Mirkwood</t>
  </si>
  <si>
    <t>Birds of Mirkwood: Common and Uncommon</t>
  </si>
  <si>
    <t>Birds of Mirkwood: Rare</t>
  </si>
  <si>
    <t>The Rarest Bird in Mirkwood</t>
  </si>
  <si>
    <t>All the Birds of the Great River</t>
  </si>
  <si>
    <t>Birds of the Great River: Common and Uncommon</t>
  </si>
  <si>
    <t>Birds of the Great River: Rare</t>
  </si>
  <si>
    <t>The Rarest Bird of the Great River</t>
  </si>
  <si>
    <t>All the Birds of the Wold</t>
  </si>
  <si>
    <t>Birds of the Wold: Common and Uncommon</t>
  </si>
  <si>
    <t>Birds of the Wold: Rare</t>
  </si>
  <si>
    <t>The Rarest Bird of the Wold</t>
  </si>
  <si>
    <t>All the Birds of Fangorn</t>
  </si>
  <si>
    <t>Birds of Fangorn: Common and Uncommon</t>
  </si>
  <si>
    <t>Birds of Fangorn: Rare</t>
  </si>
  <si>
    <t>The Rarest Bird in Fangorn</t>
  </si>
  <si>
    <t>All the Birds of the Croftlands</t>
  </si>
  <si>
    <t>Birds of the Croftlands: Common and Uncommon</t>
  </si>
  <si>
    <t>The Rarest Bird of the Croftlands</t>
  </si>
  <si>
    <t>Birds of the Croftlands: Rare</t>
  </si>
  <si>
    <t>All the Birds of the Entwash</t>
  </si>
  <si>
    <t>Birds of the Entwash: Common and Uncommon</t>
  </si>
  <si>
    <t>Birds of the Entwash: Rare</t>
  </si>
  <si>
    <t>The Rarest Bird of the Entwash</t>
  </si>
  <si>
    <t>All the Birds of the Westfold</t>
  </si>
  <si>
    <t>Birds of the Westfold: Common and Uncommon</t>
  </si>
  <si>
    <t>Birds of the Westfold: Rare</t>
  </si>
  <si>
    <t>The Rarest Bird in the Westfold</t>
  </si>
  <si>
    <t>All the Birds of the Eastfold</t>
  </si>
  <si>
    <t>Birds of the Eastfold: Common and Uncommon</t>
  </si>
  <si>
    <t>Birds of the Eastfold: Rare</t>
  </si>
  <si>
    <t>The Rarest Bird of the Eastfold</t>
  </si>
  <si>
    <t>The Rarest of Birds in Rohan and the Great River</t>
  </si>
  <si>
    <t>Eriador</t>
  </si>
  <si>
    <t>Rohan and the Great River</t>
  </si>
  <si>
    <t>Gondor and Mordor</t>
  </si>
  <si>
    <t>All the Birds of Lamedon</t>
  </si>
  <si>
    <t>Birds of Lamedon: Common and Uncommon</t>
  </si>
  <si>
    <t>Birds of Lamedon: Rare</t>
  </si>
  <si>
    <t>The Rarest Bird in Lamedon</t>
  </si>
  <si>
    <t>All the Birds of Belfalas</t>
  </si>
  <si>
    <t>Birds of Belfalas: Common and Uncommon</t>
  </si>
  <si>
    <t>Birds of Belfalas: Rare</t>
  </si>
  <si>
    <t>The Rarest Bird in Belfalas</t>
  </si>
  <si>
    <t>All the Birds of Lebennin</t>
  </si>
  <si>
    <t>Birds of Lebennin: Common and Uncommon</t>
  </si>
  <si>
    <t>Birds of Lebennin: Rare</t>
  </si>
  <si>
    <t>The Rarest Bird in Lebennin</t>
  </si>
  <si>
    <t>All the Birds of Lossarnach</t>
  </si>
  <si>
    <t>Birds of Lossarnach: Common and Uncommon</t>
  </si>
  <si>
    <t>Birds of Lossarnach: Rare</t>
  </si>
  <si>
    <t>The Rarest Bird in Lossarnach</t>
  </si>
  <si>
    <t>All the Birds of Ithilien</t>
  </si>
  <si>
    <t>Birds of Ithilien: Common and Uncommon</t>
  </si>
  <si>
    <t>The Rarest Bird in Ithilien</t>
  </si>
  <si>
    <t>Birds of Ithilien: Rare</t>
  </si>
  <si>
    <t>All the Birds of Anórien</t>
  </si>
  <si>
    <t>Birds of Anórien: Common and Uncommon</t>
  </si>
  <si>
    <t>The Rarest Bird in Anórien</t>
  </si>
  <si>
    <t>Birds of Anórien: Rare</t>
  </si>
  <si>
    <t>All the Birds of the Wastes</t>
  </si>
  <si>
    <t>Birds of the Wastes: Common and Uncommon</t>
  </si>
  <si>
    <t>Birds of the Wastes: Rare</t>
  </si>
  <si>
    <t>The Rarest Bird in the Wastes</t>
  </si>
  <si>
    <t>All the Birds of Lhingris</t>
  </si>
  <si>
    <t>Birds of Lhingris: Common and Uncommon</t>
  </si>
  <si>
    <t>Birds of Lhingris: Rare</t>
  </si>
  <si>
    <t>The Rarest Bird in Lhingris</t>
  </si>
  <si>
    <t>All the Birds of Agarnaith</t>
  </si>
  <si>
    <t>Birds of Agarnaith: Common and Uncommon</t>
  </si>
  <si>
    <t>The Rarest of Birds in Gondor and Mordor</t>
  </si>
  <si>
    <t>Birds of Agarnaith: Rare</t>
  </si>
  <si>
    <t>The Rarest Bird in Agarnaith</t>
  </si>
  <si>
    <t>Tier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</si>
</sst>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8E54-AD76-4A0D-B25E-D159D95D20C4}">
  <dimension ref="A1:B17"/>
  <sheetViews>
    <sheetView workbookViewId="0">
      <selection activeCell="A8" sqref="A8"/>
    </sheetView>
  </sheetViews>
  <sheetFormatPr defaultRowHeight="15" x14ac:dyDescent="0.25"/>
  <sheetData>
    <row r="1" spans="1:2" x14ac:dyDescent="0.25">
      <c r="A1" t="s">
        <v>15</v>
      </c>
      <c r="B1" t="s">
        <v>21</v>
      </c>
    </row>
    <row r="2" spans="1:2" x14ac:dyDescent="0.25">
      <c r="A2" t="s">
        <v>138</v>
      </c>
      <c r="B2">
        <v>14</v>
      </c>
    </row>
    <row r="3" spans="1:2" x14ac:dyDescent="0.25">
      <c r="A3" t="s">
        <v>22</v>
      </c>
      <c r="B3">
        <v>8</v>
      </c>
    </row>
    <row r="4" spans="1:2" x14ac:dyDescent="0.25">
      <c r="A4" t="s">
        <v>140</v>
      </c>
      <c r="B4">
        <v>15</v>
      </c>
    </row>
    <row r="5" spans="1:2" x14ac:dyDescent="0.25">
      <c r="A5" t="s">
        <v>23</v>
      </c>
      <c r="B5">
        <v>10</v>
      </c>
    </row>
    <row r="6" spans="1:2" x14ac:dyDescent="0.25">
      <c r="A6" t="s">
        <v>24</v>
      </c>
      <c r="B6">
        <v>12</v>
      </c>
    </row>
    <row r="7" spans="1:2" x14ac:dyDescent="0.25">
      <c r="A7" t="s">
        <v>25</v>
      </c>
      <c r="B7">
        <v>3</v>
      </c>
    </row>
    <row r="8" spans="1:2" x14ac:dyDescent="0.25">
      <c r="A8" t="s">
        <v>154</v>
      </c>
      <c r="B8">
        <v>16</v>
      </c>
    </row>
    <row r="9" spans="1:2" x14ac:dyDescent="0.25">
      <c r="A9" t="s">
        <v>26</v>
      </c>
      <c r="B9">
        <v>6</v>
      </c>
    </row>
    <row r="10" spans="1:2" x14ac:dyDescent="0.25">
      <c r="A10" t="s">
        <v>27</v>
      </c>
      <c r="B10">
        <v>2</v>
      </c>
    </row>
    <row r="11" spans="1:2" x14ac:dyDescent="0.25">
      <c r="A11" t="s">
        <v>28</v>
      </c>
      <c r="B11">
        <v>5</v>
      </c>
    </row>
    <row r="12" spans="1:2" x14ac:dyDescent="0.25">
      <c r="A12" t="s">
        <v>29</v>
      </c>
      <c r="B12">
        <v>9</v>
      </c>
    </row>
    <row r="13" spans="1:2" x14ac:dyDescent="0.25">
      <c r="A13" t="s">
        <v>30</v>
      </c>
      <c r="B13">
        <v>7</v>
      </c>
    </row>
    <row r="14" spans="1:2" x14ac:dyDescent="0.25">
      <c r="A14" t="s">
        <v>31</v>
      </c>
      <c r="B14">
        <v>4</v>
      </c>
    </row>
    <row r="15" spans="1:2" x14ac:dyDescent="0.25">
      <c r="A15" t="s">
        <v>32</v>
      </c>
      <c r="B15">
        <v>11</v>
      </c>
    </row>
    <row r="16" spans="1:2" x14ac:dyDescent="0.25">
      <c r="A16" t="s">
        <v>33</v>
      </c>
      <c r="B16">
        <v>1</v>
      </c>
    </row>
    <row r="17" spans="1:2" x14ac:dyDescent="0.25">
      <c r="A17" t="s">
        <v>126</v>
      </c>
      <c r="B1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B2F7-82CE-4F8E-A600-0933F0B541F5}">
  <dimension ref="A1:B77"/>
  <sheetViews>
    <sheetView workbookViewId="0">
      <selection activeCell="A7" sqref="A7"/>
    </sheetView>
  </sheetViews>
  <sheetFormatPr defaultRowHeight="15" x14ac:dyDescent="0.25"/>
  <cols>
    <col min="1" max="1" width="31.7109375" bestFit="1" customWidth="1"/>
  </cols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18</v>
      </c>
    </row>
    <row r="3" spans="1:2" x14ac:dyDescent="0.25">
      <c r="A3" t="s">
        <v>37</v>
      </c>
      <c r="B3">
        <v>39</v>
      </c>
    </row>
    <row r="4" spans="1:2" x14ac:dyDescent="0.25">
      <c r="A4" t="s">
        <v>38</v>
      </c>
      <c r="B4">
        <v>40</v>
      </c>
    </row>
    <row r="5" spans="1:2" x14ac:dyDescent="0.25">
      <c r="A5" t="s">
        <v>39</v>
      </c>
      <c r="B5">
        <v>54</v>
      </c>
    </row>
    <row r="6" spans="1:2" x14ac:dyDescent="0.25">
      <c r="A6" t="s">
        <v>40</v>
      </c>
      <c r="B6">
        <v>52</v>
      </c>
    </row>
    <row r="7" spans="1:2" x14ac:dyDescent="0.25">
      <c r="A7" t="s">
        <v>41</v>
      </c>
      <c r="B7">
        <v>7</v>
      </c>
    </row>
    <row r="8" spans="1:2" x14ac:dyDescent="0.25">
      <c r="A8" t="s">
        <v>42</v>
      </c>
      <c r="B8">
        <v>60</v>
      </c>
    </row>
    <row r="9" spans="1:2" x14ac:dyDescent="0.25">
      <c r="A9" t="s">
        <v>43</v>
      </c>
      <c r="B9">
        <v>12</v>
      </c>
    </row>
    <row r="10" spans="1:2" x14ac:dyDescent="0.25">
      <c r="A10" t="s">
        <v>44</v>
      </c>
      <c r="B10">
        <v>51</v>
      </c>
    </row>
    <row r="11" spans="1:2" x14ac:dyDescent="0.25">
      <c r="A11" t="s">
        <v>45</v>
      </c>
      <c r="B11">
        <v>41</v>
      </c>
    </row>
    <row r="12" spans="1:2" x14ac:dyDescent="0.25">
      <c r="A12" t="s">
        <v>46</v>
      </c>
      <c r="B12">
        <v>36</v>
      </c>
    </row>
    <row r="13" spans="1:2" x14ac:dyDescent="0.25">
      <c r="A13" t="s">
        <v>47</v>
      </c>
      <c r="B13">
        <v>37</v>
      </c>
    </row>
    <row r="14" spans="1:2" x14ac:dyDescent="0.25">
      <c r="A14" t="s">
        <v>48</v>
      </c>
      <c r="B14">
        <v>64</v>
      </c>
    </row>
    <row r="15" spans="1:2" x14ac:dyDescent="0.25">
      <c r="A15" t="s">
        <v>49</v>
      </c>
      <c r="B15">
        <v>68</v>
      </c>
    </row>
    <row r="16" spans="1:2" x14ac:dyDescent="0.25">
      <c r="A16" t="s">
        <v>50</v>
      </c>
      <c r="B16">
        <v>69</v>
      </c>
    </row>
    <row r="17" spans="1:2" x14ac:dyDescent="0.25">
      <c r="A17" t="s">
        <v>51</v>
      </c>
      <c r="B17">
        <v>11</v>
      </c>
    </row>
    <row r="18" spans="1:2" x14ac:dyDescent="0.25">
      <c r="A18" t="s">
        <v>52</v>
      </c>
      <c r="B18">
        <v>61</v>
      </c>
    </row>
    <row r="19" spans="1:2" x14ac:dyDescent="0.25">
      <c r="A19" t="s">
        <v>53</v>
      </c>
      <c r="B19">
        <v>62</v>
      </c>
    </row>
    <row r="20" spans="1:2" x14ac:dyDescent="0.25">
      <c r="A20" t="s">
        <v>54</v>
      </c>
      <c r="B20">
        <v>15</v>
      </c>
    </row>
    <row r="21" spans="1:2" x14ac:dyDescent="0.25">
      <c r="A21" t="s">
        <v>55</v>
      </c>
      <c r="B21">
        <v>42</v>
      </c>
    </row>
    <row r="22" spans="1:2" x14ac:dyDescent="0.25">
      <c r="A22" t="s">
        <v>56</v>
      </c>
      <c r="B22">
        <v>71</v>
      </c>
    </row>
    <row r="23" spans="1:2" x14ac:dyDescent="0.25">
      <c r="A23" t="s">
        <v>57</v>
      </c>
      <c r="B23">
        <v>24</v>
      </c>
    </row>
    <row r="24" spans="1:2" x14ac:dyDescent="0.25">
      <c r="A24" t="s">
        <v>58</v>
      </c>
      <c r="B24">
        <v>67</v>
      </c>
    </row>
    <row r="25" spans="1:2" x14ac:dyDescent="0.25">
      <c r="A25" t="s">
        <v>59</v>
      </c>
      <c r="B25">
        <v>55</v>
      </c>
    </row>
    <row r="26" spans="1:2" x14ac:dyDescent="0.25">
      <c r="A26" t="s">
        <v>60</v>
      </c>
      <c r="B26">
        <v>16</v>
      </c>
    </row>
    <row r="27" spans="1:2" x14ac:dyDescent="0.25">
      <c r="A27" t="s">
        <v>61</v>
      </c>
      <c r="B27">
        <v>17</v>
      </c>
    </row>
    <row r="28" spans="1:2" x14ac:dyDescent="0.25">
      <c r="A28" t="s">
        <v>62</v>
      </c>
      <c r="B28">
        <v>38</v>
      </c>
    </row>
    <row r="29" spans="1:2" x14ac:dyDescent="0.25">
      <c r="A29" t="s">
        <v>63</v>
      </c>
      <c r="B29">
        <v>13</v>
      </c>
    </row>
    <row r="30" spans="1:2" x14ac:dyDescent="0.25">
      <c r="A30" t="s">
        <v>64</v>
      </c>
      <c r="B30">
        <v>20</v>
      </c>
    </row>
    <row r="31" spans="1:2" x14ac:dyDescent="0.25">
      <c r="A31" t="s">
        <v>65</v>
      </c>
      <c r="B31">
        <v>43</v>
      </c>
    </row>
    <row r="32" spans="1:2" x14ac:dyDescent="0.25">
      <c r="A32" t="s">
        <v>66</v>
      </c>
      <c r="B32">
        <v>57</v>
      </c>
    </row>
    <row r="33" spans="1:2" x14ac:dyDescent="0.25">
      <c r="A33" t="s">
        <v>67</v>
      </c>
      <c r="B33">
        <v>58</v>
      </c>
    </row>
    <row r="34" spans="1:2" x14ac:dyDescent="0.25">
      <c r="A34" t="s">
        <v>68</v>
      </c>
      <c r="B34">
        <v>56</v>
      </c>
    </row>
    <row r="35" spans="1:2" x14ac:dyDescent="0.25">
      <c r="A35" t="s">
        <v>69</v>
      </c>
      <c r="B35">
        <v>4</v>
      </c>
    </row>
    <row r="36" spans="1:2" x14ac:dyDescent="0.25">
      <c r="A36" t="s">
        <v>70</v>
      </c>
      <c r="B36">
        <v>70</v>
      </c>
    </row>
    <row r="37" spans="1:2" x14ac:dyDescent="0.25">
      <c r="A37" t="s">
        <v>71</v>
      </c>
      <c r="B37">
        <v>47</v>
      </c>
    </row>
    <row r="38" spans="1:2" x14ac:dyDescent="0.25">
      <c r="A38" t="s">
        <v>72</v>
      </c>
      <c r="B38">
        <v>21</v>
      </c>
    </row>
    <row r="39" spans="1:2" x14ac:dyDescent="0.25">
      <c r="A39" t="s">
        <v>73</v>
      </c>
      <c r="B39">
        <v>48</v>
      </c>
    </row>
    <row r="40" spans="1:2" x14ac:dyDescent="0.25">
      <c r="A40" t="s">
        <v>74</v>
      </c>
      <c r="B40">
        <v>46</v>
      </c>
    </row>
    <row r="41" spans="1:2" x14ac:dyDescent="0.25">
      <c r="A41" t="s">
        <v>75</v>
      </c>
      <c r="B41">
        <v>28</v>
      </c>
    </row>
    <row r="42" spans="1:2" x14ac:dyDescent="0.25">
      <c r="A42" t="s">
        <v>76</v>
      </c>
      <c r="B42">
        <v>26</v>
      </c>
    </row>
    <row r="43" spans="1:2" x14ac:dyDescent="0.25">
      <c r="A43" t="s">
        <v>77</v>
      </c>
      <c r="B43">
        <v>27</v>
      </c>
    </row>
    <row r="44" spans="1:2" x14ac:dyDescent="0.25">
      <c r="A44" t="s">
        <v>78</v>
      </c>
      <c r="B44">
        <v>25</v>
      </c>
    </row>
    <row r="45" spans="1:2" x14ac:dyDescent="0.25">
      <c r="A45" t="s">
        <v>79</v>
      </c>
      <c r="B45">
        <v>1</v>
      </c>
    </row>
    <row r="46" spans="1:2" x14ac:dyDescent="0.25">
      <c r="A46" t="s">
        <v>80</v>
      </c>
      <c r="B46">
        <v>49</v>
      </c>
    </row>
    <row r="47" spans="1:2" x14ac:dyDescent="0.25">
      <c r="A47" t="s">
        <v>81</v>
      </c>
      <c r="B47">
        <v>31</v>
      </c>
    </row>
    <row r="48" spans="1:2" x14ac:dyDescent="0.25">
      <c r="A48" t="s">
        <v>82</v>
      </c>
      <c r="B48">
        <v>76</v>
      </c>
    </row>
    <row r="49" spans="1:2" x14ac:dyDescent="0.25">
      <c r="A49" t="s">
        <v>83</v>
      </c>
      <c r="B49">
        <v>9</v>
      </c>
    </row>
    <row r="50" spans="1:2" x14ac:dyDescent="0.25">
      <c r="A50" t="s">
        <v>84</v>
      </c>
      <c r="B50">
        <v>50</v>
      </c>
    </row>
    <row r="51" spans="1:2" x14ac:dyDescent="0.25">
      <c r="A51" t="s">
        <v>85</v>
      </c>
      <c r="B51">
        <v>75</v>
      </c>
    </row>
    <row r="52" spans="1:2" x14ac:dyDescent="0.25">
      <c r="A52" t="s">
        <v>86</v>
      </c>
      <c r="B52">
        <v>63</v>
      </c>
    </row>
    <row r="53" spans="1:2" x14ac:dyDescent="0.25">
      <c r="A53" t="s">
        <v>87</v>
      </c>
      <c r="B53">
        <v>59</v>
      </c>
    </row>
    <row r="54" spans="1:2" x14ac:dyDescent="0.25">
      <c r="A54" t="s">
        <v>88</v>
      </c>
      <c r="B54">
        <v>53</v>
      </c>
    </row>
    <row r="55" spans="1:2" x14ac:dyDescent="0.25">
      <c r="A55" t="s">
        <v>89</v>
      </c>
      <c r="B55">
        <v>32</v>
      </c>
    </row>
    <row r="56" spans="1:2" x14ac:dyDescent="0.25">
      <c r="A56" t="s">
        <v>90</v>
      </c>
      <c r="B56">
        <v>44</v>
      </c>
    </row>
    <row r="57" spans="1:2" x14ac:dyDescent="0.25">
      <c r="A57" t="s">
        <v>91</v>
      </c>
      <c r="B57">
        <v>6</v>
      </c>
    </row>
    <row r="58" spans="1:2" x14ac:dyDescent="0.25">
      <c r="A58" t="s">
        <v>92</v>
      </c>
      <c r="B58">
        <v>66</v>
      </c>
    </row>
    <row r="59" spans="1:2" x14ac:dyDescent="0.25">
      <c r="A59" t="s">
        <v>93</v>
      </c>
      <c r="B59">
        <v>8</v>
      </c>
    </row>
    <row r="60" spans="1:2" x14ac:dyDescent="0.25">
      <c r="A60" t="s">
        <v>94</v>
      </c>
      <c r="B60">
        <v>14</v>
      </c>
    </row>
    <row r="61" spans="1:2" x14ac:dyDescent="0.25">
      <c r="A61" t="s">
        <v>95</v>
      </c>
      <c r="B61">
        <v>33</v>
      </c>
    </row>
    <row r="62" spans="1:2" x14ac:dyDescent="0.25">
      <c r="A62" t="s">
        <v>96</v>
      </c>
      <c r="B62">
        <v>34</v>
      </c>
    </row>
    <row r="63" spans="1:2" x14ac:dyDescent="0.25">
      <c r="A63" t="s">
        <v>97</v>
      </c>
      <c r="B63">
        <v>73</v>
      </c>
    </row>
    <row r="64" spans="1:2" x14ac:dyDescent="0.25">
      <c r="A64" t="s">
        <v>98</v>
      </c>
      <c r="B64">
        <v>19</v>
      </c>
    </row>
    <row r="65" spans="1:2" x14ac:dyDescent="0.25">
      <c r="A65" t="s">
        <v>99</v>
      </c>
      <c r="B65">
        <v>35</v>
      </c>
    </row>
    <row r="66" spans="1:2" x14ac:dyDescent="0.25">
      <c r="A66" t="s">
        <v>100</v>
      </c>
      <c r="B66">
        <v>5</v>
      </c>
    </row>
    <row r="67" spans="1:2" x14ac:dyDescent="0.25">
      <c r="A67" t="s">
        <v>101</v>
      </c>
      <c r="B67">
        <v>65</v>
      </c>
    </row>
    <row r="68" spans="1:2" x14ac:dyDescent="0.25">
      <c r="A68" t="s">
        <v>102</v>
      </c>
      <c r="B68">
        <v>3</v>
      </c>
    </row>
    <row r="69" spans="1:2" x14ac:dyDescent="0.25">
      <c r="A69" t="s">
        <v>103</v>
      </c>
      <c r="B69">
        <v>22</v>
      </c>
    </row>
    <row r="70" spans="1:2" x14ac:dyDescent="0.25">
      <c r="A70" t="s">
        <v>104</v>
      </c>
      <c r="B70">
        <v>10</v>
      </c>
    </row>
    <row r="71" spans="1:2" x14ac:dyDescent="0.25">
      <c r="A71" t="s">
        <v>105</v>
      </c>
      <c r="B71">
        <v>74</v>
      </c>
    </row>
    <row r="72" spans="1:2" x14ac:dyDescent="0.25">
      <c r="A72" t="s">
        <v>106</v>
      </c>
      <c r="B72">
        <v>23</v>
      </c>
    </row>
    <row r="73" spans="1:2" x14ac:dyDescent="0.25">
      <c r="A73" t="s">
        <v>107</v>
      </c>
      <c r="B73">
        <v>2</v>
      </c>
    </row>
    <row r="74" spans="1:2" x14ac:dyDescent="0.25">
      <c r="A74" t="s">
        <v>108</v>
      </c>
      <c r="B74">
        <v>29</v>
      </c>
    </row>
    <row r="75" spans="1:2" x14ac:dyDescent="0.25">
      <c r="A75" t="s">
        <v>109</v>
      </c>
      <c r="B75">
        <v>30</v>
      </c>
    </row>
    <row r="76" spans="1:2" x14ac:dyDescent="0.25">
      <c r="A76" t="s">
        <v>110</v>
      </c>
      <c r="B76">
        <v>45</v>
      </c>
    </row>
    <row r="77" spans="1:2" x14ac:dyDescent="0.25">
      <c r="A77" t="s">
        <v>111</v>
      </c>
      <c r="B77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0649-C458-4347-9857-C7A338995CEB}">
  <dimension ref="A1:B12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113</v>
      </c>
      <c r="B1">
        <v>214</v>
      </c>
    </row>
    <row r="2" spans="1:2" x14ac:dyDescent="0.25">
      <c r="A2" t="s">
        <v>114</v>
      </c>
      <c r="B2">
        <v>40</v>
      </c>
    </row>
    <row r="3" spans="1:2" x14ac:dyDescent="0.25">
      <c r="A3" t="s">
        <v>116</v>
      </c>
      <c r="B3">
        <v>172</v>
      </c>
    </row>
    <row r="4" spans="1:2" x14ac:dyDescent="0.25">
      <c r="A4" t="s">
        <v>117</v>
      </c>
      <c r="B4">
        <v>23</v>
      </c>
    </row>
    <row r="5" spans="1:2" x14ac:dyDescent="0.25">
      <c r="A5" t="s">
        <v>118</v>
      </c>
      <c r="B5">
        <v>162</v>
      </c>
    </row>
    <row r="6" spans="1:2" x14ac:dyDescent="0.25">
      <c r="A6" t="s">
        <v>127</v>
      </c>
      <c r="B6">
        <v>185</v>
      </c>
    </row>
    <row r="7" spans="1:2" x14ac:dyDescent="0.25">
      <c r="A7" t="s">
        <v>115</v>
      </c>
      <c r="B7">
        <v>31</v>
      </c>
    </row>
    <row r="8" spans="1:2" x14ac:dyDescent="0.25">
      <c r="A8" t="s">
        <v>119</v>
      </c>
      <c r="B8">
        <v>193</v>
      </c>
    </row>
    <row r="9" spans="1:2" x14ac:dyDescent="0.25">
      <c r="A9" t="s">
        <v>120</v>
      </c>
      <c r="B9">
        <v>194</v>
      </c>
    </row>
    <row r="12" spans="1:2" x14ac:dyDescent="0.25">
      <c r="A12" t="s">
        <v>129</v>
      </c>
      <c r="B12">
        <v>3</v>
      </c>
    </row>
  </sheetData>
  <sortState xmlns:xlrd2="http://schemas.microsoft.com/office/spreadsheetml/2017/richdata2" ref="A1:B9">
    <sortCondition ref="A1:A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4675-E04B-4FD6-9786-D05283D159D6}">
  <dimension ref="A1:B7"/>
  <sheetViews>
    <sheetView workbookViewId="0"/>
  </sheetViews>
  <sheetFormatPr defaultRowHeight="15" x14ac:dyDescent="0.25"/>
  <sheetData>
    <row r="1" spans="1:2" x14ac:dyDescent="0.25">
      <c r="A1" t="s">
        <v>113</v>
      </c>
      <c r="B1">
        <v>114</v>
      </c>
    </row>
    <row r="2" spans="1:2" x14ac:dyDescent="0.25">
      <c r="A2" t="s">
        <v>133</v>
      </c>
      <c r="B2">
        <v>73</v>
      </c>
    </row>
    <row r="3" spans="1:2" x14ac:dyDescent="0.25">
      <c r="A3" t="s">
        <v>134</v>
      </c>
      <c r="B3">
        <v>65</v>
      </c>
    </row>
    <row r="4" spans="1:2" x14ac:dyDescent="0.25">
      <c r="A4" t="s">
        <v>135</v>
      </c>
      <c r="B4">
        <v>117</v>
      </c>
    </row>
    <row r="5" spans="1:2" x14ac:dyDescent="0.25">
      <c r="A5" t="s">
        <v>136</v>
      </c>
      <c r="B5">
        <v>81</v>
      </c>
    </row>
    <row r="6" spans="1:2" x14ac:dyDescent="0.25">
      <c r="A6" t="s">
        <v>137</v>
      </c>
      <c r="B6">
        <v>23</v>
      </c>
    </row>
    <row r="7" spans="1:2" x14ac:dyDescent="0.25">
      <c r="A7" t="s">
        <v>139</v>
      </c>
      <c r="B7">
        <v>0</v>
      </c>
    </row>
  </sheetData>
  <sortState xmlns:xlrd2="http://schemas.microsoft.com/office/spreadsheetml/2017/richdata2" ref="A1:B7">
    <sortCondition ref="A1:A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A012-75B6-4A20-84A1-FE363E9B19E3}">
  <dimension ref="A1:B12"/>
  <sheetViews>
    <sheetView workbookViewId="0">
      <selection activeCell="B4" sqref="B4"/>
    </sheetView>
  </sheetViews>
  <sheetFormatPr defaultRowHeight="15" x14ac:dyDescent="0.25"/>
  <cols>
    <col min="1" max="1" width="11" bestFit="1" customWidth="1"/>
  </cols>
  <sheetData>
    <row r="1" spans="1:2" x14ac:dyDescent="0.25">
      <c r="A1" t="s">
        <v>128</v>
      </c>
      <c r="B1">
        <v>7</v>
      </c>
    </row>
    <row r="2" spans="1:2" x14ac:dyDescent="0.25">
      <c r="A2" t="s">
        <v>121</v>
      </c>
      <c r="B2">
        <v>5</v>
      </c>
    </row>
    <row r="3" spans="1:2" x14ac:dyDescent="0.25">
      <c r="A3" t="s">
        <v>25</v>
      </c>
      <c r="B3">
        <v>1</v>
      </c>
    </row>
    <row r="4" spans="1:2" x14ac:dyDescent="0.25">
      <c r="A4" t="s">
        <v>122</v>
      </c>
      <c r="B4">
        <v>4</v>
      </c>
    </row>
    <row r="5" spans="1:2" x14ac:dyDescent="0.25">
      <c r="A5" t="s">
        <v>79</v>
      </c>
      <c r="B5">
        <v>0</v>
      </c>
    </row>
    <row r="6" spans="1:2" x14ac:dyDescent="0.25">
      <c r="A6" t="s">
        <v>123</v>
      </c>
      <c r="B6">
        <v>2</v>
      </c>
    </row>
    <row r="7" spans="1:2" x14ac:dyDescent="0.25">
      <c r="A7" t="s">
        <v>124</v>
      </c>
      <c r="B7">
        <v>6</v>
      </c>
    </row>
    <row r="8" spans="1:2" x14ac:dyDescent="0.25">
      <c r="A8" t="s">
        <v>125</v>
      </c>
      <c r="B8">
        <v>3</v>
      </c>
    </row>
    <row r="12" spans="1:2" x14ac:dyDescent="0.25">
      <c r="A12" t="s">
        <v>129</v>
      </c>
      <c r="B12">
        <v>3</v>
      </c>
    </row>
  </sheetData>
  <sortState xmlns:xlrd2="http://schemas.microsoft.com/office/spreadsheetml/2017/richdata2" ref="A1:B8">
    <sortCondition ref="A1:A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E3AD-9518-4F05-90BE-E5C81D43C11E}">
  <dimension ref="A1:AL7"/>
  <sheetViews>
    <sheetView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1" bestFit="1" customWidth="1"/>
    <col min="3" max="3" width="46.5703125" bestFit="1" customWidth="1"/>
    <col min="10" max="10" width="14.7109375" customWidth="1"/>
    <col min="14" max="14" width="12.140625" bestFit="1" customWidth="1"/>
    <col min="15" max="15" width="12.140625" customWidth="1"/>
    <col min="16" max="16" width="43.5703125" customWidth="1"/>
    <col min="22" max="22" width="14" customWidth="1"/>
  </cols>
  <sheetData>
    <row r="1" spans="1:38" x14ac:dyDescent="0.25">
      <c r="A1" t="s">
        <v>166</v>
      </c>
      <c r="B1" t="s">
        <v>141</v>
      </c>
      <c r="C1" t="s">
        <v>162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167</v>
      </c>
      <c r="N1" t="s">
        <v>10</v>
      </c>
      <c r="O1" t="s">
        <v>169</v>
      </c>
      <c r="P1" t="s">
        <v>11</v>
      </c>
      <c r="Q1" t="s">
        <v>12</v>
      </c>
      <c r="R1" t="s">
        <v>13</v>
      </c>
      <c r="S1" t="s">
        <v>166</v>
      </c>
      <c r="T1" t="s">
        <v>168</v>
      </c>
      <c r="U1" t="s">
        <v>167</v>
      </c>
      <c r="V1" t="s">
        <v>141</v>
      </c>
      <c r="W1" t="s">
        <v>14</v>
      </c>
      <c r="X1" t="s">
        <v>15</v>
      </c>
      <c r="Y1" t="s">
        <v>16</v>
      </c>
      <c r="Z1" t="s">
        <v>2</v>
      </c>
      <c r="AA1" t="s">
        <v>17</v>
      </c>
      <c r="AB1" t="s">
        <v>4</v>
      </c>
      <c r="AC1" t="s">
        <v>18</v>
      </c>
      <c r="AD1" t="s">
        <v>5</v>
      </c>
      <c r="AE1" t="s">
        <v>19</v>
      </c>
      <c r="AF1" t="s">
        <v>6</v>
      </c>
      <c r="AG1" t="s">
        <v>9</v>
      </c>
      <c r="AH1" t="s">
        <v>163</v>
      </c>
      <c r="AI1" t="s">
        <v>164</v>
      </c>
      <c r="AJ1" t="s">
        <v>7</v>
      </c>
      <c r="AK1" t="s">
        <v>0</v>
      </c>
      <c r="AL1" t="s">
        <v>20</v>
      </c>
    </row>
    <row r="2" spans="1:38" x14ac:dyDescent="0.25">
      <c r="A2">
        <v>1879115029</v>
      </c>
      <c r="B2">
        <v>1</v>
      </c>
      <c r="C2" t="s">
        <v>142</v>
      </c>
      <c r="D2" t="s">
        <v>30</v>
      </c>
      <c r="F2" t="s">
        <v>142</v>
      </c>
      <c r="I2" t="s">
        <v>79</v>
      </c>
      <c r="J2" t="s">
        <v>148</v>
      </c>
      <c r="K2" t="s">
        <v>155</v>
      </c>
      <c r="L2">
        <v>0</v>
      </c>
      <c r="O2" t="str">
        <f>CONCATENATE(R2,T2,U2,AL2," -- ",C2)</f>
        <v xml:space="preserve">  [1] = {["ID"] = 1879115029; }; -- Darter-master</v>
      </c>
      <c r="P2" s="1" t="str">
        <f t="shared" ref="P2:P7" si="0">CONCATENATE(R2,S2,V2,X2,Z2,AB2,AD2,AF2,AG2,AH2,AI2,AJ2,AK2,AL2)</f>
        <v xml:space="preserve">  [1] = {["ID"] = 1879115029; ["SAVE_INDEX"] = 1; ["TYPE"] =  7; ["VXP"] = 0; ["LP"] = 0; ["REP"] = 0; ["FACTION"] = 1; ["TIER"] = 0; ["NAME"] = { ["EN"] = "Darter-master"; }; ["LORE"] = { ["EN"] = "Catching all nine darters is no easy task!"; }; ["SUMMARY"] = { ["EN"] = "Catch all 9 Darter varieties"; }; ["TITLE"] = { ["EN"] = "Darter-master"; }; };</v>
      </c>
      <c r="Q2">
        <f>ROW()-1</f>
        <v>1</v>
      </c>
      <c r="R2" t="str">
        <f>CONCATENATE(REPT(" ",3-LEN(Q2)),"[",Q2,"] = {")</f>
        <v xml:space="preserve">  [1] = {</v>
      </c>
      <c r="S2" t="str">
        <f t="shared" ref="S2:S7" si="1">IF(LEN(A2)&gt;0,CONCATENATE("[""ID""] = ",A2,"; "),"                     ")</f>
        <v xml:space="preserve">["ID"] = 1879115029; </v>
      </c>
      <c r="T2" t="str">
        <f t="shared" ref="T2:T7" si="2">IF(LEN(A2)&gt;0,CONCATENATE("[""ID""] = ",A2,"; "),"")</f>
        <v xml:space="preserve">["ID"] = 1879115029; </v>
      </c>
      <c r="U2" t="str">
        <f t="shared" ref="U2:U7" si="3">IF(LEN(M2)&gt;0,CONCATENATE("[""CAT_ID""] = ",M2,"; "),"")</f>
        <v/>
      </c>
      <c r="V2" s="1" t="str">
        <f t="shared" ref="V2:V7" si="4">IF(LEN(B2)&gt;0,CONCATENATE("[""SAVE_INDEX""] = ",REPT(" ",1-LEN(B2)),B2,"; "),"")</f>
        <v xml:space="preserve">["SAVE_INDEX"] = 1; </v>
      </c>
      <c r="W2">
        <f>VLOOKUP(D2,Type!A$2:B$17,2,FALSE)</f>
        <v>7</v>
      </c>
      <c r="X2" t="str">
        <f>CONCATENATE("[""TYPE""] = ",REPT(" ",2-LEN(W2)),W2,"; ")</f>
        <v xml:space="preserve">["TYPE"] =  7; </v>
      </c>
      <c r="Y2" t="str">
        <f t="shared" ref="Y2:Y7" si="5">TEXT(E2,0)</f>
        <v>0</v>
      </c>
      <c r="Z2" t="str">
        <f>CONCATENATE("[""VXP""] = ",REPT(" ",1-LEN(Y2)),TEXT(Y2,"0"),"; ")</f>
        <v xml:space="preserve">["VXP"] = 0; </v>
      </c>
      <c r="AA2" t="str">
        <f t="shared" ref="AA2:AA7" si="6">TEXT(G2,0)</f>
        <v>0</v>
      </c>
      <c r="AB2" t="str">
        <f>CONCATENATE("[""LP""] = ",REPT(" ",1-LEN(AA2)),TEXT(AA2,"0"),"; ")</f>
        <v xml:space="preserve">["LP"] = 0; </v>
      </c>
      <c r="AC2" t="str">
        <f t="shared" ref="AC2:AC7" si="7">TEXT(H2,0)</f>
        <v>0</v>
      </c>
      <c r="AD2" t="str">
        <f>CONCATENATE("[""REP""] = ",REPT(" ",1-LEN(AC2)),TEXT(AC2,"0"),"; ")</f>
        <v xml:space="preserve">["REP"] = 0; </v>
      </c>
      <c r="AE2">
        <f>VLOOKUP(I2,Faction!A$2:B$77,2,FALSE)</f>
        <v>1</v>
      </c>
      <c r="AF2" t="str">
        <f t="shared" ref="AF2" si="8">CONCATENATE("[""FACTION""] = ",TEXT(AE2,"0"),"; ")</f>
        <v xml:space="preserve">["FACTION"] = 1; </v>
      </c>
      <c r="AG2" t="str">
        <f>CONCATENATE("[""TIER""] = ",TEXT(L2,"0"),"; ")</f>
        <v xml:space="preserve">["TIER"] = 0; </v>
      </c>
      <c r="AH2" t="str">
        <f>CONCATENATE("[""NAME""] = { [""EN""] = """,C2,"""; }; ")</f>
        <v xml:space="preserve">["NAME"] = { ["EN"] = "Darter-master"; }; </v>
      </c>
      <c r="AI2" t="str">
        <f>CONCATENATE("[""LORE""] = { [""EN""] = """,K2,"""; }; ")</f>
        <v xml:space="preserve">["LORE"] = { ["EN"] = "Catching all nine darters is no easy task!"; }; </v>
      </c>
      <c r="AJ2" t="str">
        <f>CONCATENATE("[""SUMMARY""] = { [""EN""] = """,J2,"""; }; ")</f>
        <v xml:space="preserve">["SUMMARY"] = { ["EN"] = "Catch all 9 Darter varieties"; }; </v>
      </c>
      <c r="AK2" t="str">
        <f>IF(LEN(F2)&gt;0,CONCATENATE("[""TITLE""] = { [""EN""] = """,F2,"""; }; "),"")</f>
        <v xml:space="preserve">["TITLE"] = { ["EN"] = "Darter-master"; }; </v>
      </c>
      <c r="AL2" t="str">
        <f>CONCATENATE("};")</f>
        <v>};</v>
      </c>
    </row>
    <row r="3" spans="1:38" x14ac:dyDescent="0.25">
      <c r="A3">
        <v>1879206842</v>
      </c>
      <c r="B3">
        <v>2</v>
      </c>
      <c r="C3" t="s">
        <v>143</v>
      </c>
      <c r="D3" t="s">
        <v>24</v>
      </c>
      <c r="F3" t="s">
        <v>157</v>
      </c>
      <c r="I3" t="s">
        <v>79</v>
      </c>
      <c r="J3" t="s">
        <v>149</v>
      </c>
      <c r="K3" t="s">
        <v>156</v>
      </c>
      <c r="L3">
        <v>0</v>
      </c>
      <c r="O3" t="str">
        <f t="shared" ref="O3:O7" si="9">CONCATENATE(R3,T3,U3,AL3," -- ",C3)</f>
        <v xml:space="preserve">  [2] = {["ID"] = 1879206842; }; -- Fortunate Festival Fishes</v>
      </c>
      <c r="P3" s="1" t="str">
        <f t="shared" si="0"/>
        <v xml:space="preserve">  [2] = {["ID"] = 1879206842; ["SAVE_INDEX"] = 2; ["TYPE"] = 12; ["VXP"] = 0; ["LP"] = 0; ["REP"] = 0; ["FACTION"] = 1; ["TIER"] = 0; ["NAME"] = { ["EN"] = "Fortunate Festival Fishes"; }; ["LORE"] = { ["EN"] = "You catch many rare and wondrous fish during the Summer Festival."; }; ["SUMMARY"] = { ["EN"] = "Catch 10 of 4 types of fish during summer-festival"; }; ["TITLE"] = { ["EN"] = "Rare Fish"; }; };</v>
      </c>
      <c r="Q3">
        <f t="shared" ref="Q3:Q7" si="10">ROW()-1</f>
        <v>2</v>
      </c>
      <c r="R3" t="str">
        <f t="shared" ref="R3:R7" si="11">CONCATENATE(REPT(" ",3-LEN(Q3)),"[",Q3,"] = {")</f>
        <v xml:space="preserve">  [2] = {</v>
      </c>
      <c r="S3" t="str">
        <f t="shared" si="1"/>
        <v xml:space="preserve">["ID"] = 1879206842; </v>
      </c>
      <c r="T3" t="str">
        <f t="shared" si="2"/>
        <v xml:space="preserve">["ID"] = 1879206842; </v>
      </c>
      <c r="U3" t="str">
        <f t="shared" si="3"/>
        <v/>
      </c>
      <c r="V3" s="1" t="str">
        <f t="shared" si="4"/>
        <v xml:space="preserve">["SAVE_INDEX"] = 2; </v>
      </c>
      <c r="W3">
        <f>VLOOKUP(D3,Type!A$2:B$17,2,FALSE)</f>
        <v>12</v>
      </c>
      <c r="X3" t="str">
        <f t="shared" ref="X3:X7" si="12">CONCATENATE("[""TYPE""] = ",REPT(" ",2-LEN(W3)),W3,"; ")</f>
        <v xml:space="preserve">["TYPE"] = 12; </v>
      </c>
      <c r="Y3" t="str">
        <f t="shared" si="5"/>
        <v>0</v>
      </c>
      <c r="Z3" t="str">
        <f t="shared" ref="Z3:Z7" si="13">CONCATENATE("[""VXP""] = ",REPT(" ",1-LEN(Y3)),TEXT(Y3,"0"),"; ")</f>
        <v xml:space="preserve">["VXP"] = 0; </v>
      </c>
      <c r="AA3" t="str">
        <f t="shared" si="6"/>
        <v>0</v>
      </c>
      <c r="AB3" t="str">
        <f t="shared" ref="AB3:AB7" si="14">CONCATENATE("[""LP""] = ",REPT(" ",1-LEN(AA3)),TEXT(AA3,"0"),"; ")</f>
        <v xml:space="preserve">["LP"] = 0; </v>
      </c>
      <c r="AC3" t="str">
        <f t="shared" si="7"/>
        <v>0</v>
      </c>
      <c r="AD3" t="str">
        <f t="shared" ref="AD3:AD7" si="15">CONCATENATE("[""REP""] = ",REPT(" ",1-LEN(AC3)),TEXT(AC3,"0"),"; ")</f>
        <v xml:space="preserve">["REP"] = 0; </v>
      </c>
      <c r="AE3">
        <f>VLOOKUP(I3,Faction!A$2:B$77,2,FALSE)</f>
        <v>1</v>
      </c>
      <c r="AF3" t="str">
        <f t="shared" ref="AF3:AF7" si="16">CONCATENATE("[""FACTION""] = ",TEXT(AE3,"0"),"; ")</f>
        <v xml:space="preserve">["FACTION"] = 1; </v>
      </c>
      <c r="AG3" t="str">
        <f t="shared" ref="AG3:AG7" si="17">CONCATENATE("[""TIER""] = ",TEXT(L3,"0"),"; ")</f>
        <v xml:space="preserve">["TIER"] = 0; </v>
      </c>
      <c r="AH3" t="str">
        <f t="shared" ref="AH3:AH7" si="18">CONCATENATE("[""NAME""] = { [""EN""] = """,C3,"""; }; ")</f>
        <v xml:space="preserve">["NAME"] = { ["EN"] = "Fortunate Festival Fishes"; }; </v>
      </c>
      <c r="AI3" t="str">
        <f t="shared" ref="AI3:AI7" si="19">CONCATENATE("[""LORE""] = { [""EN""] = """,K3,"""; }; ")</f>
        <v xml:space="preserve">["LORE"] = { ["EN"] = "You catch many rare and wondrous fish during the Summer Festival."; }; </v>
      </c>
      <c r="AJ3" t="str">
        <f t="shared" ref="AJ3:AJ7" si="20">CONCATENATE("[""SUMMARY""] = { [""EN""] = """,J3,"""; }; ")</f>
        <v xml:space="preserve">["SUMMARY"] = { ["EN"] = "Catch 10 of 4 types of fish during summer-festival"; }; </v>
      </c>
      <c r="AK3" t="str">
        <f t="shared" ref="AK3:AK7" si="21">IF(LEN(F3)&gt;0,CONCATENATE("[""TITLE""] = { [""EN""] = """,F3,"""; }; "),"")</f>
        <v xml:space="preserve">["TITLE"] = { ["EN"] = "Rare Fish"; }; </v>
      </c>
      <c r="AL3" t="str">
        <f t="shared" ref="AL3:AL7" si="22">CONCATENATE("};")</f>
        <v>};</v>
      </c>
    </row>
    <row r="4" spans="1:38" x14ac:dyDescent="0.25">
      <c r="A4">
        <v>1879115020</v>
      </c>
      <c r="B4">
        <v>3</v>
      </c>
      <c r="C4" t="s">
        <v>144</v>
      </c>
      <c r="D4" t="s">
        <v>30</v>
      </c>
      <c r="F4" t="s">
        <v>144</v>
      </c>
      <c r="I4" t="s">
        <v>79</v>
      </c>
      <c r="J4" t="s">
        <v>150</v>
      </c>
      <c r="K4" t="s">
        <v>158</v>
      </c>
      <c r="L4">
        <v>0</v>
      </c>
      <c r="O4" t="str">
        <f t="shared" si="9"/>
        <v xml:space="preserve">  [3] = {["ID"] = 1879115020; }; -- Sturgeon-master</v>
      </c>
      <c r="P4" s="1" t="str">
        <f t="shared" si="0"/>
        <v xml:space="preserve">  [3] = {["ID"] = 1879115020; ["SAVE_INDEX"] = 3; ["TYPE"] =  7; ["VXP"] = 0; ["LP"] = 0; ["REP"] = 0; ["FACTION"] = 1; ["TIER"] = 0; ["NAME"] = { ["EN"] = "Sturgeon-master"; }; ["LORE"] = { ["EN"] = "Catching nine types of sturgeon will not be easy!"; }; ["SUMMARY"] = { ["EN"] = "Catch all 9 Sturgeon varieties"; }; ["TITLE"] = { ["EN"] = "Sturgeon-master"; }; };</v>
      </c>
      <c r="Q4">
        <f t="shared" si="10"/>
        <v>3</v>
      </c>
      <c r="R4" t="str">
        <f t="shared" si="11"/>
        <v xml:space="preserve">  [3] = {</v>
      </c>
      <c r="S4" t="str">
        <f t="shared" si="1"/>
        <v xml:space="preserve">["ID"] = 1879115020; </v>
      </c>
      <c r="T4" t="str">
        <f t="shared" si="2"/>
        <v xml:space="preserve">["ID"] = 1879115020; </v>
      </c>
      <c r="U4" t="str">
        <f t="shared" si="3"/>
        <v/>
      </c>
      <c r="V4" s="1" t="str">
        <f t="shared" si="4"/>
        <v xml:space="preserve">["SAVE_INDEX"] = 3; </v>
      </c>
      <c r="W4">
        <f>VLOOKUP(D4,Type!A$2:B$17,2,FALSE)</f>
        <v>7</v>
      </c>
      <c r="X4" t="str">
        <f t="shared" si="12"/>
        <v xml:space="preserve">["TYPE"] =  7; </v>
      </c>
      <c r="Y4" t="str">
        <f t="shared" si="5"/>
        <v>0</v>
      </c>
      <c r="Z4" t="str">
        <f t="shared" si="13"/>
        <v xml:space="preserve">["VXP"] = 0; </v>
      </c>
      <c r="AA4" t="str">
        <f t="shared" si="6"/>
        <v>0</v>
      </c>
      <c r="AB4" t="str">
        <f t="shared" si="14"/>
        <v xml:space="preserve">["LP"] = 0; </v>
      </c>
      <c r="AC4" t="str">
        <f t="shared" si="7"/>
        <v>0</v>
      </c>
      <c r="AD4" t="str">
        <f t="shared" si="15"/>
        <v xml:space="preserve">["REP"] = 0; </v>
      </c>
      <c r="AE4">
        <f>VLOOKUP(I4,Faction!A$2:B$77,2,FALSE)</f>
        <v>1</v>
      </c>
      <c r="AF4" t="str">
        <f t="shared" si="16"/>
        <v xml:space="preserve">["FACTION"] = 1; </v>
      </c>
      <c r="AG4" t="str">
        <f t="shared" si="17"/>
        <v xml:space="preserve">["TIER"] = 0; </v>
      </c>
      <c r="AH4" t="str">
        <f t="shared" si="18"/>
        <v xml:space="preserve">["NAME"] = { ["EN"] = "Sturgeon-master"; }; </v>
      </c>
      <c r="AI4" t="str">
        <f t="shared" si="19"/>
        <v xml:space="preserve">["LORE"] = { ["EN"] = "Catching nine types of sturgeon will not be easy!"; }; </v>
      </c>
      <c r="AJ4" t="str">
        <f t="shared" si="20"/>
        <v xml:space="preserve">["SUMMARY"] = { ["EN"] = "Catch all 9 Sturgeon varieties"; }; </v>
      </c>
      <c r="AK4" t="str">
        <f t="shared" si="21"/>
        <v xml:space="preserve">["TITLE"] = { ["EN"] = "Sturgeon-master"; }; </v>
      </c>
      <c r="AL4" t="str">
        <f t="shared" si="22"/>
        <v>};</v>
      </c>
    </row>
    <row r="5" spans="1:38" x14ac:dyDescent="0.25">
      <c r="A5">
        <v>1879110873</v>
      </c>
      <c r="B5">
        <v>4</v>
      </c>
      <c r="C5" t="s">
        <v>145</v>
      </c>
      <c r="D5" t="s">
        <v>30</v>
      </c>
      <c r="F5" t="s">
        <v>159</v>
      </c>
      <c r="I5" t="s">
        <v>79</v>
      </c>
      <c r="J5" t="s">
        <v>151</v>
      </c>
      <c r="K5" t="s">
        <v>165</v>
      </c>
      <c r="L5">
        <v>0</v>
      </c>
      <c r="O5" t="str">
        <f t="shared" si="9"/>
        <v xml:space="preserve">  [4] = {["ID"] = 1879110873; }; -- The Salmon King</v>
      </c>
      <c r="P5" s="1" t="str">
        <f t="shared" si="0"/>
        <v xml:space="preserve">  [4] = {["ID"] = 1879110873; ["SAVE_INDEX"] = 4; ["TYPE"] =  7; ["VXP"] = 0; ["LP"] = 0; ["REP"] = 0; ["FACTION"] = 1; ["TIER"] = 0; ["NAME"] = { ["EN"] = "The Salmon King"; }; ["LORE"] = { ["EN"] = "Only the most skilled - and lucky - fisher can make a catch of this size!"; }; ["SUMMARY"] = { ["EN"] = "Catch a 50-pound Salmon"; }; ["TITLE"] = { ["EN"] = "the Complete Angler"; }; };</v>
      </c>
      <c r="Q5">
        <f t="shared" si="10"/>
        <v>4</v>
      </c>
      <c r="R5" t="str">
        <f t="shared" si="11"/>
        <v xml:space="preserve">  [4] = {</v>
      </c>
      <c r="S5" t="str">
        <f t="shared" si="1"/>
        <v xml:space="preserve">["ID"] = 1879110873; </v>
      </c>
      <c r="T5" t="str">
        <f t="shared" si="2"/>
        <v xml:space="preserve">["ID"] = 1879110873; </v>
      </c>
      <c r="U5" t="str">
        <f t="shared" si="3"/>
        <v/>
      </c>
      <c r="V5" s="1" t="str">
        <f t="shared" si="4"/>
        <v xml:space="preserve">["SAVE_INDEX"] = 4; </v>
      </c>
      <c r="W5">
        <f>VLOOKUP(D5,Type!A$2:B$17,2,FALSE)</f>
        <v>7</v>
      </c>
      <c r="X5" t="str">
        <f t="shared" si="12"/>
        <v xml:space="preserve">["TYPE"] =  7; </v>
      </c>
      <c r="Y5" t="str">
        <f t="shared" si="5"/>
        <v>0</v>
      </c>
      <c r="Z5" t="str">
        <f t="shared" si="13"/>
        <v xml:space="preserve">["VXP"] = 0; </v>
      </c>
      <c r="AA5" t="str">
        <f t="shared" si="6"/>
        <v>0</v>
      </c>
      <c r="AB5" t="str">
        <f t="shared" si="14"/>
        <v xml:space="preserve">["LP"] = 0; </v>
      </c>
      <c r="AC5" t="str">
        <f t="shared" si="7"/>
        <v>0</v>
      </c>
      <c r="AD5" t="str">
        <f t="shared" si="15"/>
        <v xml:space="preserve">["REP"] = 0; </v>
      </c>
      <c r="AE5">
        <f>VLOOKUP(I5,Faction!A$2:B$77,2,FALSE)</f>
        <v>1</v>
      </c>
      <c r="AF5" t="str">
        <f t="shared" si="16"/>
        <v xml:space="preserve">["FACTION"] = 1; </v>
      </c>
      <c r="AG5" t="str">
        <f t="shared" si="17"/>
        <v xml:space="preserve">["TIER"] = 0; </v>
      </c>
      <c r="AH5" t="str">
        <f t="shared" si="18"/>
        <v xml:space="preserve">["NAME"] = { ["EN"] = "The Salmon King"; }; </v>
      </c>
      <c r="AI5" t="str">
        <f t="shared" si="19"/>
        <v xml:space="preserve">["LORE"] = { ["EN"] = "Only the most skilled - and lucky - fisher can make a catch of this size!"; }; </v>
      </c>
      <c r="AJ5" t="str">
        <f t="shared" si="20"/>
        <v xml:space="preserve">["SUMMARY"] = { ["EN"] = "Catch a 50-pound Salmon"; }; </v>
      </c>
      <c r="AK5" t="str">
        <f t="shared" si="21"/>
        <v xml:space="preserve">["TITLE"] = { ["EN"] = "the Complete Angler"; }; </v>
      </c>
      <c r="AL5" t="str">
        <f t="shared" si="22"/>
        <v>};</v>
      </c>
    </row>
    <row r="6" spans="1:38" x14ac:dyDescent="0.25">
      <c r="A6">
        <v>1879115023</v>
      </c>
      <c r="B6">
        <v>5</v>
      </c>
      <c r="C6" t="s">
        <v>146</v>
      </c>
      <c r="D6" t="s">
        <v>30</v>
      </c>
      <c r="F6" t="s">
        <v>146</v>
      </c>
      <c r="I6" t="s">
        <v>79</v>
      </c>
      <c r="J6" t="s">
        <v>152</v>
      </c>
      <c r="K6" t="s">
        <v>160</v>
      </c>
      <c r="L6">
        <v>0</v>
      </c>
      <c r="O6" t="str">
        <f t="shared" si="9"/>
        <v xml:space="preserve">  [5] = {["ID"] = 1879115023; }; -- Trout-master</v>
      </c>
      <c r="P6" s="1" t="str">
        <f t="shared" si="0"/>
        <v xml:space="preserve">  [5] = {["ID"] = 1879115023; ["SAVE_INDEX"] = 5; ["TYPE"] =  7; ["VXP"] = 0; ["LP"] = 0; ["REP"] = 0; ["FACTION"] = 1; ["TIER"] = 0; ["NAME"] = { ["EN"] = "Trout-master"; }; ["LORE"] = { ["EN"] = "Find and catch all nine types of trout!"; }; ["SUMMARY"] = { ["EN"] = "Catch all 9 Trout varieties"; }; ["TITLE"] = { ["EN"] = "Trout-master"; }; };</v>
      </c>
      <c r="Q6">
        <f t="shared" si="10"/>
        <v>5</v>
      </c>
      <c r="R6" t="str">
        <f t="shared" si="11"/>
        <v xml:space="preserve">  [5] = {</v>
      </c>
      <c r="S6" t="str">
        <f t="shared" si="1"/>
        <v xml:space="preserve">["ID"] = 1879115023; </v>
      </c>
      <c r="T6" t="str">
        <f t="shared" si="2"/>
        <v xml:space="preserve">["ID"] = 1879115023; </v>
      </c>
      <c r="U6" t="str">
        <f t="shared" si="3"/>
        <v/>
      </c>
      <c r="V6" s="1" t="str">
        <f t="shared" si="4"/>
        <v xml:space="preserve">["SAVE_INDEX"] = 5; </v>
      </c>
      <c r="W6">
        <f>VLOOKUP(D6,Type!A$2:B$17,2,FALSE)</f>
        <v>7</v>
      </c>
      <c r="X6" t="str">
        <f t="shared" si="12"/>
        <v xml:space="preserve">["TYPE"] =  7; </v>
      </c>
      <c r="Y6" t="str">
        <f t="shared" si="5"/>
        <v>0</v>
      </c>
      <c r="Z6" t="str">
        <f t="shared" si="13"/>
        <v xml:space="preserve">["VXP"] = 0; </v>
      </c>
      <c r="AA6" t="str">
        <f t="shared" si="6"/>
        <v>0</v>
      </c>
      <c r="AB6" t="str">
        <f t="shared" si="14"/>
        <v xml:space="preserve">["LP"] = 0; </v>
      </c>
      <c r="AC6" t="str">
        <f t="shared" si="7"/>
        <v>0</v>
      </c>
      <c r="AD6" t="str">
        <f t="shared" si="15"/>
        <v xml:space="preserve">["REP"] = 0; </v>
      </c>
      <c r="AE6">
        <f>VLOOKUP(I6,Faction!A$2:B$77,2,FALSE)</f>
        <v>1</v>
      </c>
      <c r="AF6" t="str">
        <f t="shared" si="16"/>
        <v xml:space="preserve">["FACTION"] = 1; </v>
      </c>
      <c r="AG6" t="str">
        <f t="shared" si="17"/>
        <v xml:space="preserve">["TIER"] = 0; </v>
      </c>
      <c r="AH6" t="str">
        <f t="shared" si="18"/>
        <v xml:space="preserve">["NAME"] = { ["EN"] = "Trout-master"; }; </v>
      </c>
      <c r="AI6" t="str">
        <f t="shared" si="19"/>
        <v xml:space="preserve">["LORE"] = { ["EN"] = "Find and catch all nine types of trout!"; }; </v>
      </c>
      <c r="AJ6" t="str">
        <f t="shared" si="20"/>
        <v xml:space="preserve">["SUMMARY"] = { ["EN"] = "Catch all 9 Trout varieties"; }; </v>
      </c>
      <c r="AK6" t="str">
        <f t="shared" si="21"/>
        <v xml:space="preserve">["TITLE"] = { ["EN"] = "Trout-master"; }; </v>
      </c>
      <c r="AL6" t="str">
        <f t="shared" si="22"/>
        <v>};</v>
      </c>
    </row>
    <row r="7" spans="1:38" x14ac:dyDescent="0.25">
      <c r="A7">
        <v>1879364959</v>
      </c>
      <c r="B7">
        <v>6</v>
      </c>
      <c r="C7" t="s">
        <v>147</v>
      </c>
      <c r="D7" t="s">
        <v>30</v>
      </c>
      <c r="F7" t="s">
        <v>147</v>
      </c>
      <c r="I7" t="s">
        <v>79</v>
      </c>
      <c r="J7" t="s">
        <v>153</v>
      </c>
      <c r="K7" t="s">
        <v>161</v>
      </c>
      <c r="L7">
        <v>0</v>
      </c>
      <c r="O7" t="str">
        <f t="shared" si="9"/>
        <v xml:space="preserve">  [6] = {["ID"] = 1879364959; }; -- Lake-master</v>
      </c>
      <c r="P7" s="1" t="str">
        <f t="shared" si="0"/>
        <v xml:space="preserve">  [6] = {["ID"] = 1879364959; ["SAVE_INDEX"] = 6; ["TYPE"] =  7; ["VXP"] = 0; ["LP"] = 0; ["REP"] = 0; ["FACTION"] = 1; ["TIER"] = 0; ["NAME"] = { ["EN"] = "Lake-master"; }; ["LORE"] = { ["EN"] = "Find and catch all twenty types of eastern, freshwater fish!"; }; ["SUMMARY"] = { ["EN"] = "Catch all 20 fish varieties in Lake-town"; }; ["TITLE"] = { ["EN"] = "Lake-master"; }; };</v>
      </c>
      <c r="Q7">
        <f t="shared" si="10"/>
        <v>6</v>
      </c>
      <c r="R7" t="str">
        <f t="shared" si="11"/>
        <v xml:space="preserve">  [6] = {</v>
      </c>
      <c r="S7" t="str">
        <f t="shared" si="1"/>
        <v xml:space="preserve">["ID"] = 1879364959; </v>
      </c>
      <c r="T7" t="str">
        <f t="shared" si="2"/>
        <v xml:space="preserve">["ID"] = 1879364959; </v>
      </c>
      <c r="U7" t="str">
        <f t="shared" si="3"/>
        <v/>
      </c>
      <c r="V7" s="1" t="str">
        <f t="shared" si="4"/>
        <v xml:space="preserve">["SAVE_INDEX"] = 6; </v>
      </c>
      <c r="W7">
        <f>VLOOKUP(D7,Type!A$2:B$17,2,FALSE)</f>
        <v>7</v>
      </c>
      <c r="X7" t="str">
        <f t="shared" si="12"/>
        <v xml:space="preserve">["TYPE"] =  7; </v>
      </c>
      <c r="Y7" t="str">
        <f t="shared" si="5"/>
        <v>0</v>
      </c>
      <c r="Z7" t="str">
        <f t="shared" si="13"/>
        <v xml:space="preserve">["VXP"] = 0; </v>
      </c>
      <c r="AA7" t="str">
        <f t="shared" si="6"/>
        <v>0</v>
      </c>
      <c r="AB7" t="str">
        <f t="shared" si="14"/>
        <v xml:space="preserve">["LP"] = 0; </v>
      </c>
      <c r="AC7" t="str">
        <f t="shared" si="7"/>
        <v>0</v>
      </c>
      <c r="AD7" t="str">
        <f t="shared" si="15"/>
        <v xml:space="preserve">["REP"] = 0; </v>
      </c>
      <c r="AE7">
        <f>VLOOKUP(I7,Faction!A$2:B$77,2,FALSE)</f>
        <v>1</v>
      </c>
      <c r="AF7" t="str">
        <f t="shared" si="16"/>
        <v xml:space="preserve">["FACTION"] = 1; </v>
      </c>
      <c r="AG7" t="str">
        <f t="shared" si="17"/>
        <v xml:space="preserve">["TIER"] = 0; </v>
      </c>
      <c r="AH7" t="str">
        <f t="shared" si="18"/>
        <v xml:space="preserve">["NAME"] = { ["EN"] = "Lake-master"; }; </v>
      </c>
      <c r="AI7" t="str">
        <f t="shared" si="19"/>
        <v xml:space="preserve">["LORE"] = { ["EN"] = "Find and catch all twenty types of eastern, freshwater fish!"; }; </v>
      </c>
      <c r="AJ7" t="str">
        <f t="shared" si="20"/>
        <v xml:space="preserve">["SUMMARY"] = { ["EN"] = "Catch all 20 fish varieties in Lake-town"; }; </v>
      </c>
      <c r="AK7" t="str">
        <f t="shared" si="21"/>
        <v xml:space="preserve">["TITLE"] = { ["EN"] = "Lake-master"; }; </v>
      </c>
      <c r="AL7" t="str">
        <f t="shared" si="22"/>
        <v>};</v>
      </c>
    </row>
  </sheetData>
  <conditionalFormatting sqref="B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BB01-205D-43FC-93D0-141B65BF993A}">
  <dimension ref="A1:AM140"/>
  <sheetViews>
    <sheetView tabSelected="1" workbookViewId="0">
      <pane xSplit="3" ySplit="1" topLeftCell="L123" activePane="bottomRight" state="frozen"/>
      <selection pane="topRight" activeCell="B1" sqref="B1"/>
      <selection pane="bottomLeft" activeCell="A2" sqref="A2"/>
      <selection pane="bottomRight" activeCell="P2" sqref="P2:P139"/>
    </sheetView>
  </sheetViews>
  <sheetFormatPr defaultRowHeight="15" x14ac:dyDescent="0.25"/>
  <cols>
    <col min="1" max="1" width="11" bestFit="1" customWidth="1"/>
    <col min="2" max="2" width="0" hidden="1" customWidth="1"/>
    <col min="3" max="3" width="46.5703125" bestFit="1" customWidth="1"/>
    <col min="5" max="9" width="0" hidden="1" customWidth="1"/>
    <col min="10" max="10" width="14.7109375" hidden="1" customWidth="1"/>
    <col min="11" max="11" width="0" hidden="1" customWidth="1"/>
    <col min="14" max="14" width="12.140625" bestFit="1" customWidth="1"/>
    <col min="15" max="15" width="24.5703125" customWidth="1"/>
    <col min="16" max="16" width="35.5703125" customWidth="1"/>
    <col min="17" max="17" width="43.5703125" hidden="1" customWidth="1"/>
    <col min="23" max="23" width="14" customWidth="1"/>
    <col min="34" max="34" width="11.7109375" bestFit="1" customWidth="1"/>
  </cols>
  <sheetData>
    <row r="1" spans="1:39" x14ac:dyDescent="0.25">
      <c r="A1" t="s">
        <v>166</v>
      </c>
      <c r="B1" t="s">
        <v>141</v>
      </c>
      <c r="C1" t="s">
        <v>162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167</v>
      </c>
      <c r="N1" t="s">
        <v>10</v>
      </c>
      <c r="O1" t="s">
        <v>308</v>
      </c>
      <c r="P1" t="s">
        <v>169</v>
      </c>
      <c r="Q1" t="s">
        <v>11</v>
      </c>
      <c r="R1" t="s">
        <v>12</v>
      </c>
      <c r="S1" t="s">
        <v>13</v>
      </c>
      <c r="T1" t="s">
        <v>166</v>
      </c>
      <c r="U1" t="s">
        <v>168</v>
      </c>
      <c r="V1" t="s">
        <v>167</v>
      </c>
      <c r="W1" t="s">
        <v>141</v>
      </c>
      <c r="X1" t="s">
        <v>14</v>
      </c>
      <c r="Y1" t="s">
        <v>15</v>
      </c>
      <c r="Z1" t="s">
        <v>16</v>
      </c>
      <c r="AA1" t="s">
        <v>2</v>
      </c>
      <c r="AB1" t="s">
        <v>17</v>
      </c>
      <c r="AC1" t="s">
        <v>4</v>
      </c>
      <c r="AD1" t="s">
        <v>18</v>
      </c>
      <c r="AE1" t="s">
        <v>5</v>
      </c>
      <c r="AF1" t="s">
        <v>19</v>
      </c>
      <c r="AG1" t="s">
        <v>6</v>
      </c>
      <c r="AH1" t="s">
        <v>9</v>
      </c>
      <c r="AI1" t="s">
        <v>163</v>
      </c>
      <c r="AJ1" t="s">
        <v>164</v>
      </c>
      <c r="AK1" t="s">
        <v>7</v>
      </c>
      <c r="AL1" t="s">
        <v>0</v>
      </c>
      <c r="AM1" t="s">
        <v>20</v>
      </c>
    </row>
    <row r="2" spans="1:39" x14ac:dyDescent="0.25">
      <c r="C2" s="2" t="s">
        <v>268</v>
      </c>
      <c r="D2" t="s">
        <v>138</v>
      </c>
      <c r="M2">
        <v>320</v>
      </c>
      <c r="O2" t="str">
        <f>IF(AND(A2&gt;0,L2&gt;0),CONCATENATE("[",A2,"] = ",L2,", // ",C2),"")</f>
        <v/>
      </c>
      <c r="P2" t="str">
        <f>CONCATENATE(S2,U2,V2,AH2,AM2," -- ",C2)</f>
        <v xml:space="preserve">  [1] = {["CAT_ID"] = 320; }; -- Eriador</v>
      </c>
      <c r="Q2" s="1" t="e">
        <f t="shared" ref="Q2" si="0">CONCATENATE(S2,T2,W2,Y2,AA2,AC2,AE2,AG2,AH2,AI2,AJ2,AK2,AL2,AM2)</f>
        <v>#N/A</v>
      </c>
      <c r="R2">
        <f>ROW()-1</f>
        <v>1</v>
      </c>
      <c r="S2" t="str">
        <f>CONCATENATE(REPT(" ",3-LEN(R2)),"[",R2,"] = {")</f>
        <v xml:space="preserve">  [1] = {</v>
      </c>
      <c r="T2" t="str">
        <f t="shared" ref="T2" si="1">IF(LEN(A2)&gt;0,CONCATENATE("[""ID""] = ",A2,"; "),"                     ")</f>
        <v xml:space="preserve">                     </v>
      </c>
      <c r="U2" t="str">
        <f t="shared" ref="U2" si="2">IF(LEN(A2)&gt;0,CONCATENATE("[""ID""] = ",A2,"; "),"")</f>
        <v/>
      </c>
      <c r="V2" t="str">
        <f t="shared" ref="V2" si="3">IF(LEN(M2)&gt;0,CONCATENATE("[""CAT_ID""] = ",M2,"; "),"")</f>
        <v xml:space="preserve">["CAT_ID"] = 320; </v>
      </c>
      <c r="W2" s="1" t="str">
        <f t="shared" ref="W2" si="4">IF(LEN(B2)&gt;0,CONCATENATE("[""SAVE_INDEX""] = ",REPT(" ",1-LEN(B2)),B2,"; "),"")</f>
        <v/>
      </c>
      <c r="X2">
        <f>VLOOKUP(D2,Type!A$2:B$17,2,FALSE)</f>
        <v>14</v>
      </c>
      <c r="Y2" t="str">
        <f>CONCATENATE("[""TYPE""] = ",REPT(" ",2-LEN(X2)),X2,"; ")</f>
        <v xml:space="preserve">["TYPE"] = 14; </v>
      </c>
      <c r="Z2" t="str">
        <f t="shared" ref="Z2" si="5">TEXT(E2,0)</f>
        <v>0</v>
      </c>
      <c r="AA2" t="str">
        <f>CONCATENATE("[""VXP""] = ",REPT(" ",1-LEN(Z2)),TEXT(Z2,"0"),"; ")</f>
        <v xml:space="preserve">["VXP"] = 0; </v>
      </c>
      <c r="AB2" t="str">
        <f t="shared" ref="AB2" si="6">TEXT(G2,0)</f>
        <v>0</v>
      </c>
      <c r="AC2" t="str">
        <f>CONCATENATE("[""LP""] = ",REPT(" ",1-LEN(AB2)),TEXT(AB2,"0"),"; ")</f>
        <v xml:space="preserve">["LP"] = 0; </v>
      </c>
      <c r="AD2" t="str">
        <f t="shared" ref="AD2" si="7">TEXT(H2,0)</f>
        <v>0</v>
      </c>
      <c r="AE2" t="str">
        <f>CONCATENATE("[""REP""] = ",REPT(" ",1-LEN(AD2)),TEXT(AD2,"0"),"; ")</f>
        <v xml:space="preserve">["REP"] = 0; </v>
      </c>
      <c r="AF2" t="e">
        <f>VLOOKUP(I2,Faction!A$2:B$77,2,FALSE)</f>
        <v>#N/A</v>
      </c>
      <c r="AG2" t="e">
        <f t="shared" ref="AG2" si="8">CONCATENATE("[""FACTION""] = ",TEXT(AF2,"0"),"; ")</f>
        <v>#N/A</v>
      </c>
      <c r="AH2" t="str">
        <f>IF(L2&gt;0,CONCATENATE("[""TIER""] = ",TEXT(L2,"0"),"; "),"")</f>
        <v/>
      </c>
      <c r="AI2" t="str">
        <f>CONCATENATE("[""NAME""] = { [""EN""] = """,C2,"""; }; ")</f>
        <v xml:space="preserve">["NAME"] = { ["EN"] = "Eriador"; }; </v>
      </c>
      <c r="AJ2" t="str">
        <f>CONCATENATE("[""LORE""] = { [""EN""] = """,K2,"""; }; ")</f>
        <v xml:space="preserve">["LORE"] = { ["EN"] = ""; }; </v>
      </c>
      <c r="AK2" t="str">
        <f>CONCATENATE("[""SUMMARY""] = { [""EN""] = """,J2,"""; }; ")</f>
        <v xml:space="preserve">["SUMMARY"] = { ["EN"] = ""; }; </v>
      </c>
      <c r="AL2" t="str">
        <f>IF(LEN(F2)&gt;0,CONCATENATE("[""TITLE""] = { [""EN""] = """,F2,"""; }; "),"")</f>
        <v/>
      </c>
      <c r="AM2" t="str">
        <f>CONCATENATE("};")</f>
        <v>};</v>
      </c>
    </row>
    <row r="3" spans="1:39" x14ac:dyDescent="0.25">
      <c r="A3">
        <v>1879490678</v>
      </c>
      <c r="C3" t="s">
        <v>170</v>
      </c>
      <c r="I3" t="s">
        <v>79</v>
      </c>
      <c r="L3">
        <v>0</v>
      </c>
      <c r="O3" t="str">
        <f t="shared" ref="O3:O66" si="9">IF(AND(A3&gt;0,L3&gt;0),CONCATENATE("[",A3,"] = ",L3,", // ",C3),"")</f>
        <v/>
      </c>
      <c r="P3" t="str">
        <f t="shared" ref="P3:P66" si="10">CONCATENATE(S3,U3,V3,AH3,AM3," -- ",C3)</f>
        <v xml:space="preserve">  [2] = {["ID"] = 1879490678; }; -- All the Birds of Bree-land</v>
      </c>
      <c r="Q3" s="1" t="e">
        <f t="shared" ref="Q3:Q66" si="11">CONCATENATE(S3,T3,W3,Y3,AA3,AC3,AE3,AG3,AH3,AI3,AJ3,AK3,AL3,AM3)</f>
        <v>#N/A</v>
      </c>
      <c r="R3">
        <f t="shared" ref="R3:R66" si="12">ROW()-1</f>
        <v>2</v>
      </c>
      <c r="S3" t="str">
        <f t="shared" ref="S3:S66" si="13">CONCATENATE(REPT(" ",3-LEN(R3)),"[",R3,"] = {")</f>
        <v xml:space="preserve">  [2] = {</v>
      </c>
      <c r="T3" t="str">
        <f t="shared" ref="T3:T66" si="14">IF(LEN(A3)&gt;0,CONCATENATE("[""ID""] = ",A3,"; "),"                     ")</f>
        <v xml:space="preserve">["ID"] = 1879490678; </v>
      </c>
      <c r="U3" t="str">
        <f t="shared" ref="U3:U66" si="15">IF(LEN(A3)&gt;0,CONCATENATE("[""ID""] = ",A3,"; "),"")</f>
        <v xml:space="preserve">["ID"] = 1879490678; </v>
      </c>
      <c r="V3" t="str">
        <f t="shared" ref="V3:V66" si="16">IF(LEN(M3)&gt;0,CONCATENATE("[""CAT_ID""] = ",M3,"; "),"")</f>
        <v/>
      </c>
      <c r="W3" s="1" t="str">
        <f t="shared" ref="W3:W66" si="17">IF(LEN(B3)&gt;0,CONCATENATE("[""SAVE_INDEX""] = ",REPT(" ",1-LEN(B3)),B3,"; "),"")</f>
        <v/>
      </c>
      <c r="X3" t="e">
        <f>VLOOKUP(D3,Type!A$2:B$17,2,FALSE)</f>
        <v>#N/A</v>
      </c>
      <c r="Y3" t="e">
        <f t="shared" ref="Y3:Y66" si="18">CONCATENATE("[""TYPE""] = ",REPT(" ",2-LEN(X3)),X3,"; ")</f>
        <v>#N/A</v>
      </c>
      <c r="Z3" t="str">
        <f t="shared" ref="Z3:Z66" si="19">TEXT(E3,0)</f>
        <v>0</v>
      </c>
      <c r="AA3" t="str">
        <f t="shared" ref="AA3:AA66" si="20">CONCATENATE("[""VXP""] = ",REPT(" ",1-LEN(Z3)),TEXT(Z3,"0"),"; ")</f>
        <v xml:space="preserve">["VXP"] = 0; </v>
      </c>
      <c r="AB3" t="str">
        <f t="shared" ref="AB3:AB66" si="21">TEXT(G3,0)</f>
        <v>0</v>
      </c>
      <c r="AC3" t="str">
        <f t="shared" ref="AC3:AC66" si="22">CONCATENATE("[""LP""] = ",REPT(" ",1-LEN(AB3)),TEXT(AB3,"0"),"; ")</f>
        <v xml:space="preserve">["LP"] = 0; </v>
      </c>
      <c r="AD3" t="str">
        <f t="shared" ref="AD3:AD66" si="23">TEXT(H3,0)</f>
        <v>0</v>
      </c>
      <c r="AE3" t="str">
        <f t="shared" ref="AE3:AE66" si="24">CONCATENATE("[""REP""] = ",REPT(" ",1-LEN(AD3)),TEXT(AD3,"0"),"; ")</f>
        <v xml:space="preserve">["REP"] = 0; </v>
      </c>
      <c r="AF3">
        <f>VLOOKUP(I3,Faction!A$2:B$77,2,FALSE)</f>
        <v>1</v>
      </c>
      <c r="AG3" t="str">
        <f t="shared" ref="AG3:AG66" si="25">CONCATENATE("[""FACTION""] = ",TEXT(AF3,"0"),"; ")</f>
        <v xml:space="preserve">["FACTION"] = 1; </v>
      </c>
      <c r="AH3" t="str">
        <f t="shared" ref="AH3:AH66" si="26">IF(L3&gt;0,CONCATENATE("[""TIER""] = ",TEXT(L3,"0"),"; "),"")</f>
        <v/>
      </c>
      <c r="AI3" t="str">
        <f t="shared" ref="AI3:AI66" si="27">CONCATENATE("[""NAME""] = { [""EN""] = """,C3,"""; }; ")</f>
        <v xml:space="preserve">["NAME"] = { ["EN"] = "All the Birds of Bree-land"; }; </v>
      </c>
      <c r="AJ3" t="str">
        <f t="shared" ref="AJ3:AJ66" si="28">CONCATENATE("[""LORE""] = { [""EN""] = """,K3,"""; }; ")</f>
        <v xml:space="preserve">["LORE"] = { ["EN"] = ""; }; </v>
      </c>
      <c r="AK3" t="str">
        <f t="shared" ref="AK3:AK66" si="29">CONCATENATE("[""SUMMARY""] = { [""EN""] = """,J3,"""; }; ")</f>
        <v xml:space="preserve">["SUMMARY"] = { ["EN"] = ""; }; </v>
      </c>
      <c r="AL3" t="str">
        <f t="shared" ref="AL3:AL66" si="30">IF(LEN(F3)&gt;0,CONCATENATE("[""TITLE""] = { [""EN""] = """,F3,"""; }; "),"")</f>
        <v/>
      </c>
      <c r="AM3" t="str">
        <f t="shared" ref="AM3:AM66" si="31">CONCATENATE("};")</f>
        <v>};</v>
      </c>
    </row>
    <row r="4" spans="1:39" x14ac:dyDescent="0.25">
      <c r="A4">
        <v>1879490611</v>
      </c>
      <c r="C4" t="s">
        <v>171</v>
      </c>
      <c r="I4" t="s">
        <v>79</v>
      </c>
      <c r="L4">
        <v>1</v>
      </c>
      <c r="O4" t="str">
        <f t="shared" si="9"/>
        <v>[1879490611] = 1, // Birds of Bree-land: Common and Uncommon</v>
      </c>
      <c r="P4" t="str">
        <f t="shared" si="10"/>
        <v xml:space="preserve">  [3] = {["ID"] = 1879490611; ["TIER"] = 1; }; -- Birds of Bree-land: Common and Uncommon</v>
      </c>
      <c r="Q4" s="1" t="e">
        <f t="shared" si="11"/>
        <v>#N/A</v>
      </c>
      <c r="R4">
        <f t="shared" si="12"/>
        <v>3</v>
      </c>
      <c r="S4" t="str">
        <f t="shared" si="13"/>
        <v xml:space="preserve">  [3] = {</v>
      </c>
      <c r="T4" t="str">
        <f t="shared" si="14"/>
        <v xml:space="preserve">["ID"] = 1879490611; </v>
      </c>
      <c r="U4" t="str">
        <f t="shared" si="15"/>
        <v xml:space="preserve">["ID"] = 1879490611; </v>
      </c>
      <c r="V4" t="str">
        <f t="shared" si="16"/>
        <v/>
      </c>
      <c r="W4" s="1" t="str">
        <f t="shared" si="17"/>
        <v/>
      </c>
      <c r="X4" t="e">
        <f>VLOOKUP(D4,Type!A$2:B$17,2,FALSE)</f>
        <v>#N/A</v>
      </c>
      <c r="Y4" t="e">
        <f t="shared" si="18"/>
        <v>#N/A</v>
      </c>
      <c r="Z4" t="str">
        <f t="shared" si="19"/>
        <v>0</v>
      </c>
      <c r="AA4" t="str">
        <f t="shared" si="20"/>
        <v xml:space="preserve">["VXP"] = 0; </v>
      </c>
      <c r="AB4" t="str">
        <f t="shared" si="21"/>
        <v>0</v>
      </c>
      <c r="AC4" t="str">
        <f t="shared" si="22"/>
        <v xml:space="preserve">["LP"] = 0; </v>
      </c>
      <c r="AD4" t="str">
        <f t="shared" si="23"/>
        <v>0</v>
      </c>
      <c r="AE4" t="str">
        <f t="shared" si="24"/>
        <v xml:space="preserve">["REP"] = 0; </v>
      </c>
      <c r="AF4">
        <f>VLOOKUP(I4,Faction!A$2:B$77,2,FALSE)</f>
        <v>1</v>
      </c>
      <c r="AG4" t="str">
        <f t="shared" si="25"/>
        <v xml:space="preserve">["FACTION"] = 1; </v>
      </c>
      <c r="AH4" t="str">
        <f t="shared" si="26"/>
        <v xml:space="preserve">["TIER"] = 1; </v>
      </c>
      <c r="AI4" t="str">
        <f t="shared" si="27"/>
        <v xml:space="preserve">["NAME"] = { ["EN"] = "Birds of Bree-land: Common and Uncommon"; }; </v>
      </c>
      <c r="AJ4" t="str">
        <f t="shared" si="28"/>
        <v xml:space="preserve">["LORE"] = { ["EN"] = ""; }; </v>
      </c>
      <c r="AK4" t="str">
        <f t="shared" si="29"/>
        <v xml:space="preserve">["SUMMARY"] = { ["EN"] = ""; }; </v>
      </c>
      <c r="AL4" t="str">
        <f t="shared" si="30"/>
        <v/>
      </c>
      <c r="AM4" t="str">
        <f t="shared" si="31"/>
        <v>};</v>
      </c>
    </row>
    <row r="5" spans="1:39" x14ac:dyDescent="0.25">
      <c r="A5">
        <v>1879490469</v>
      </c>
      <c r="C5" t="s">
        <v>172</v>
      </c>
      <c r="I5" t="s">
        <v>79</v>
      </c>
      <c r="L5">
        <v>1</v>
      </c>
      <c r="O5" t="str">
        <f t="shared" si="9"/>
        <v>[1879490469] = 1, // Birds of Bree-land: Rare</v>
      </c>
      <c r="P5" t="str">
        <f t="shared" si="10"/>
        <v xml:space="preserve">  [4] = {["ID"] = 1879490469; ["TIER"] = 1; }; -- Birds of Bree-land: Rare</v>
      </c>
      <c r="Q5" s="1" t="e">
        <f t="shared" si="11"/>
        <v>#N/A</v>
      </c>
      <c r="R5">
        <f t="shared" si="12"/>
        <v>4</v>
      </c>
      <c r="S5" t="str">
        <f t="shared" si="13"/>
        <v xml:space="preserve">  [4] = {</v>
      </c>
      <c r="T5" t="str">
        <f t="shared" si="14"/>
        <v xml:space="preserve">["ID"] = 1879490469; </v>
      </c>
      <c r="U5" t="str">
        <f t="shared" si="15"/>
        <v xml:space="preserve">["ID"] = 1879490469; </v>
      </c>
      <c r="V5" t="str">
        <f t="shared" si="16"/>
        <v/>
      </c>
      <c r="W5" s="1" t="str">
        <f t="shared" si="17"/>
        <v/>
      </c>
      <c r="X5" t="e">
        <f>VLOOKUP(D5,Type!A$2:B$17,2,FALSE)</f>
        <v>#N/A</v>
      </c>
      <c r="Y5" t="e">
        <f t="shared" si="18"/>
        <v>#N/A</v>
      </c>
      <c r="Z5" t="str">
        <f t="shared" si="19"/>
        <v>0</v>
      </c>
      <c r="AA5" t="str">
        <f t="shared" si="20"/>
        <v xml:space="preserve">["VXP"] = 0; </v>
      </c>
      <c r="AB5" t="str">
        <f t="shared" si="21"/>
        <v>0</v>
      </c>
      <c r="AC5" t="str">
        <f t="shared" si="22"/>
        <v xml:space="preserve">["LP"] = 0; </v>
      </c>
      <c r="AD5" t="str">
        <f t="shared" si="23"/>
        <v>0</v>
      </c>
      <c r="AE5" t="str">
        <f t="shared" si="24"/>
        <v xml:space="preserve">["REP"] = 0; </v>
      </c>
      <c r="AF5">
        <f>VLOOKUP(I5,Faction!A$2:B$77,2,FALSE)</f>
        <v>1</v>
      </c>
      <c r="AG5" t="str">
        <f t="shared" si="25"/>
        <v xml:space="preserve">["FACTION"] = 1; </v>
      </c>
      <c r="AH5" t="str">
        <f t="shared" si="26"/>
        <v xml:space="preserve">["TIER"] = 1; </v>
      </c>
      <c r="AI5" t="str">
        <f t="shared" si="27"/>
        <v xml:space="preserve">["NAME"] = { ["EN"] = "Birds of Bree-land: Rare"; }; </v>
      </c>
      <c r="AJ5" t="str">
        <f t="shared" si="28"/>
        <v xml:space="preserve">["LORE"] = { ["EN"] = ""; }; </v>
      </c>
      <c r="AK5" t="str">
        <f t="shared" si="29"/>
        <v xml:space="preserve">["SUMMARY"] = { ["EN"] = ""; }; </v>
      </c>
      <c r="AL5" t="str">
        <f t="shared" si="30"/>
        <v/>
      </c>
      <c r="AM5" t="str">
        <f t="shared" si="31"/>
        <v>};</v>
      </c>
    </row>
    <row r="6" spans="1:39" x14ac:dyDescent="0.25">
      <c r="A6">
        <v>1879490610</v>
      </c>
      <c r="C6" t="s">
        <v>173</v>
      </c>
      <c r="I6" t="s">
        <v>79</v>
      </c>
      <c r="L6">
        <v>1</v>
      </c>
      <c r="O6" t="str">
        <f t="shared" si="9"/>
        <v>[1879490610] = 1, // The Rarest Bird in Bree-land</v>
      </c>
      <c r="P6" t="str">
        <f t="shared" si="10"/>
        <v xml:space="preserve">  [5] = {["ID"] = 1879490610; ["TIER"] = 1; }; -- The Rarest Bird in Bree-land</v>
      </c>
      <c r="Q6" s="1" t="e">
        <f t="shared" si="11"/>
        <v>#N/A</v>
      </c>
      <c r="R6">
        <f t="shared" si="12"/>
        <v>5</v>
      </c>
      <c r="S6" t="str">
        <f t="shared" si="13"/>
        <v xml:space="preserve">  [5] = {</v>
      </c>
      <c r="T6" t="str">
        <f t="shared" si="14"/>
        <v xml:space="preserve">["ID"] = 1879490610; </v>
      </c>
      <c r="U6" t="str">
        <f t="shared" si="15"/>
        <v xml:space="preserve">["ID"] = 1879490610; </v>
      </c>
      <c r="V6" t="str">
        <f t="shared" si="16"/>
        <v/>
      </c>
      <c r="W6" s="1" t="str">
        <f t="shared" si="17"/>
        <v/>
      </c>
      <c r="X6" t="e">
        <f>VLOOKUP(D6,Type!A$2:B$17,2,FALSE)</f>
        <v>#N/A</v>
      </c>
      <c r="Y6" t="e">
        <f t="shared" si="18"/>
        <v>#N/A</v>
      </c>
      <c r="Z6" t="str">
        <f t="shared" si="19"/>
        <v>0</v>
      </c>
      <c r="AA6" t="str">
        <f t="shared" si="20"/>
        <v xml:space="preserve">["VXP"] = 0; </v>
      </c>
      <c r="AB6" t="str">
        <f t="shared" si="21"/>
        <v>0</v>
      </c>
      <c r="AC6" t="str">
        <f t="shared" si="22"/>
        <v xml:space="preserve">["LP"] = 0; </v>
      </c>
      <c r="AD6" t="str">
        <f t="shared" si="23"/>
        <v>0</v>
      </c>
      <c r="AE6" t="str">
        <f t="shared" si="24"/>
        <v xml:space="preserve">["REP"] = 0; </v>
      </c>
      <c r="AF6">
        <f>VLOOKUP(I6,Faction!A$2:B$77,2,FALSE)</f>
        <v>1</v>
      </c>
      <c r="AG6" t="str">
        <f t="shared" si="25"/>
        <v xml:space="preserve">["FACTION"] = 1; </v>
      </c>
      <c r="AH6" t="str">
        <f t="shared" si="26"/>
        <v xml:space="preserve">["TIER"] = 1; </v>
      </c>
      <c r="AI6" t="str">
        <f t="shared" si="27"/>
        <v xml:space="preserve">["NAME"] = { ["EN"] = "The Rarest Bird in Bree-land"; }; </v>
      </c>
      <c r="AJ6" t="str">
        <f t="shared" si="28"/>
        <v xml:space="preserve">["LORE"] = { ["EN"] = ""; }; </v>
      </c>
      <c r="AK6" t="str">
        <f t="shared" si="29"/>
        <v xml:space="preserve">["SUMMARY"] = { ["EN"] = ""; }; </v>
      </c>
      <c r="AL6" t="str">
        <f t="shared" si="30"/>
        <v/>
      </c>
      <c r="AM6" t="str">
        <f t="shared" si="31"/>
        <v>};</v>
      </c>
    </row>
    <row r="7" spans="1:39" x14ac:dyDescent="0.25">
      <c r="A7">
        <v>1879490682</v>
      </c>
      <c r="C7" t="s">
        <v>174</v>
      </c>
      <c r="I7" t="s">
        <v>79</v>
      </c>
      <c r="L7">
        <v>0</v>
      </c>
      <c r="O7" t="str">
        <f t="shared" si="9"/>
        <v/>
      </c>
      <c r="P7" t="str">
        <f t="shared" si="10"/>
        <v xml:space="preserve">  [6] = {["ID"] = 1879490682; }; -- All the Birds of the Shire</v>
      </c>
      <c r="Q7" s="1" t="e">
        <f t="shared" si="11"/>
        <v>#N/A</v>
      </c>
      <c r="R7">
        <f t="shared" si="12"/>
        <v>6</v>
      </c>
      <c r="S7" t="str">
        <f t="shared" si="13"/>
        <v xml:space="preserve">  [6] = {</v>
      </c>
      <c r="T7" t="str">
        <f t="shared" si="14"/>
        <v xml:space="preserve">["ID"] = 1879490682; </v>
      </c>
      <c r="U7" t="str">
        <f t="shared" si="15"/>
        <v xml:space="preserve">["ID"] = 1879490682; </v>
      </c>
      <c r="V7" t="str">
        <f t="shared" si="16"/>
        <v/>
      </c>
      <c r="W7" s="1" t="str">
        <f t="shared" si="17"/>
        <v/>
      </c>
      <c r="X7" t="e">
        <f>VLOOKUP(D7,Type!A$2:B$17,2,FALSE)</f>
        <v>#N/A</v>
      </c>
      <c r="Y7" t="e">
        <f t="shared" si="18"/>
        <v>#N/A</v>
      </c>
      <c r="Z7" t="str">
        <f t="shared" si="19"/>
        <v>0</v>
      </c>
      <c r="AA7" t="str">
        <f t="shared" si="20"/>
        <v xml:space="preserve">["VXP"] = 0; </v>
      </c>
      <c r="AB7" t="str">
        <f t="shared" si="21"/>
        <v>0</v>
      </c>
      <c r="AC7" t="str">
        <f t="shared" si="22"/>
        <v xml:space="preserve">["LP"] = 0; </v>
      </c>
      <c r="AD7" t="str">
        <f t="shared" si="23"/>
        <v>0</v>
      </c>
      <c r="AE7" t="str">
        <f t="shared" si="24"/>
        <v xml:space="preserve">["REP"] = 0; </v>
      </c>
      <c r="AF7">
        <f>VLOOKUP(I7,Faction!A$2:B$77,2,FALSE)</f>
        <v>1</v>
      </c>
      <c r="AG7" t="str">
        <f t="shared" si="25"/>
        <v xml:space="preserve">["FACTION"] = 1; </v>
      </c>
      <c r="AH7" t="str">
        <f t="shared" si="26"/>
        <v/>
      </c>
      <c r="AI7" t="str">
        <f t="shared" si="27"/>
        <v xml:space="preserve">["NAME"] = { ["EN"] = "All the Birds of the Shire"; }; </v>
      </c>
      <c r="AJ7" t="str">
        <f t="shared" si="28"/>
        <v xml:space="preserve">["LORE"] = { ["EN"] = ""; }; </v>
      </c>
      <c r="AK7" t="str">
        <f t="shared" si="29"/>
        <v xml:space="preserve">["SUMMARY"] = { ["EN"] = ""; }; </v>
      </c>
      <c r="AL7" t="str">
        <f t="shared" si="30"/>
        <v/>
      </c>
      <c r="AM7" t="str">
        <f t="shared" si="31"/>
        <v>};</v>
      </c>
    </row>
    <row r="8" spans="1:39" x14ac:dyDescent="0.25">
      <c r="A8">
        <v>1879490617</v>
      </c>
      <c r="C8" t="s">
        <v>177</v>
      </c>
      <c r="I8" t="s">
        <v>79</v>
      </c>
      <c r="L8">
        <v>1</v>
      </c>
      <c r="O8" t="str">
        <f t="shared" si="9"/>
        <v>[1879490617] = 1, // Birds of The Shire: Common and Uncommon</v>
      </c>
      <c r="P8" t="str">
        <f t="shared" si="10"/>
        <v xml:space="preserve">  [7] = {["ID"] = 1879490617; ["TIER"] = 1; }; -- Birds of The Shire: Common and Uncommon</v>
      </c>
      <c r="Q8" s="1" t="e">
        <f t="shared" si="11"/>
        <v>#N/A</v>
      </c>
      <c r="R8">
        <f t="shared" si="12"/>
        <v>7</v>
      </c>
      <c r="S8" t="str">
        <f t="shared" si="13"/>
        <v xml:space="preserve">  [7] = {</v>
      </c>
      <c r="T8" t="str">
        <f t="shared" si="14"/>
        <v xml:space="preserve">["ID"] = 1879490617; </v>
      </c>
      <c r="U8" t="str">
        <f t="shared" si="15"/>
        <v xml:space="preserve">["ID"] = 1879490617; </v>
      </c>
      <c r="V8" t="str">
        <f t="shared" si="16"/>
        <v/>
      </c>
      <c r="W8" s="1" t="str">
        <f t="shared" si="17"/>
        <v/>
      </c>
      <c r="X8" t="e">
        <f>VLOOKUP(D8,Type!A$2:B$17,2,FALSE)</f>
        <v>#N/A</v>
      </c>
      <c r="Y8" t="e">
        <f t="shared" si="18"/>
        <v>#N/A</v>
      </c>
      <c r="Z8" t="str">
        <f t="shared" si="19"/>
        <v>0</v>
      </c>
      <c r="AA8" t="str">
        <f t="shared" si="20"/>
        <v xml:space="preserve">["VXP"] = 0; </v>
      </c>
      <c r="AB8" t="str">
        <f t="shared" si="21"/>
        <v>0</v>
      </c>
      <c r="AC8" t="str">
        <f t="shared" si="22"/>
        <v xml:space="preserve">["LP"] = 0; </v>
      </c>
      <c r="AD8" t="str">
        <f t="shared" si="23"/>
        <v>0</v>
      </c>
      <c r="AE8" t="str">
        <f t="shared" si="24"/>
        <v xml:space="preserve">["REP"] = 0; </v>
      </c>
      <c r="AF8">
        <f>VLOOKUP(I8,Faction!A$2:B$77,2,FALSE)</f>
        <v>1</v>
      </c>
      <c r="AG8" t="str">
        <f t="shared" si="25"/>
        <v xml:space="preserve">["FACTION"] = 1; </v>
      </c>
      <c r="AH8" t="str">
        <f t="shared" si="26"/>
        <v xml:space="preserve">["TIER"] = 1; </v>
      </c>
      <c r="AI8" t="str">
        <f t="shared" si="27"/>
        <v xml:space="preserve">["NAME"] = { ["EN"] = "Birds of The Shire: Common and Uncommon"; }; </v>
      </c>
      <c r="AJ8" t="str">
        <f t="shared" si="28"/>
        <v xml:space="preserve">["LORE"] = { ["EN"] = ""; }; </v>
      </c>
      <c r="AK8" t="str">
        <f t="shared" si="29"/>
        <v xml:space="preserve">["SUMMARY"] = { ["EN"] = ""; }; </v>
      </c>
      <c r="AL8" t="str">
        <f t="shared" si="30"/>
        <v/>
      </c>
      <c r="AM8" t="str">
        <f t="shared" si="31"/>
        <v>};</v>
      </c>
    </row>
    <row r="9" spans="1:39" x14ac:dyDescent="0.25">
      <c r="A9">
        <v>1879490640</v>
      </c>
      <c r="C9" t="s">
        <v>176</v>
      </c>
      <c r="L9">
        <v>1</v>
      </c>
      <c r="O9" t="str">
        <f t="shared" si="9"/>
        <v>[1879490640] = 1, // Birds of The Shire: Rare</v>
      </c>
      <c r="P9" t="str">
        <f t="shared" si="10"/>
        <v xml:space="preserve">  [8] = {["ID"] = 1879490640; ["TIER"] = 1; }; -- Birds of The Shire: Rare</v>
      </c>
      <c r="Q9" s="1" t="e">
        <f t="shared" si="11"/>
        <v>#N/A</v>
      </c>
      <c r="R9">
        <f t="shared" si="12"/>
        <v>8</v>
      </c>
      <c r="S9" t="str">
        <f t="shared" si="13"/>
        <v xml:space="preserve">  [8] = {</v>
      </c>
      <c r="T9" t="str">
        <f t="shared" si="14"/>
        <v xml:space="preserve">["ID"] = 1879490640; </v>
      </c>
      <c r="U9" t="str">
        <f t="shared" si="15"/>
        <v xml:space="preserve">["ID"] = 1879490640; </v>
      </c>
      <c r="V9" t="str">
        <f t="shared" si="16"/>
        <v/>
      </c>
      <c r="W9" s="1" t="str">
        <f t="shared" si="17"/>
        <v/>
      </c>
      <c r="X9" t="e">
        <f>VLOOKUP(D9,Type!A$2:B$17,2,FALSE)</f>
        <v>#N/A</v>
      </c>
      <c r="Y9" t="e">
        <f t="shared" si="18"/>
        <v>#N/A</v>
      </c>
      <c r="Z9" t="str">
        <f t="shared" si="19"/>
        <v>0</v>
      </c>
      <c r="AA9" t="str">
        <f t="shared" si="20"/>
        <v xml:space="preserve">["VXP"] = 0; </v>
      </c>
      <c r="AB9" t="str">
        <f t="shared" si="21"/>
        <v>0</v>
      </c>
      <c r="AC9" t="str">
        <f t="shared" si="22"/>
        <v xml:space="preserve">["LP"] = 0; </v>
      </c>
      <c r="AD9" t="str">
        <f t="shared" si="23"/>
        <v>0</v>
      </c>
      <c r="AE9" t="str">
        <f t="shared" si="24"/>
        <v xml:space="preserve">["REP"] = 0; </v>
      </c>
      <c r="AF9" t="e">
        <f>VLOOKUP(I9,Faction!A$2:B$77,2,FALSE)</f>
        <v>#N/A</v>
      </c>
      <c r="AG9" t="e">
        <f t="shared" si="25"/>
        <v>#N/A</v>
      </c>
      <c r="AH9" t="str">
        <f t="shared" si="26"/>
        <v xml:space="preserve">["TIER"] = 1; </v>
      </c>
      <c r="AI9" t="str">
        <f t="shared" si="27"/>
        <v xml:space="preserve">["NAME"] = { ["EN"] = "Birds of The Shire: Rare"; }; </v>
      </c>
      <c r="AJ9" t="str">
        <f t="shared" si="28"/>
        <v xml:space="preserve">["LORE"] = { ["EN"] = ""; }; </v>
      </c>
      <c r="AK9" t="str">
        <f t="shared" si="29"/>
        <v xml:space="preserve">["SUMMARY"] = { ["EN"] = ""; }; </v>
      </c>
      <c r="AL9" t="str">
        <f t="shared" si="30"/>
        <v/>
      </c>
      <c r="AM9" t="str">
        <f t="shared" si="31"/>
        <v>};</v>
      </c>
    </row>
    <row r="10" spans="1:39" x14ac:dyDescent="0.25">
      <c r="A10">
        <v>1879490622</v>
      </c>
      <c r="C10" t="s">
        <v>175</v>
      </c>
      <c r="L10">
        <v>1</v>
      </c>
      <c r="O10" t="str">
        <f t="shared" si="9"/>
        <v>[1879490622] = 1, // The Rarest Bird in The Shire</v>
      </c>
      <c r="P10" t="str">
        <f t="shared" si="10"/>
        <v xml:space="preserve">  [9] = {["ID"] = 1879490622; ["TIER"] = 1; }; -- The Rarest Bird in The Shire</v>
      </c>
      <c r="Q10" s="1" t="e">
        <f t="shared" si="11"/>
        <v>#N/A</v>
      </c>
      <c r="R10">
        <f t="shared" si="12"/>
        <v>9</v>
      </c>
      <c r="S10" t="str">
        <f t="shared" si="13"/>
        <v xml:space="preserve">  [9] = {</v>
      </c>
      <c r="T10" t="str">
        <f t="shared" si="14"/>
        <v xml:space="preserve">["ID"] = 1879490622; </v>
      </c>
      <c r="U10" t="str">
        <f t="shared" si="15"/>
        <v xml:space="preserve">["ID"] = 1879490622; </v>
      </c>
      <c r="V10" t="str">
        <f t="shared" si="16"/>
        <v/>
      </c>
      <c r="W10" s="1" t="str">
        <f t="shared" si="17"/>
        <v/>
      </c>
      <c r="X10" t="e">
        <f>VLOOKUP(D10,Type!A$2:B$17,2,FALSE)</f>
        <v>#N/A</v>
      </c>
      <c r="Y10" t="e">
        <f t="shared" si="18"/>
        <v>#N/A</v>
      </c>
      <c r="Z10" t="str">
        <f t="shared" si="19"/>
        <v>0</v>
      </c>
      <c r="AA10" t="str">
        <f t="shared" si="20"/>
        <v xml:space="preserve">["VXP"] = 0; </v>
      </c>
      <c r="AB10" t="str">
        <f t="shared" si="21"/>
        <v>0</v>
      </c>
      <c r="AC10" t="str">
        <f t="shared" si="22"/>
        <v xml:space="preserve">["LP"] = 0; </v>
      </c>
      <c r="AD10" t="str">
        <f t="shared" si="23"/>
        <v>0</v>
      </c>
      <c r="AE10" t="str">
        <f t="shared" si="24"/>
        <v xml:space="preserve">["REP"] = 0; </v>
      </c>
      <c r="AF10" t="e">
        <f>VLOOKUP(I10,Faction!A$2:B$77,2,FALSE)</f>
        <v>#N/A</v>
      </c>
      <c r="AG10" t="e">
        <f t="shared" si="25"/>
        <v>#N/A</v>
      </c>
      <c r="AH10" t="str">
        <f t="shared" si="26"/>
        <v xml:space="preserve">["TIER"] = 1; </v>
      </c>
      <c r="AI10" t="str">
        <f t="shared" si="27"/>
        <v xml:space="preserve">["NAME"] = { ["EN"] = "The Rarest Bird in The Shire"; }; </v>
      </c>
      <c r="AJ10" t="str">
        <f t="shared" si="28"/>
        <v xml:space="preserve">["LORE"] = { ["EN"] = ""; }; </v>
      </c>
      <c r="AK10" t="str">
        <f t="shared" si="29"/>
        <v xml:space="preserve">["SUMMARY"] = { ["EN"] = ""; }; </v>
      </c>
      <c r="AL10" t="str">
        <f t="shared" si="30"/>
        <v/>
      </c>
      <c r="AM10" t="str">
        <f t="shared" si="31"/>
        <v>};</v>
      </c>
    </row>
    <row r="11" spans="1:39" x14ac:dyDescent="0.25">
      <c r="A11">
        <v>1879490671</v>
      </c>
      <c r="C11" t="s">
        <v>178</v>
      </c>
      <c r="L11">
        <v>0</v>
      </c>
      <c r="O11" t="str">
        <f t="shared" si="9"/>
        <v/>
      </c>
      <c r="P11" t="str">
        <f t="shared" si="10"/>
        <v xml:space="preserve"> [10] = {["ID"] = 1879490671; }; -- All the Birds of Ered Luin</v>
      </c>
      <c r="Q11" s="1" t="e">
        <f t="shared" si="11"/>
        <v>#N/A</v>
      </c>
      <c r="R11">
        <f t="shared" si="12"/>
        <v>10</v>
      </c>
      <c r="S11" t="str">
        <f t="shared" si="13"/>
        <v xml:space="preserve"> [10] = {</v>
      </c>
      <c r="T11" t="str">
        <f t="shared" si="14"/>
        <v xml:space="preserve">["ID"] = 1879490671; </v>
      </c>
      <c r="U11" t="str">
        <f t="shared" si="15"/>
        <v xml:space="preserve">["ID"] = 1879490671; </v>
      </c>
      <c r="V11" t="str">
        <f t="shared" si="16"/>
        <v/>
      </c>
      <c r="W11" s="1" t="str">
        <f t="shared" si="17"/>
        <v/>
      </c>
      <c r="X11" t="e">
        <f>VLOOKUP(D11,Type!A$2:B$17,2,FALSE)</f>
        <v>#N/A</v>
      </c>
      <c r="Y11" t="e">
        <f t="shared" si="18"/>
        <v>#N/A</v>
      </c>
      <c r="Z11" t="str">
        <f t="shared" si="19"/>
        <v>0</v>
      </c>
      <c r="AA11" t="str">
        <f t="shared" si="20"/>
        <v xml:space="preserve">["VXP"] = 0; </v>
      </c>
      <c r="AB11" t="str">
        <f t="shared" si="21"/>
        <v>0</v>
      </c>
      <c r="AC11" t="str">
        <f t="shared" si="22"/>
        <v xml:space="preserve">["LP"] = 0; </v>
      </c>
      <c r="AD11" t="str">
        <f t="shared" si="23"/>
        <v>0</v>
      </c>
      <c r="AE11" t="str">
        <f t="shared" si="24"/>
        <v xml:space="preserve">["REP"] = 0; </v>
      </c>
      <c r="AF11" t="e">
        <f>VLOOKUP(I11,Faction!A$2:B$77,2,FALSE)</f>
        <v>#N/A</v>
      </c>
      <c r="AG11" t="e">
        <f t="shared" si="25"/>
        <v>#N/A</v>
      </c>
      <c r="AH11" t="str">
        <f t="shared" si="26"/>
        <v/>
      </c>
      <c r="AI11" t="str">
        <f t="shared" si="27"/>
        <v xml:space="preserve">["NAME"] = { ["EN"] = "All the Birds of Ered Luin"; }; </v>
      </c>
      <c r="AJ11" t="str">
        <f t="shared" si="28"/>
        <v xml:space="preserve">["LORE"] = { ["EN"] = ""; }; </v>
      </c>
      <c r="AK11" t="str">
        <f t="shared" si="29"/>
        <v xml:space="preserve">["SUMMARY"] = { ["EN"] = ""; }; </v>
      </c>
      <c r="AL11" t="str">
        <f t="shared" si="30"/>
        <v/>
      </c>
      <c r="AM11" t="str">
        <f t="shared" si="31"/>
        <v>};</v>
      </c>
    </row>
    <row r="12" spans="1:39" x14ac:dyDescent="0.25">
      <c r="A12">
        <v>1879490651</v>
      </c>
      <c r="C12" t="s">
        <v>181</v>
      </c>
      <c r="L12">
        <v>1</v>
      </c>
      <c r="O12" t="str">
        <f t="shared" si="9"/>
        <v>[1879490651] = 1, // Birds of Ered Luin: Common and Uncommon</v>
      </c>
      <c r="P12" t="str">
        <f t="shared" si="10"/>
        <v xml:space="preserve"> [11] = {["ID"] = 1879490651; ["TIER"] = 1; }; -- Birds of Ered Luin: Common and Uncommon</v>
      </c>
      <c r="Q12" s="1" t="e">
        <f t="shared" si="11"/>
        <v>#N/A</v>
      </c>
      <c r="R12">
        <f t="shared" si="12"/>
        <v>11</v>
      </c>
      <c r="S12" t="str">
        <f t="shared" si="13"/>
        <v xml:space="preserve"> [11] = {</v>
      </c>
      <c r="T12" t="str">
        <f t="shared" si="14"/>
        <v xml:space="preserve">["ID"] = 1879490651; </v>
      </c>
      <c r="U12" t="str">
        <f t="shared" si="15"/>
        <v xml:space="preserve">["ID"] = 1879490651; </v>
      </c>
      <c r="V12" t="str">
        <f t="shared" si="16"/>
        <v/>
      </c>
      <c r="W12" s="1" t="str">
        <f t="shared" si="17"/>
        <v/>
      </c>
      <c r="X12" t="e">
        <f>VLOOKUP(D12,Type!A$2:B$17,2,FALSE)</f>
        <v>#N/A</v>
      </c>
      <c r="Y12" t="e">
        <f t="shared" si="18"/>
        <v>#N/A</v>
      </c>
      <c r="Z12" t="str">
        <f t="shared" si="19"/>
        <v>0</v>
      </c>
      <c r="AA12" t="str">
        <f t="shared" si="20"/>
        <v xml:space="preserve">["VXP"] = 0; </v>
      </c>
      <c r="AB12" t="str">
        <f t="shared" si="21"/>
        <v>0</v>
      </c>
      <c r="AC12" t="str">
        <f t="shared" si="22"/>
        <v xml:space="preserve">["LP"] = 0; </v>
      </c>
      <c r="AD12" t="str">
        <f t="shared" si="23"/>
        <v>0</v>
      </c>
      <c r="AE12" t="str">
        <f t="shared" si="24"/>
        <v xml:space="preserve">["REP"] = 0; </v>
      </c>
      <c r="AF12" t="e">
        <f>VLOOKUP(I12,Faction!A$2:B$77,2,FALSE)</f>
        <v>#N/A</v>
      </c>
      <c r="AG12" t="e">
        <f t="shared" si="25"/>
        <v>#N/A</v>
      </c>
      <c r="AH12" t="str">
        <f t="shared" si="26"/>
        <v xml:space="preserve">["TIER"] = 1; </v>
      </c>
      <c r="AI12" t="str">
        <f t="shared" si="27"/>
        <v xml:space="preserve">["NAME"] = { ["EN"] = "Birds of Ered Luin: Common and Uncommon"; }; </v>
      </c>
      <c r="AJ12" t="str">
        <f t="shared" si="28"/>
        <v xml:space="preserve">["LORE"] = { ["EN"] = ""; }; </v>
      </c>
      <c r="AK12" t="str">
        <f t="shared" si="29"/>
        <v xml:space="preserve">["SUMMARY"] = { ["EN"] = ""; }; </v>
      </c>
      <c r="AL12" t="str">
        <f t="shared" si="30"/>
        <v/>
      </c>
      <c r="AM12" t="str">
        <f t="shared" si="31"/>
        <v>};</v>
      </c>
    </row>
    <row r="13" spans="1:39" x14ac:dyDescent="0.25">
      <c r="A13">
        <v>1879490635</v>
      </c>
      <c r="C13" t="s">
        <v>180</v>
      </c>
      <c r="L13">
        <v>1</v>
      </c>
      <c r="O13" t="str">
        <f t="shared" si="9"/>
        <v>[1879490635] = 1, // Birds of Ered Luin: Rare</v>
      </c>
      <c r="P13" t="str">
        <f t="shared" si="10"/>
        <v xml:space="preserve"> [12] = {["ID"] = 1879490635; ["TIER"] = 1; }; -- Birds of Ered Luin: Rare</v>
      </c>
      <c r="Q13" s="1" t="e">
        <f t="shared" si="11"/>
        <v>#N/A</v>
      </c>
      <c r="R13">
        <f t="shared" si="12"/>
        <v>12</v>
      </c>
      <c r="S13" t="str">
        <f t="shared" si="13"/>
        <v xml:space="preserve"> [12] = {</v>
      </c>
      <c r="T13" t="str">
        <f t="shared" si="14"/>
        <v xml:space="preserve">["ID"] = 1879490635; </v>
      </c>
      <c r="U13" t="str">
        <f t="shared" si="15"/>
        <v xml:space="preserve">["ID"] = 1879490635; </v>
      </c>
      <c r="V13" t="str">
        <f t="shared" si="16"/>
        <v/>
      </c>
      <c r="W13" s="1" t="str">
        <f t="shared" si="17"/>
        <v/>
      </c>
      <c r="X13" t="e">
        <f>VLOOKUP(D13,Type!A$2:B$17,2,FALSE)</f>
        <v>#N/A</v>
      </c>
      <c r="Y13" t="e">
        <f t="shared" si="18"/>
        <v>#N/A</v>
      </c>
      <c r="Z13" t="str">
        <f t="shared" si="19"/>
        <v>0</v>
      </c>
      <c r="AA13" t="str">
        <f t="shared" si="20"/>
        <v xml:space="preserve">["VXP"] = 0; </v>
      </c>
      <c r="AB13" t="str">
        <f t="shared" si="21"/>
        <v>0</v>
      </c>
      <c r="AC13" t="str">
        <f t="shared" si="22"/>
        <v xml:space="preserve">["LP"] = 0; </v>
      </c>
      <c r="AD13" t="str">
        <f t="shared" si="23"/>
        <v>0</v>
      </c>
      <c r="AE13" t="str">
        <f t="shared" si="24"/>
        <v xml:space="preserve">["REP"] = 0; </v>
      </c>
      <c r="AF13" t="e">
        <f>VLOOKUP(I13,Faction!A$2:B$77,2,FALSE)</f>
        <v>#N/A</v>
      </c>
      <c r="AG13" t="e">
        <f t="shared" si="25"/>
        <v>#N/A</v>
      </c>
      <c r="AH13" t="str">
        <f t="shared" si="26"/>
        <v xml:space="preserve">["TIER"] = 1; </v>
      </c>
      <c r="AI13" t="str">
        <f t="shared" si="27"/>
        <v xml:space="preserve">["NAME"] = { ["EN"] = "Birds of Ered Luin: Rare"; }; </v>
      </c>
      <c r="AJ13" t="str">
        <f t="shared" si="28"/>
        <v xml:space="preserve">["LORE"] = { ["EN"] = ""; }; </v>
      </c>
      <c r="AK13" t="str">
        <f t="shared" si="29"/>
        <v xml:space="preserve">["SUMMARY"] = { ["EN"] = ""; }; </v>
      </c>
      <c r="AL13" t="str">
        <f t="shared" si="30"/>
        <v/>
      </c>
      <c r="AM13" t="str">
        <f t="shared" si="31"/>
        <v>};</v>
      </c>
    </row>
    <row r="14" spans="1:39" x14ac:dyDescent="0.25">
      <c r="A14">
        <v>1879490633</v>
      </c>
      <c r="C14" t="s">
        <v>179</v>
      </c>
      <c r="L14">
        <v>1</v>
      </c>
      <c r="O14" t="str">
        <f t="shared" si="9"/>
        <v>[1879490633] = 1, // The Rarest Bird in Ered Luin</v>
      </c>
      <c r="P14" t="str">
        <f t="shared" si="10"/>
        <v xml:space="preserve"> [13] = {["ID"] = 1879490633; ["TIER"] = 1; }; -- The Rarest Bird in Ered Luin</v>
      </c>
      <c r="Q14" s="1" t="e">
        <f t="shared" si="11"/>
        <v>#N/A</v>
      </c>
      <c r="R14">
        <f t="shared" si="12"/>
        <v>13</v>
      </c>
      <c r="S14" t="str">
        <f t="shared" si="13"/>
        <v xml:space="preserve"> [13] = {</v>
      </c>
      <c r="T14" t="str">
        <f t="shared" si="14"/>
        <v xml:space="preserve">["ID"] = 1879490633; </v>
      </c>
      <c r="U14" t="str">
        <f t="shared" si="15"/>
        <v xml:space="preserve">["ID"] = 1879490633; </v>
      </c>
      <c r="V14" t="str">
        <f t="shared" si="16"/>
        <v/>
      </c>
      <c r="W14" s="1" t="str">
        <f t="shared" si="17"/>
        <v/>
      </c>
      <c r="X14" t="e">
        <f>VLOOKUP(D14,Type!A$2:B$17,2,FALSE)</f>
        <v>#N/A</v>
      </c>
      <c r="Y14" t="e">
        <f t="shared" si="18"/>
        <v>#N/A</v>
      </c>
      <c r="Z14" t="str">
        <f t="shared" si="19"/>
        <v>0</v>
      </c>
      <c r="AA14" t="str">
        <f t="shared" si="20"/>
        <v xml:space="preserve">["VXP"] = 0; </v>
      </c>
      <c r="AB14" t="str">
        <f t="shared" si="21"/>
        <v>0</v>
      </c>
      <c r="AC14" t="str">
        <f t="shared" si="22"/>
        <v xml:space="preserve">["LP"] = 0; </v>
      </c>
      <c r="AD14" t="str">
        <f t="shared" si="23"/>
        <v>0</v>
      </c>
      <c r="AE14" t="str">
        <f t="shared" si="24"/>
        <v xml:space="preserve">["REP"] = 0; </v>
      </c>
      <c r="AF14" t="e">
        <f>VLOOKUP(I14,Faction!A$2:B$77,2,FALSE)</f>
        <v>#N/A</v>
      </c>
      <c r="AG14" t="e">
        <f t="shared" si="25"/>
        <v>#N/A</v>
      </c>
      <c r="AH14" t="str">
        <f t="shared" si="26"/>
        <v xml:space="preserve">["TIER"] = 1; </v>
      </c>
      <c r="AI14" t="str">
        <f t="shared" si="27"/>
        <v xml:space="preserve">["NAME"] = { ["EN"] = "The Rarest Bird in Ered Luin"; }; </v>
      </c>
      <c r="AJ14" t="str">
        <f t="shared" si="28"/>
        <v xml:space="preserve">["LORE"] = { ["EN"] = ""; }; </v>
      </c>
      <c r="AK14" t="str">
        <f t="shared" si="29"/>
        <v xml:space="preserve">["SUMMARY"] = { ["EN"] = ""; }; </v>
      </c>
      <c r="AL14" t="str">
        <f t="shared" si="30"/>
        <v/>
      </c>
      <c r="AM14" t="str">
        <f t="shared" si="31"/>
        <v>};</v>
      </c>
    </row>
    <row r="15" spans="1:39" x14ac:dyDescent="0.25">
      <c r="A15">
        <v>1879490668</v>
      </c>
      <c r="C15" t="s">
        <v>182</v>
      </c>
      <c r="L15">
        <v>0</v>
      </c>
      <c r="O15" t="str">
        <f t="shared" si="9"/>
        <v/>
      </c>
      <c r="P15" t="str">
        <f t="shared" si="10"/>
        <v xml:space="preserve"> [14] = {["ID"] = 1879490668; }; -- All the Birds of Swanfleet</v>
      </c>
      <c r="Q15" s="1" t="e">
        <f t="shared" si="11"/>
        <v>#N/A</v>
      </c>
      <c r="R15">
        <f t="shared" si="12"/>
        <v>14</v>
      </c>
      <c r="S15" t="str">
        <f t="shared" si="13"/>
        <v xml:space="preserve"> [14] = {</v>
      </c>
      <c r="T15" t="str">
        <f t="shared" si="14"/>
        <v xml:space="preserve">["ID"] = 1879490668; </v>
      </c>
      <c r="U15" t="str">
        <f t="shared" si="15"/>
        <v xml:space="preserve">["ID"] = 1879490668; </v>
      </c>
      <c r="V15" t="str">
        <f t="shared" si="16"/>
        <v/>
      </c>
      <c r="W15" s="1" t="str">
        <f t="shared" si="17"/>
        <v/>
      </c>
      <c r="X15" t="e">
        <f>VLOOKUP(D15,Type!A$2:B$17,2,FALSE)</f>
        <v>#N/A</v>
      </c>
      <c r="Y15" t="e">
        <f t="shared" si="18"/>
        <v>#N/A</v>
      </c>
      <c r="Z15" t="str">
        <f t="shared" si="19"/>
        <v>0</v>
      </c>
      <c r="AA15" t="str">
        <f t="shared" si="20"/>
        <v xml:space="preserve">["VXP"] = 0; </v>
      </c>
      <c r="AB15" t="str">
        <f t="shared" si="21"/>
        <v>0</v>
      </c>
      <c r="AC15" t="str">
        <f t="shared" si="22"/>
        <v xml:space="preserve">["LP"] = 0; </v>
      </c>
      <c r="AD15" t="str">
        <f t="shared" si="23"/>
        <v>0</v>
      </c>
      <c r="AE15" t="str">
        <f t="shared" si="24"/>
        <v xml:space="preserve">["REP"] = 0; </v>
      </c>
      <c r="AF15" t="e">
        <f>VLOOKUP(I15,Faction!A$2:B$77,2,FALSE)</f>
        <v>#N/A</v>
      </c>
      <c r="AG15" t="e">
        <f t="shared" si="25"/>
        <v>#N/A</v>
      </c>
      <c r="AH15" t="str">
        <f t="shared" si="26"/>
        <v/>
      </c>
      <c r="AI15" t="str">
        <f t="shared" si="27"/>
        <v xml:space="preserve">["NAME"] = { ["EN"] = "All the Birds of Swanfleet"; }; </v>
      </c>
      <c r="AJ15" t="str">
        <f t="shared" si="28"/>
        <v xml:space="preserve">["LORE"] = { ["EN"] = ""; }; </v>
      </c>
      <c r="AK15" t="str">
        <f t="shared" si="29"/>
        <v xml:space="preserve">["SUMMARY"] = { ["EN"] = ""; }; </v>
      </c>
      <c r="AL15" t="str">
        <f t="shared" si="30"/>
        <v/>
      </c>
      <c r="AM15" t="str">
        <f t="shared" si="31"/>
        <v>};</v>
      </c>
    </row>
    <row r="16" spans="1:39" x14ac:dyDescent="0.25">
      <c r="A16">
        <v>1879490642</v>
      </c>
      <c r="C16" t="s">
        <v>183</v>
      </c>
      <c r="L16">
        <v>1</v>
      </c>
      <c r="O16" t="str">
        <f t="shared" si="9"/>
        <v>[1879490642] = 1, // Birds of Swanfleet: Common and Uncommon</v>
      </c>
      <c r="P16" t="str">
        <f t="shared" si="10"/>
        <v xml:space="preserve"> [15] = {["ID"] = 1879490642; ["TIER"] = 1; }; -- Birds of Swanfleet: Common and Uncommon</v>
      </c>
      <c r="Q16" s="1" t="e">
        <f t="shared" si="11"/>
        <v>#N/A</v>
      </c>
      <c r="R16">
        <f t="shared" si="12"/>
        <v>15</v>
      </c>
      <c r="S16" t="str">
        <f t="shared" si="13"/>
        <v xml:space="preserve"> [15] = {</v>
      </c>
      <c r="T16" t="str">
        <f t="shared" si="14"/>
        <v xml:space="preserve">["ID"] = 1879490642; </v>
      </c>
      <c r="U16" t="str">
        <f t="shared" si="15"/>
        <v xml:space="preserve">["ID"] = 1879490642; </v>
      </c>
      <c r="V16" t="str">
        <f t="shared" si="16"/>
        <v/>
      </c>
      <c r="W16" s="1" t="str">
        <f t="shared" si="17"/>
        <v/>
      </c>
      <c r="X16" t="e">
        <f>VLOOKUP(D16,Type!A$2:B$17,2,FALSE)</f>
        <v>#N/A</v>
      </c>
      <c r="Y16" t="e">
        <f t="shared" si="18"/>
        <v>#N/A</v>
      </c>
      <c r="Z16" t="str">
        <f t="shared" si="19"/>
        <v>0</v>
      </c>
      <c r="AA16" t="str">
        <f t="shared" si="20"/>
        <v xml:space="preserve">["VXP"] = 0; </v>
      </c>
      <c r="AB16" t="str">
        <f t="shared" si="21"/>
        <v>0</v>
      </c>
      <c r="AC16" t="str">
        <f t="shared" si="22"/>
        <v xml:space="preserve">["LP"] = 0; </v>
      </c>
      <c r="AD16" t="str">
        <f t="shared" si="23"/>
        <v>0</v>
      </c>
      <c r="AE16" t="str">
        <f t="shared" si="24"/>
        <v xml:space="preserve">["REP"] = 0; </v>
      </c>
      <c r="AF16" t="e">
        <f>VLOOKUP(I16,Faction!A$2:B$77,2,FALSE)</f>
        <v>#N/A</v>
      </c>
      <c r="AG16" t="e">
        <f t="shared" si="25"/>
        <v>#N/A</v>
      </c>
      <c r="AH16" t="str">
        <f t="shared" si="26"/>
        <v xml:space="preserve">["TIER"] = 1; </v>
      </c>
      <c r="AI16" t="str">
        <f t="shared" si="27"/>
        <v xml:space="preserve">["NAME"] = { ["EN"] = "Birds of Swanfleet: Common and Uncommon"; }; </v>
      </c>
      <c r="AJ16" t="str">
        <f t="shared" si="28"/>
        <v xml:space="preserve">["LORE"] = { ["EN"] = ""; }; </v>
      </c>
      <c r="AK16" t="str">
        <f t="shared" si="29"/>
        <v xml:space="preserve">["SUMMARY"] = { ["EN"] = ""; }; </v>
      </c>
      <c r="AL16" t="str">
        <f t="shared" si="30"/>
        <v/>
      </c>
      <c r="AM16" t="str">
        <f t="shared" si="31"/>
        <v>};</v>
      </c>
    </row>
    <row r="17" spans="1:39" x14ac:dyDescent="0.25">
      <c r="A17">
        <v>1879490641</v>
      </c>
      <c r="C17" t="s">
        <v>184</v>
      </c>
      <c r="L17">
        <v>1</v>
      </c>
      <c r="O17" t="str">
        <f t="shared" si="9"/>
        <v>[1879490641] = 1, // Birds of Swanfleet: Rare</v>
      </c>
      <c r="P17" t="str">
        <f t="shared" si="10"/>
        <v xml:space="preserve"> [16] = {["ID"] = 1879490641; ["TIER"] = 1; }; -- Birds of Swanfleet: Rare</v>
      </c>
      <c r="Q17" s="1" t="e">
        <f t="shared" si="11"/>
        <v>#N/A</v>
      </c>
      <c r="R17">
        <f t="shared" si="12"/>
        <v>16</v>
      </c>
      <c r="S17" t="str">
        <f t="shared" si="13"/>
        <v xml:space="preserve"> [16] = {</v>
      </c>
      <c r="T17" t="str">
        <f t="shared" si="14"/>
        <v xml:space="preserve">["ID"] = 1879490641; </v>
      </c>
      <c r="U17" t="str">
        <f t="shared" si="15"/>
        <v xml:space="preserve">["ID"] = 1879490641; </v>
      </c>
      <c r="V17" t="str">
        <f t="shared" si="16"/>
        <v/>
      </c>
      <c r="W17" s="1" t="str">
        <f t="shared" si="17"/>
        <v/>
      </c>
      <c r="X17" t="e">
        <f>VLOOKUP(D17,Type!A$2:B$17,2,FALSE)</f>
        <v>#N/A</v>
      </c>
      <c r="Y17" t="e">
        <f t="shared" si="18"/>
        <v>#N/A</v>
      </c>
      <c r="Z17" t="str">
        <f t="shared" si="19"/>
        <v>0</v>
      </c>
      <c r="AA17" t="str">
        <f t="shared" si="20"/>
        <v xml:space="preserve">["VXP"] = 0; </v>
      </c>
      <c r="AB17" t="str">
        <f t="shared" si="21"/>
        <v>0</v>
      </c>
      <c r="AC17" t="str">
        <f t="shared" si="22"/>
        <v xml:space="preserve">["LP"] = 0; </v>
      </c>
      <c r="AD17" t="str">
        <f t="shared" si="23"/>
        <v>0</v>
      </c>
      <c r="AE17" t="str">
        <f t="shared" si="24"/>
        <v xml:space="preserve">["REP"] = 0; </v>
      </c>
      <c r="AF17" t="e">
        <f>VLOOKUP(I17,Faction!A$2:B$77,2,FALSE)</f>
        <v>#N/A</v>
      </c>
      <c r="AG17" t="e">
        <f t="shared" si="25"/>
        <v>#N/A</v>
      </c>
      <c r="AH17" t="str">
        <f t="shared" si="26"/>
        <v xml:space="preserve">["TIER"] = 1; </v>
      </c>
      <c r="AI17" t="str">
        <f t="shared" si="27"/>
        <v xml:space="preserve">["NAME"] = { ["EN"] = "Birds of Swanfleet: Rare"; }; </v>
      </c>
      <c r="AJ17" t="str">
        <f t="shared" si="28"/>
        <v xml:space="preserve">["LORE"] = { ["EN"] = ""; }; </v>
      </c>
      <c r="AK17" t="str">
        <f t="shared" si="29"/>
        <v xml:space="preserve">["SUMMARY"] = { ["EN"] = ""; }; </v>
      </c>
      <c r="AL17" t="str">
        <f t="shared" si="30"/>
        <v/>
      </c>
      <c r="AM17" t="str">
        <f t="shared" si="31"/>
        <v>};</v>
      </c>
    </row>
    <row r="18" spans="1:39" x14ac:dyDescent="0.25">
      <c r="A18">
        <v>1879490645</v>
      </c>
      <c r="C18" t="s">
        <v>185</v>
      </c>
      <c r="L18">
        <v>1</v>
      </c>
      <c r="O18" t="str">
        <f t="shared" si="9"/>
        <v>[1879490645] = 1, // The Rarest Bird in Swanfleet</v>
      </c>
      <c r="P18" t="str">
        <f t="shared" si="10"/>
        <v xml:space="preserve"> [17] = {["ID"] = 1879490645; ["TIER"] = 1; }; -- The Rarest Bird in Swanfleet</v>
      </c>
      <c r="Q18" s="1" t="e">
        <f t="shared" si="11"/>
        <v>#N/A</v>
      </c>
      <c r="R18">
        <f t="shared" si="12"/>
        <v>17</v>
      </c>
      <c r="S18" t="str">
        <f t="shared" si="13"/>
        <v xml:space="preserve"> [17] = {</v>
      </c>
      <c r="T18" t="str">
        <f t="shared" si="14"/>
        <v xml:space="preserve">["ID"] = 1879490645; </v>
      </c>
      <c r="U18" t="str">
        <f t="shared" si="15"/>
        <v xml:space="preserve">["ID"] = 1879490645; </v>
      </c>
      <c r="V18" t="str">
        <f t="shared" si="16"/>
        <v/>
      </c>
      <c r="W18" s="1" t="str">
        <f t="shared" si="17"/>
        <v/>
      </c>
      <c r="X18" t="e">
        <f>VLOOKUP(D18,Type!A$2:B$17,2,FALSE)</f>
        <v>#N/A</v>
      </c>
      <c r="Y18" t="e">
        <f t="shared" si="18"/>
        <v>#N/A</v>
      </c>
      <c r="Z18" t="str">
        <f t="shared" si="19"/>
        <v>0</v>
      </c>
      <c r="AA18" t="str">
        <f t="shared" si="20"/>
        <v xml:space="preserve">["VXP"] = 0; </v>
      </c>
      <c r="AB18" t="str">
        <f t="shared" si="21"/>
        <v>0</v>
      </c>
      <c r="AC18" t="str">
        <f t="shared" si="22"/>
        <v xml:space="preserve">["LP"] = 0; </v>
      </c>
      <c r="AD18" t="str">
        <f t="shared" si="23"/>
        <v>0</v>
      </c>
      <c r="AE18" t="str">
        <f t="shared" si="24"/>
        <v xml:space="preserve">["REP"] = 0; </v>
      </c>
      <c r="AF18" t="e">
        <f>VLOOKUP(I18,Faction!A$2:B$77,2,FALSE)</f>
        <v>#N/A</v>
      </c>
      <c r="AG18" t="e">
        <f t="shared" si="25"/>
        <v>#N/A</v>
      </c>
      <c r="AH18" t="str">
        <f t="shared" si="26"/>
        <v xml:space="preserve">["TIER"] = 1; </v>
      </c>
      <c r="AI18" t="str">
        <f t="shared" si="27"/>
        <v xml:space="preserve">["NAME"] = { ["EN"] = "The Rarest Bird in Swanfleet"; }; </v>
      </c>
      <c r="AJ18" t="str">
        <f t="shared" si="28"/>
        <v xml:space="preserve">["LORE"] = { ["EN"] = ""; }; </v>
      </c>
      <c r="AK18" t="str">
        <f t="shared" si="29"/>
        <v xml:space="preserve">["SUMMARY"] = { ["EN"] = ""; }; </v>
      </c>
      <c r="AL18" t="str">
        <f t="shared" si="30"/>
        <v/>
      </c>
      <c r="AM18" t="str">
        <f t="shared" si="31"/>
        <v>};</v>
      </c>
    </row>
    <row r="19" spans="1:39" x14ac:dyDescent="0.25">
      <c r="A19">
        <v>1879490670</v>
      </c>
      <c r="C19" t="s">
        <v>226</v>
      </c>
      <c r="L19">
        <v>0</v>
      </c>
      <c r="O19" t="str">
        <f t="shared" si="9"/>
        <v/>
      </c>
      <c r="P19" t="str">
        <f t="shared" si="10"/>
        <v xml:space="preserve"> [18] = {["ID"] = 1879490670; }; -- All the Birds of Cardolan</v>
      </c>
      <c r="Q19" s="1" t="e">
        <f t="shared" si="11"/>
        <v>#N/A</v>
      </c>
      <c r="R19">
        <f t="shared" si="12"/>
        <v>18</v>
      </c>
      <c r="S19" t="str">
        <f t="shared" si="13"/>
        <v xml:space="preserve"> [18] = {</v>
      </c>
      <c r="T19" t="str">
        <f t="shared" si="14"/>
        <v xml:space="preserve">["ID"] = 1879490670; </v>
      </c>
      <c r="U19" t="str">
        <f t="shared" si="15"/>
        <v xml:space="preserve">["ID"] = 1879490670; </v>
      </c>
      <c r="V19" t="str">
        <f t="shared" si="16"/>
        <v/>
      </c>
      <c r="W19" s="1" t="str">
        <f t="shared" si="17"/>
        <v/>
      </c>
      <c r="X19" t="e">
        <f>VLOOKUP(D19,Type!A$2:B$17,2,FALSE)</f>
        <v>#N/A</v>
      </c>
      <c r="Y19" t="e">
        <f t="shared" si="18"/>
        <v>#N/A</v>
      </c>
      <c r="Z19" t="str">
        <f t="shared" si="19"/>
        <v>0</v>
      </c>
      <c r="AA19" t="str">
        <f t="shared" si="20"/>
        <v xml:space="preserve">["VXP"] = 0; </v>
      </c>
      <c r="AB19" t="str">
        <f t="shared" si="21"/>
        <v>0</v>
      </c>
      <c r="AC19" t="str">
        <f t="shared" si="22"/>
        <v xml:space="preserve">["LP"] = 0; </v>
      </c>
      <c r="AD19" t="str">
        <f t="shared" si="23"/>
        <v>0</v>
      </c>
      <c r="AE19" t="str">
        <f t="shared" si="24"/>
        <v xml:space="preserve">["REP"] = 0; </v>
      </c>
      <c r="AF19" t="e">
        <f>VLOOKUP(I19,Faction!A$2:B$77,2,FALSE)</f>
        <v>#N/A</v>
      </c>
      <c r="AG19" t="e">
        <f t="shared" si="25"/>
        <v>#N/A</v>
      </c>
      <c r="AH19" t="str">
        <f t="shared" si="26"/>
        <v/>
      </c>
      <c r="AI19" t="str">
        <f t="shared" si="27"/>
        <v xml:space="preserve">["NAME"] = { ["EN"] = "All the Birds of Cardolan"; }; </v>
      </c>
      <c r="AJ19" t="str">
        <f t="shared" si="28"/>
        <v xml:space="preserve">["LORE"] = { ["EN"] = ""; }; </v>
      </c>
      <c r="AK19" t="str">
        <f t="shared" si="29"/>
        <v xml:space="preserve">["SUMMARY"] = { ["EN"] = ""; }; </v>
      </c>
      <c r="AL19" t="str">
        <f t="shared" si="30"/>
        <v/>
      </c>
      <c r="AM19" t="str">
        <f t="shared" si="31"/>
        <v>};</v>
      </c>
    </row>
    <row r="20" spans="1:39" x14ac:dyDescent="0.25">
      <c r="A20">
        <v>1879490621</v>
      </c>
      <c r="C20" t="s">
        <v>227</v>
      </c>
      <c r="L20">
        <v>1</v>
      </c>
      <c r="O20" t="str">
        <f t="shared" si="9"/>
        <v>[1879490621] = 1, // Birds of Cardolan: Common and Uncommon</v>
      </c>
      <c r="P20" t="str">
        <f t="shared" si="10"/>
        <v xml:space="preserve"> [19] = {["ID"] = 1879490621; ["TIER"] = 1; }; -- Birds of Cardolan: Common and Uncommon</v>
      </c>
      <c r="Q20" s="1" t="e">
        <f t="shared" si="11"/>
        <v>#N/A</v>
      </c>
      <c r="R20">
        <f t="shared" si="12"/>
        <v>19</v>
      </c>
      <c r="S20" t="str">
        <f t="shared" si="13"/>
        <v xml:space="preserve"> [19] = {</v>
      </c>
      <c r="T20" t="str">
        <f t="shared" si="14"/>
        <v xml:space="preserve">["ID"] = 1879490621; </v>
      </c>
      <c r="U20" t="str">
        <f t="shared" si="15"/>
        <v xml:space="preserve">["ID"] = 1879490621; </v>
      </c>
      <c r="V20" t="str">
        <f t="shared" si="16"/>
        <v/>
      </c>
      <c r="W20" s="1" t="str">
        <f t="shared" si="17"/>
        <v/>
      </c>
      <c r="X20" t="e">
        <f>VLOOKUP(D20,Type!A$2:B$17,2,FALSE)</f>
        <v>#N/A</v>
      </c>
      <c r="Y20" t="e">
        <f t="shared" si="18"/>
        <v>#N/A</v>
      </c>
      <c r="Z20" t="str">
        <f t="shared" si="19"/>
        <v>0</v>
      </c>
      <c r="AA20" t="str">
        <f t="shared" si="20"/>
        <v xml:space="preserve">["VXP"] = 0; </v>
      </c>
      <c r="AB20" t="str">
        <f t="shared" si="21"/>
        <v>0</v>
      </c>
      <c r="AC20" t="str">
        <f t="shared" si="22"/>
        <v xml:space="preserve">["LP"] = 0; </v>
      </c>
      <c r="AD20" t="str">
        <f t="shared" si="23"/>
        <v>0</v>
      </c>
      <c r="AE20" t="str">
        <f t="shared" si="24"/>
        <v xml:space="preserve">["REP"] = 0; </v>
      </c>
      <c r="AF20" t="e">
        <f>VLOOKUP(I20,Faction!A$2:B$77,2,FALSE)</f>
        <v>#N/A</v>
      </c>
      <c r="AG20" t="e">
        <f t="shared" si="25"/>
        <v>#N/A</v>
      </c>
      <c r="AH20" t="str">
        <f t="shared" si="26"/>
        <v xml:space="preserve">["TIER"] = 1; </v>
      </c>
      <c r="AI20" t="str">
        <f t="shared" si="27"/>
        <v xml:space="preserve">["NAME"] = { ["EN"] = "Birds of Cardolan: Common and Uncommon"; }; </v>
      </c>
      <c r="AJ20" t="str">
        <f t="shared" si="28"/>
        <v xml:space="preserve">["LORE"] = { ["EN"] = ""; }; </v>
      </c>
      <c r="AK20" t="str">
        <f t="shared" si="29"/>
        <v xml:space="preserve">["SUMMARY"] = { ["EN"] = ""; }; </v>
      </c>
      <c r="AL20" t="str">
        <f t="shared" si="30"/>
        <v/>
      </c>
      <c r="AM20" t="str">
        <f t="shared" si="31"/>
        <v>};</v>
      </c>
    </row>
    <row r="21" spans="1:39" x14ac:dyDescent="0.25">
      <c r="A21">
        <v>1879490627</v>
      </c>
      <c r="C21" t="s">
        <v>228</v>
      </c>
      <c r="L21">
        <v>1</v>
      </c>
      <c r="O21" t="str">
        <f t="shared" si="9"/>
        <v>[1879490627] = 1, // Birds of Cardolan: Rare</v>
      </c>
      <c r="P21" t="str">
        <f t="shared" si="10"/>
        <v xml:space="preserve"> [20] = {["ID"] = 1879490627; ["TIER"] = 1; }; -- Birds of Cardolan: Rare</v>
      </c>
      <c r="Q21" s="1" t="e">
        <f t="shared" si="11"/>
        <v>#N/A</v>
      </c>
      <c r="R21">
        <f t="shared" si="12"/>
        <v>20</v>
      </c>
      <c r="S21" t="str">
        <f t="shared" si="13"/>
        <v xml:space="preserve"> [20] = {</v>
      </c>
      <c r="T21" t="str">
        <f t="shared" si="14"/>
        <v xml:space="preserve">["ID"] = 1879490627; </v>
      </c>
      <c r="U21" t="str">
        <f t="shared" si="15"/>
        <v xml:space="preserve">["ID"] = 1879490627; </v>
      </c>
      <c r="V21" t="str">
        <f t="shared" si="16"/>
        <v/>
      </c>
      <c r="W21" s="1" t="str">
        <f t="shared" si="17"/>
        <v/>
      </c>
      <c r="X21" t="e">
        <f>VLOOKUP(D21,Type!A$2:B$17,2,FALSE)</f>
        <v>#N/A</v>
      </c>
      <c r="Y21" t="e">
        <f t="shared" si="18"/>
        <v>#N/A</v>
      </c>
      <c r="Z21" t="str">
        <f t="shared" si="19"/>
        <v>0</v>
      </c>
      <c r="AA21" t="str">
        <f t="shared" si="20"/>
        <v xml:space="preserve">["VXP"] = 0; </v>
      </c>
      <c r="AB21" t="str">
        <f t="shared" si="21"/>
        <v>0</v>
      </c>
      <c r="AC21" t="str">
        <f t="shared" si="22"/>
        <v xml:space="preserve">["LP"] = 0; </v>
      </c>
      <c r="AD21" t="str">
        <f t="shared" si="23"/>
        <v>0</v>
      </c>
      <c r="AE21" t="str">
        <f t="shared" si="24"/>
        <v xml:space="preserve">["REP"] = 0; </v>
      </c>
      <c r="AF21" t="e">
        <f>VLOOKUP(I21,Faction!A$2:B$77,2,FALSE)</f>
        <v>#N/A</v>
      </c>
      <c r="AG21" t="e">
        <f t="shared" si="25"/>
        <v>#N/A</v>
      </c>
      <c r="AH21" t="str">
        <f t="shared" si="26"/>
        <v xml:space="preserve">["TIER"] = 1; </v>
      </c>
      <c r="AI21" t="str">
        <f t="shared" si="27"/>
        <v xml:space="preserve">["NAME"] = { ["EN"] = "Birds of Cardolan: Rare"; }; </v>
      </c>
      <c r="AJ21" t="str">
        <f t="shared" si="28"/>
        <v xml:space="preserve">["LORE"] = { ["EN"] = ""; }; </v>
      </c>
      <c r="AK21" t="str">
        <f t="shared" si="29"/>
        <v xml:space="preserve">["SUMMARY"] = { ["EN"] = ""; }; </v>
      </c>
      <c r="AL21" t="str">
        <f t="shared" si="30"/>
        <v/>
      </c>
      <c r="AM21" t="str">
        <f t="shared" si="31"/>
        <v>};</v>
      </c>
    </row>
    <row r="22" spans="1:39" x14ac:dyDescent="0.25">
      <c r="A22">
        <v>1879490647</v>
      </c>
      <c r="C22" t="s">
        <v>229</v>
      </c>
      <c r="L22">
        <v>1</v>
      </c>
      <c r="O22" t="str">
        <f t="shared" si="9"/>
        <v>[1879490647] = 1, // The Rarest Bird in Cardolan</v>
      </c>
      <c r="P22" t="str">
        <f t="shared" si="10"/>
        <v xml:space="preserve"> [21] = {["ID"] = 1879490647; ["TIER"] = 1; }; -- The Rarest Bird in Cardolan</v>
      </c>
      <c r="Q22" s="1" t="e">
        <f t="shared" si="11"/>
        <v>#N/A</v>
      </c>
      <c r="R22">
        <f t="shared" si="12"/>
        <v>21</v>
      </c>
      <c r="S22" t="str">
        <f t="shared" si="13"/>
        <v xml:space="preserve"> [21] = {</v>
      </c>
      <c r="T22" t="str">
        <f t="shared" si="14"/>
        <v xml:space="preserve">["ID"] = 1879490647; </v>
      </c>
      <c r="U22" t="str">
        <f t="shared" si="15"/>
        <v xml:space="preserve">["ID"] = 1879490647; </v>
      </c>
      <c r="V22" t="str">
        <f t="shared" si="16"/>
        <v/>
      </c>
      <c r="W22" s="1" t="str">
        <f t="shared" si="17"/>
        <v/>
      </c>
      <c r="X22" t="e">
        <f>VLOOKUP(D22,Type!A$2:B$17,2,FALSE)</f>
        <v>#N/A</v>
      </c>
      <c r="Y22" t="e">
        <f t="shared" si="18"/>
        <v>#N/A</v>
      </c>
      <c r="Z22" t="str">
        <f t="shared" si="19"/>
        <v>0</v>
      </c>
      <c r="AA22" t="str">
        <f t="shared" si="20"/>
        <v xml:space="preserve">["VXP"] = 0; </v>
      </c>
      <c r="AB22" t="str">
        <f t="shared" si="21"/>
        <v>0</v>
      </c>
      <c r="AC22" t="str">
        <f t="shared" si="22"/>
        <v xml:space="preserve">["LP"] = 0; </v>
      </c>
      <c r="AD22" t="str">
        <f t="shared" si="23"/>
        <v>0</v>
      </c>
      <c r="AE22" t="str">
        <f t="shared" si="24"/>
        <v xml:space="preserve">["REP"] = 0; </v>
      </c>
      <c r="AF22" t="e">
        <f>VLOOKUP(I22,Faction!A$2:B$77,2,FALSE)</f>
        <v>#N/A</v>
      </c>
      <c r="AG22" t="e">
        <f t="shared" si="25"/>
        <v>#N/A</v>
      </c>
      <c r="AH22" t="str">
        <f t="shared" si="26"/>
        <v xml:space="preserve">["TIER"] = 1; </v>
      </c>
      <c r="AI22" t="str">
        <f t="shared" si="27"/>
        <v xml:space="preserve">["NAME"] = { ["EN"] = "The Rarest Bird in Cardolan"; }; </v>
      </c>
      <c r="AJ22" t="str">
        <f t="shared" si="28"/>
        <v xml:space="preserve">["LORE"] = { ["EN"] = ""; }; </v>
      </c>
      <c r="AK22" t="str">
        <f t="shared" si="29"/>
        <v xml:space="preserve">["SUMMARY"] = { ["EN"] = ""; }; </v>
      </c>
      <c r="AL22" t="str">
        <f t="shared" si="30"/>
        <v/>
      </c>
      <c r="AM22" t="str">
        <f t="shared" si="31"/>
        <v>};</v>
      </c>
    </row>
    <row r="23" spans="1:39" x14ac:dyDescent="0.25">
      <c r="A23">
        <v>1879490676</v>
      </c>
      <c r="C23" t="s">
        <v>186</v>
      </c>
      <c r="L23">
        <v>0</v>
      </c>
      <c r="O23" t="str">
        <f t="shared" si="9"/>
        <v/>
      </c>
      <c r="P23" t="str">
        <f t="shared" si="10"/>
        <v xml:space="preserve"> [22] = {["ID"] = 1879490676; }; -- All the Birds of the Lone-lands</v>
      </c>
      <c r="Q23" s="1" t="e">
        <f t="shared" si="11"/>
        <v>#N/A</v>
      </c>
      <c r="R23">
        <f t="shared" si="12"/>
        <v>22</v>
      </c>
      <c r="S23" t="str">
        <f t="shared" si="13"/>
        <v xml:space="preserve"> [22] = {</v>
      </c>
      <c r="T23" t="str">
        <f t="shared" si="14"/>
        <v xml:space="preserve">["ID"] = 1879490676; </v>
      </c>
      <c r="U23" t="str">
        <f t="shared" si="15"/>
        <v xml:space="preserve">["ID"] = 1879490676; </v>
      </c>
      <c r="V23" t="str">
        <f t="shared" si="16"/>
        <v/>
      </c>
      <c r="W23" s="1" t="str">
        <f t="shared" si="17"/>
        <v/>
      </c>
      <c r="X23" t="e">
        <f>VLOOKUP(D23,Type!A$2:B$17,2,FALSE)</f>
        <v>#N/A</v>
      </c>
      <c r="Y23" t="e">
        <f t="shared" si="18"/>
        <v>#N/A</v>
      </c>
      <c r="Z23" t="str">
        <f t="shared" si="19"/>
        <v>0</v>
      </c>
      <c r="AA23" t="str">
        <f t="shared" si="20"/>
        <v xml:space="preserve">["VXP"] = 0; </v>
      </c>
      <c r="AB23" t="str">
        <f t="shared" si="21"/>
        <v>0</v>
      </c>
      <c r="AC23" t="str">
        <f t="shared" si="22"/>
        <v xml:space="preserve">["LP"] = 0; </v>
      </c>
      <c r="AD23" t="str">
        <f t="shared" si="23"/>
        <v>0</v>
      </c>
      <c r="AE23" t="str">
        <f t="shared" si="24"/>
        <v xml:space="preserve">["REP"] = 0; </v>
      </c>
      <c r="AF23" t="e">
        <f>VLOOKUP(I23,Faction!A$2:B$77,2,FALSE)</f>
        <v>#N/A</v>
      </c>
      <c r="AG23" t="e">
        <f t="shared" si="25"/>
        <v>#N/A</v>
      </c>
      <c r="AH23" t="str">
        <f t="shared" si="26"/>
        <v/>
      </c>
      <c r="AI23" t="str">
        <f t="shared" si="27"/>
        <v xml:space="preserve">["NAME"] = { ["EN"] = "All the Birds of the Lone-lands"; }; </v>
      </c>
      <c r="AJ23" t="str">
        <f t="shared" si="28"/>
        <v xml:space="preserve">["LORE"] = { ["EN"] = ""; }; </v>
      </c>
      <c r="AK23" t="str">
        <f t="shared" si="29"/>
        <v xml:space="preserve">["SUMMARY"] = { ["EN"] = ""; }; </v>
      </c>
      <c r="AL23" t="str">
        <f t="shared" si="30"/>
        <v/>
      </c>
      <c r="AM23" t="str">
        <f t="shared" si="31"/>
        <v>};</v>
      </c>
    </row>
    <row r="24" spans="1:39" x14ac:dyDescent="0.25">
      <c r="A24">
        <v>1879490649</v>
      </c>
      <c r="C24" t="s">
        <v>187</v>
      </c>
      <c r="L24">
        <v>1</v>
      </c>
      <c r="O24" t="str">
        <f t="shared" si="9"/>
        <v>[1879490649] = 1, // Birds of the Lone-lands: Common and Uncommon</v>
      </c>
      <c r="P24" t="str">
        <f t="shared" si="10"/>
        <v xml:space="preserve"> [23] = {["ID"] = 1879490649; ["TIER"] = 1; }; -- Birds of the Lone-lands: Common and Uncommon</v>
      </c>
      <c r="Q24" s="1" t="e">
        <f t="shared" si="11"/>
        <v>#N/A</v>
      </c>
      <c r="R24">
        <f t="shared" si="12"/>
        <v>23</v>
      </c>
      <c r="S24" t="str">
        <f t="shared" si="13"/>
        <v xml:space="preserve"> [23] = {</v>
      </c>
      <c r="T24" t="str">
        <f t="shared" si="14"/>
        <v xml:space="preserve">["ID"] = 1879490649; </v>
      </c>
      <c r="U24" t="str">
        <f t="shared" si="15"/>
        <v xml:space="preserve">["ID"] = 1879490649; </v>
      </c>
      <c r="V24" t="str">
        <f t="shared" si="16"/>
        <v/>
      </c>
      <c r="W24" s="1" t="str">
        <f t="shared" si="17"/>
        <v/>
      </c>
      <c r="X24" t="e">
        <f>VLOOKUP(D24,Type!A$2:B$17,2,FALSE)</f>
        <v>#N/A</v>
      </c>
      <c r="Y24" t="e">
        <f t="shared" si="18"/>
        <v>#N/A</v>
      </c>
      <c r="Z24" t="str">
        <f t="shared" si="19"/>
        <v>0</v>
      </c>
      <c r="AA24" t="str">
        <f t="shared" si="20"/>
        <v xml:space="preserve">["VXP"] = 0; </v>
      </c>
      <c r="AB24" t="str">
        <f t="shared" si="21"/>
        <v>0</v>
      </c>
      <c r="AC24" t="str">
        <f t="shared" si="22"/>
        <v xml:space="preserve">["LP"] = 0; </v>
      </c>
      <c r="AD24" t="str">
        <f t="shared" si="23"/>
        <v>0</v>
      </c>
      <c r="AE24" t="str">
        <f t="shared" si="24"/>
        <v xml:space="preserve">["REP"] = 0; </v>
      </c>
      <c r="AF24" t="e">
        <f>VLOOKUP(I24,Faction!A$2:B$77,2,FALSE)</f>
        <v>#N/A</v>
      </c>
      <c r="AG24" t="e">
        <f t="shared" si="25"/>
        <v>#N/A</v>
      </c>
      <c r="AH24" t="str">
        <f t="shared" si="26"/>
        <v xml:space="preserve">["TIER"] = 1; </v>
      </c>
      <c r="AI24" t="str">
        <f t="shared" si="27"/>
        <v xml:space="preserve">["NAME"] = { ["EN"] = "Birds of the Lone-lands: Common and Uncommon"; }; </v>
      </c>
      <c r="AJ24" t="str">
        <f t="shared" si="28"/>
        <v xml:space="preserve">["LORE"] = { ["EN"] = ""; }; </v>
      </c>
      <c r="AK24" t="str">
        <f t="shared" si="29"/>
        <v xml:space="preserve">["SUMMARY"] = { ["EN"] = ""; }; </v>
      </c>
      <c r="AL24" t="str">
        <f t="shared" si="30"/>
        <v/>
      </c>
      <c r="AM24" t="str">
        <f t="shared" si="31"/>
        <v>};</v>
      </c>
    </row>
    <row r="25" spans="1:39" x14ac:dyDescent="0.25">
      <c r="A25">
        <v>1879490632</v>
      </c>
      <c r="C25" t="s">
        <v>188</v>
      </c>
      <c r="L25">
        <v>1</v>
      </c>
      <c r="O25" t="str">
        <f t="shared" si="9"/>
        <v>[1879490632] = 1, // Birds of the Lone-lands: Rare</v>
      </c>
      <c r="P25" t="str">
        <f t="shared" si="10"/>
        <v xml:space="preserve"> [24] = {["ID"] = 1879490632; ["TIER"] = 1; }; -- Birds of the Lone-lands: Rare</v>
      </c>
      <c r="Q25" s="1" t="e">
        <f t="shared" si="11"/>
        <v>#N/A</v>
      </c>
      <c r="R25">
        <f t="shared" si="12"/>
        <v>24</v>
      </c>
      <c r="S25" t="str">
        <f t="shared" si="13"/>
        <v xml:space="preserve"> [24] = {</v>
      </c>
      <c r="T25" t="str">
        <f t="shared" si="14"/>
        <v xml:space="preserve">["ID"] = 1879490632; </v>
      </c>
      <c r="U25" t="str">
        <f t="shared" si="15"/>
        <v xml:space="preserve">["ID"] = 1879490632; </v>
      </c>
      <c r="V25" t="str">
        <f t="shared" si="16"/>
        <v/>
      </c>
      <c r="W25" s="1" t="str">
        <f t="shared" si="17"/>
        <v/>
      </c>
      <c r="X25" t="e">
        <f>VLOOKUP(D25,Type!A$2:B$17,2,FALSE)</f>
        <v>#N/A</v>
      </c>
      <c r="Y25" t="e">
        <f t="shared" si="18"/>
        <v>#N/A</v>
      </c>
      <c r="Z25" t="str">
        <f t="shared" si="19"/>
        <v>0</v>
      </c>
      <c r="AA25" t="str">
        <f t="shared" si="20"/>
        <v xml:space="preserve">["VXP"] = 0; </v>
      </c>
      <c r="AB25" t="str">
        <f t="shared" si="21"/>
        <v>0</v>
      </c>
      <c r="AC25" t="str">
        <f t="shared" si="22"/>
        <v xml:space="preserve">["LP"] = 0; </v>
      </c>
      <c r="AD25" t="str">
        <f t="shared" si="23"/>
        <v>0</v>
      </c>
      <c r="AE25" t="str">
        <f t="shared" si="24"/>
        <v xml:space="preserve">["REP"] = 0; </v>
      </c>
      <c r="AF25" t="e">
        <f>VLOOKUP(I25,Faction!A$2:B$77,2,FALSE)</f>
        <v>#N/A</v>
      </c>
      <c r="AG25" t="e">
        <f t="shared" si="25"/>
        <v>#N/A</v>
      </c>
      <c r="AH25" t="str">
        <f t="shared" si="26"/>
        <v xml:space="preserve">["TIER"] = 1; </v>
      </c>
      <c r="AI25" t="str">
        <f t="shared" si="27"/>
        <v xml:space="preserve">["NAME"] = { ["EN"] = "Birds of the Lone-lands: Rare"; }; </v>
      </c>
      <c r="AJ25" t="str">
        <f t="shared" si="28"/>
        <v xml:space="preserve">["LORE"] = { ["EN"] = ""; }; </v>
      </c>
      <c r="AK25" t="str">
        <f t="shared" si="29"/>
        <v xml:space="preserve">["SUMMARY"] = { ["EN"] = ""; }; </v>
      </c>
      <c r="AL25" t="str">
        <f t="shared" si="30"/>
        <v/>
      </c>
      <c r="AM25" t="str">
        <f t="shared" si="31"/>
        <v>};</v>
      </c>
    </row>
    <row r="26" spans="1:39" x14ac:dyDescent="0.25">
      <c r="A26">
        <v>1879490637</v>
      </c>
      <c r="C26" t="s">
        <v>189</v>
      </c>
      <c r="L26">
        <v>1</v>
      </c>
      <c r="O26" t="str">
        <f t="shared" si="9"/>
        <v>[1879490637] = 1, // The Rarest Bird in the Lone-lands</v>
      </c>
      <c r="P26" t="str">
        <f t="shared" si="10"/>
        <v xml:space="preserve"> [25] = {["ID"] = 1879490637; ["TIER"] = 1; }; -- The Rarest Bird in the Lone-lands</v>
      </c>
      <c r="Q26" s="1" t="e">
        <f t="shared" si="11"/>
        <v>#N/A</v>
      </c>
      <c r="R26">
        <f t="shared" si="12"/>
        <v>25</v>
      </c>
      <c r="S26" t="str">
        <f t="shared" si="13"/>
        <v xml:space="preserve"> [25] = {</v>
      </c>
      <c r="T26" t="str">
        <f t="shared" si="14"/>
        <v xml:space="preserve">["ID"] = 1879490637; </v>
      </c>
      <c r="U26" t="str">
        <f t="shared" si="15"/>
        <v xml:space="preserve">["ID"] = 1879490637; </v>
      </c>
      <c r="V26" t="str">
        <f t="shared" si="16"/>
        <v/>
      </c>
      <c r="W26" s="1" t="str">
        <f t="shared" si="17"/>
        <v/>
      </c>
      <c r="X26" t="e">
        <f>VLOOKUP(D26,Type!A$2:B$17,2,FALSE)</f>
        <v>#N/A</v>
      </c>
      <c r="Y26" t="e">
        <f t="shared" si="18"/>
        <v>#N/A</v>
      </c>
      <c r="Z26" t="str">
        <f t="shared" si="19"/>
        <v>0</v>
      </c>
      <c r="AA26" t="str">
        <f t="shared" si="20"/>
        <v xml:space="preserve">["VXP"] = 0; </v>
      </c>
      <c r="AB26" t="str">
        <f t="shared" si="21"/>
        <v>0</v>
      </c>
      <c r="AC26" t="str">
        <f t="shared" si="22"/>
        <v xml:space="preserve">["LP"] = 0; </v>
      </c>
      <c r="AD26" t="str">
        <f t="shared" si="23"/>
        <v>0</v>
      </c>
      <c r="AE26" t="str">
        <f t="shared" si="24"/>
        <v xml:space="preserve">["REP"] = 0; </v>
      </c>
      <c r="AF26" t="e">
        <f>VLOOKUP(I26,Faction!A$2:B$77,2,FALSE)</f>
        <v>#N/A</v>
      </c>
      <c r="AG26" t="e">
        <f t="shared" si="25"/>
        <v>#N/A</v>
      </c>
      <c r="AH26" t="str">
        <f t="shared" si="26"/>
        <v xml:space="preserve">["TIER"] = 1; </v>
      </c>
      <c r="AI26" t="str">
        <f t="shared" si="27"/>
        <v xml:space="preserve">["NAME"] = { ["EN"] = "The Rarest Bird in the Lone-lands"; }; </v>
      </c>
      <c r="AJ26" t="str">
        <f t="shared" si="28"/>
        <v xml:space="preserve">["LORE"] = { ["EN"] = ""; }; </v>
      </c>
      <c r="AK26" t="str">
        <f t="shared" si="29"/>
        <v xml:space="preserve">["SUMMARY"] = { ["EN"] = ""; }; </v>
      </c>
      <c r="AL26" t="str">
        <f t="shared" si="30"/>
        <v/>
      </c>
      <c r="AM26" t="str">
        <f t="shared" si="31"/>
        <v>};</v>
      </c>
    </row>
    <row r="27" spans="1:39" x14ac:dyDescent="0.25">
      <c r="A27">
        <v>1879490675</v>
      </c>
      <c r="C27" t="s">
        <v>190</v>
      </c>
      <c r="L27">
        <v>0</v>
      </c>
      <c r="O27" t="str">
        <f t="shared" si="9"/>
        <v/>
      </c>
      <c r="P27" t="str">
        <f t="shared" si="10"/>
        <v xml:space="preserve"> [26] = {["ID"] = 1879490675; }; -- All the Birds of the North Downs</v>
      </c>
      <c r="Q27" s="1" t="e">
        <f t="shared" si="11"/>
        <v>#N/A</v>
      </c>
      <c r="R27">
        <f t="shared" si="12"/>
        <v>26</v>
      </c>
      <c r="S27" t="str">
        <f t="shared" si="13"/>
        <v xml:space="preserve"> [26] = {</v>
      </c>
      <c r="T27" t="str">
        <f t="shared" si="14"/>
        <v xml:space="preserve">["ID"] = 1879490675; </v>
      </c>
      <c r="U27" t="str">
        <f t="shared" si="15"/>
        <v xml:space="preserve">["ID"] = 1879490675; </v>
      </c>
      <c r="V27" t="str">
        <f t="shared" si="16"/>
        <v/>
      </c>
      <c r="W27" s="1" t="str">
        <f t="shared" si="17"/>
        <v/>
      </c>
      <c r="X27" t="e">
        <f>VLOOKUP(D27,Type!A$2:B$17,2,FALSE)</f>
        <v>#N/A</v>
      </c>
      <c r="Y27" t="e">
        <f t="shared" si="18"/>
        <v>#N/A</v>
      </c>
      <c r="Z27" t="str">
        <f t="shared" si="19"/>
        <v>0</v>
      </c>
      <c r="AA27" t="str">
        <f t="shared" si="20"/>
        <v xml:space="preserve">["VXP"] = 0; </v>
      </c>
      <c r="AB27" t="str">
        <f t="shared" si="21"/>
        <v>0</v>
      </c>
      <c r="AC27" t="str">
        <f t="shared" si="22"/>
        <v xml:space="preserve">["LP"] = 0; </v>
      </c>
      <c r="AD27" t="str">
        <f t="shared" si="23"/>
        <v>0</v>
      </c>
      <c r="AE27" t="str">
        <f t="shared" si="24"/>
        <v xml:space="preserve">["REP"] = 0; </v>
      </c>
      <c r="AF27" t="e">
        <f>VLOOKUP(I27,Faction!A$2:B$77,2,FALSE)</f>
        <v>#N/A</v>
      </c>
      <c r="AG27" t="e">
        <f t="shared" si="25"/>
        <v>#N/A</v>
      </c>
      <c r="AH27" t="str">
        <f t="shared" si="26"/>
        <v/>
      </c>
      <c r="AI27" t="str">
        <f t="shared" si="27"/>
        <v xml:space="preserve">["NAME"] = { ["EN"] = "All the Birds of the North Downs"; }; </v>
      </c>
      <c r="AJ27" t="str">
        <f t="shared" si="28"/>
        <v xml:space="preserve">["LORE"] = { ["EN"] = ""; }; </v>
      </c>
      <c r="AK27" t="str">
        <f t="shared" si="29"/>
        <v xml:space="preserve">["SUMMARY"] = { ["EN"] = ""; }; </v>
      </c>
      <c r="AL27" t="str">
        <f t="shared" si="30"/>
        <v/>
      </c>
      <c r="AM27" t="str">
        <f t="shared" si="31"/>
        <v>};</v>
      </c>
    </row>
    <row r="28" spans="1:39" x14ac:dyDescent="0.25">
      <c r="A28">
        <v>1879490630</v>
      </c>
      <c r="C28" t="s">
        <v>191</v>
      </c>
      <c r="L28">
        <v>1</v>
      </c>
      <c r="O28" t="str">
        <f t="shared" si="9"/>
        <v>[1879490630] = 1, // Birds of The North Downs: Common and Uncommon</v>
      </c>
      <c r="P28" t="str">
        <f t="shared" si="10"/>
        <v xml:space="preserve"> [27] = {["ID"] = 1879490630; ["TIER"] = 1; }; -- Birds of The North Downs: Common and Uncommon</v>
      </c>
      <c r="Q28" s="1" t="e">
        <f t="shared" si="11"/>
        <v>#N/A</v>
      </c>
      <c r="R28">
        <f t="shared" si="12"/>
        <v>27</v>
      </c>
      <c r="S28" t="str">
        <f t="shared" si="13"/>
        <v xml:space="preserve"> [27] = {</v>
      </c>
      <c r="T28" t="str">
        <f t="shared" si="14"/>
        <v xml:space="preserve">["ID"] = 1879490630; </v>
      </c>
      <c r="U28" t="str">
        <f t="shared" si="15"/>
        <v xml:space="preserve">["ID"] = 1879490630; </v>
      </c>
      <c r="V28" t="str">
        <f t="shared" si="16"/>
        <v/>
      </c>
      <c r="W28" s="1" t="str">
        <f t="shared" si="17"/>
        <v/>
      </c>
      <c r="X28" t="e">
        <f>VLOOKUP(D28,Type!A$2:B$17,2,FALSE)</f>
        <v>#N/A</v>
      </c>
      <c r="Y28" t="e">
        <f t="shared" si="18"/>
        <v>#N/A</v>
      </c>
      <c r="Z28" t="str">
        <f t="shared" si="19"/>
        <v>0</v>
      </c>
      <c r="AA28" t="str">
        <f t="shared" si="20"/>
        <v xml:space="preserve">["VXP"] = 0; </v>
      </c>
      <c r="AB28" t="str">
        <f t="shared" si="21"/>
        <v>0</v>
      </c>
      <c r="AC28" t="str">
        <f t="shared" si="22"/>
        <v xml:space="preserve">["LP"] = 0; </v>
      </c>
      <c r="AD28" t="str">
        <f t="shared" si="23"/>
        <v>0</v>
      </c>
      <c r="AE28" t="str">
        <f t="shared" si="24"/>
        <v xml:space="preserve">["REP"] = 0; </v>
      </c>
      <c r="AF28" t="e">
        <f>VLOOKUP(I28,Faction!A$2:B$77,2,FALSE)</f>
        <v>#N/A</v>
      </c>
      <c r="AG28" t="e">
        <f t="shared" si="25"/>
        <v>#N/A</v>
      </c>
      <c r="AH28" t="str">
        <f t="shared" si="26"/>
        <v xml:space="preserve">["TIER"] = 1; </v>
      </c>
      <c r="AI28" t="str">
        <f t="shared" si="27"/>
        <v xml:space="preserve">["NAME"] = { ["EN"] = "Birds of The North Downs: Common and Uncommon"; }; </v>
      </c>
      <c r="AJ28" t="str">
        <f t="shared" si="28"/>
        <v xml:space="preserve">["LORE"] = { ["EN"] = ""; }; </v>
      </c>
      <c r="AK28" t="str">
        <f t="shared" si="29"/>
        <v xml:space="preserve">["SUMMARY"] = { ["EN"] = ""; }; </v>
      </c>
      <c r="AL28" t="str">
        <f t="shared" si="30"/>
        <v/>
      </c>
      <c r="AM28" t="str">
        <f t="shared" si="31"/>
        <v>};</v>
      </c>
    </row>
    <row r="29" spans="1:39" x14ac:dyDescent="0.25">
      <c r="A29">
        <v>1879490626</v>
      </c>
      <c r="C29" t="s">
        <v>192</v>
      </c>
      <c r="L29">
        <v>1</v>
      </c>
      <c r="O29" t="str">
        <f t="shared" si="9"/>
        <v>[1879490626] = 1, // Birds of the North Downs: Rare</v>
      </c>
      <c r="P29" t="str">
        <f t="shared" si="10"/>
        <v xml:space="preserve"> [28] = {["ID"] = 1879490626; ["TIER"] = 1; }; -- Birds of the North Downs: Rare</v>
      </c>
      <c r="Q29" s="1" t="e">
        <f t="shared" si="11"/>
        <v>#N/A</v>
      </c>
      <c r="R29">
        <f t="shared" si="12"/>
        <v>28</v>
      </c>
      <c r="S29" t="str">
        <f t="shared" si="13"/>
        <v xml:space="preserve"> [28] = {</v>
      </c>
      <c r="T29" t="str">
        <f t="shared" si="14"/>
        <v xml:space="preserve">["ID"] = 1879490626; </v>
      </c>
      <c r="U29" t="str">
        <f t="shared" si="15"/>
        <v xml:space="preserve">["ID"] = 1879490626; </v>
      </c>
      <c r="V29" t="str">
        <f t="shared" si="16"/>
        <v/>
      </c>
      <c r="W29" s="1" t="str">
        <f t="shared" si="17"/>
        <v/>
      </c>
      <c r="X29" t="e">
        <f>VLOOKUP(D29,Type!A$2:B$17,2,FALSE)</f>
        <v>#N/A</v>
      </c>
      <c r="Y29" t="e">
        <f t="shared" si="18"/>
        <v>#N/A</v>
      </c>
      <c r="Z29" t="str">
        <f t="shared" si="19"/>
        <v>0</v>
      </c>
      <c r="AA29" t="str">
        <f t="shared" si="20"/>
        <v xml:space="preserve">["VXP"] = 0; </v>
      </c>
      <c r="AB29" t="str">
        <f t="shared" si="21"/>
        <v>0</v>
      </c>
      <c r="AC29" t="str">
        <f t="shared" si="22"/>
        <v xml:space="preserve">["LP"] = 0; </v>
      </c>
      <c r="AD29" t="str">
        <f t="shared" si="23"/>
        <v>0</v>
      </c>
      <c r="AE29" t="str">
        <f t="shared" si="24"/>
        <v xml:space="preserve">["REP"] = 0; </v>
      </c>
      <c r="AF29" t="e">
        <f>VLOOKUP(I29,Faction!A$2:B$77,2,FALSE)</f>
        <v>#N/A</v>
      </c>
      <c r="AG29" t="e">
        <f t="shared" si="25"/>
        <v>#N/A</v>
      </c>
      <c r="AH29" t="str">
        <f t="shared" si="26"/>
        <v xml:space="preserve">["TIER"] = 1; </v>
      </c>
      <c r="AI29" t="str">
        <f t="shared" si="27"/>
        <v xml:space="preserve">["NAME"] = { ["EN"] = "Birds of the North Downs: Rare"; }; </v>
      </c>
      <c r="AJ29" t="str">
        <f t="shared" si="28"/>
        <v xml:space="preserve">["LORE"] = { ["EN"] = ""; }; </v>
      </c>
      <c r="AK29" t="str">
        <f t="shared" si="29"/>
        <v xml:space="preserve">["SUMMARY"] = { ["EN"] = ""; }; </v>
      </c>
      <c r="AL29" t="str">
        <f t="shared" si="30"/>
        <v/>
      </c>
      <c r="AM29" t="str">
        <f t="shared" si="31"/>
        <v>};</v>
      </c>
    </row>
    <row r="30" spans="1:39" x14ac:dyDescent="0.25">
      <c r="A30">
        <v>1879490625</v>
      </c>
      <c r="C30" t="s">
        <v>193</v>
      </c>
      <c r="L30">
        <v>1</v>
      </c>
      <c r="O30" t="str">
        <f t="shared" si="9"/>
        <v>[1879490625] = 1, // The Rarest Bird in the North Downs</v>
      </c>
      <c r="P30" t="str">
        <f t="shared" si="10"/>
        <v xml:space="preserve"> [29] = {["ID"] = 1879490625; ["TIER"] = 1; }; -- The Rarest Bird in the North Downs</v>
      </c>
      <c r="Q30" s="1" t="e">
        <f t="shared" si="11"/>
        <v>#N/A</v>
      </c>
      <c r="R30">
        <f t="shared" si="12"/>
        <v>29</v>
      </c>
      <c r="S30" t="str">
        <f t="shared" si="13"/>
        <v xml:space="preserve"> [29] = {</v>
      </c>
      <c r="T30" t="str">
        <f t="shared" si="14"/>
        <v xml:space="preserve">["ID"] = 1879490625; </v>
      </c>
      <c r="U30" t="str">
        <f t="shared" si="15"/>
        <v xml:space="preserve">["ID"] = 1879490625; </v>
      </c>
      <c r="V30" t="str">
        <f t="shared" si="16"/>
        <v/>
      </c>
      <c r="W30" s="1" t="str">
        <f t="shared" si="17"/>
        <v/>
      </c>
      <c r="X30" t="e">
        <f>VLOOKUP(D30,Type!A$2:B$17,2,FALSE)</f>
        <v>#N/A</v>
      </c>
      <c r="Y30" t="e">
        <f t="shared" si="18"/>
        <v>#N/A</v>
      </c>
      <c r="Z30" t="str">
        <f t="shared" si="19"/>
        <v>0</v>
      </c>
      <c r="AA30" t="str">
        <f t="shared" si="20"/>
        <v xml:space="preserve">["VXP"] = 0; </v>
      </c>
      <c r="AB30" t="str">
        <f t="shared" si="21"/>
        <v>0</v>
      </c>
      <c r="AC30" t="str">
        <f t="shared" si="22"/>
        <v xml:space="preserve">["LP"] = 0; </v>
      </c>
      <c r="AD30" t="str">
        <f t="shared" si="23"/>
        <v>0</v>
      </c>
      <c r="AE30" t="str">
        <f t="shared" si="24"/>
        <v xml:space="preserve">["REP"] = 0; </v>
      </c>
      <c r="AF30" t="e">
        <f>VLOOKUP(I30,Faction!A$2:B$77,2,FALSE)</f>
        <v>#N/A</v>
      </c>
      <c r="AG30" t="e">
        <f t="shared" si="25"/>
        <v>#N/A</v>
      </c>
      <c r="AH30" t="str">
        <f t="shared" si="26"/>
        <v xml:space="preserve">["TIER"] = 1; </v>
      </c>
      <c r="AI30" t="str">
        <f t="shared" si="27"/>
        <v xml:space="preserve">["NAME"] = { ["EN"] = "The Rarest Bird in the North Downs"; }; </v>
      </c>
      <c r="AJ30" t="str">
        <f t="shared" si="28"/>
        <v xml:space="preserve">["LORE"] = { ["EN"] = ""; }; </v>
      </c>
      <c r="AK30" t="str">
        <f t="shared" si="29"/>
        <v xml:space="preserve">["SUMMARY"] = { ["EN"] = ""; }; </v>
      </c>
      <c r="AL30" t="str">
        <f t="shared" si="30"/>
        <v/>
      </c>
      <c r="AM30" t="str">
        <f t="shared" si="31"/>
        <v>};</v>
      </c>
    </row>
    <row r="31" spans="1:39" x14ac:dyDescent="0.25">
      <c r="A31">
        <v>1879490677</v>
      </c>
      <c r="C31" t="s">
        <v>194</v>
      </c>
      <c r="L31">
        <v>0</v>
      </c>
      <c r="O31" t="str">
        <f t="shared" si="9"/>
        <v/>
      </c>
      <c r="P31" t="str">
        <f t="shared" si="10"/>
        <v xml:space="preserve"> [30] = {["ID"] = 1879490677; }; -- All the Birds of the Trollshaws</v>
      </c>
      <c r="Q31" s="1" t="e">
        <f t="shared" si="11"/>
        <v>#N/A</v>
      </c>
      <c r="R31">
        <f t="shared" si="12"/>
        <v>30</v>
      </c>
      <c r="S31" t="str">
        <f t="shared" si="13"/>
        <v xml:space="preserve"> [30] = {</v>
      </c>
      <c r="T31" t="str">
        <f t="shared" si="14"/>
        <v xml:space="preserve">["ID"] = 1879490677; </v>
      </c>
      <c r="U31" t="str">
        <f t="shared" si="15"/>
        <v xml:space="preserve">["ID"] = 1879490677; </v>
      </c>
      <c r="V31" t="str">
        <f t="shared" si="16"/>
        <v/>
      </c>
      <c r="W31" s="1" t="str">
        <f t="shared" si="17"/>
        <v/>
      </c>
      <c r="X31" t="e">
        <f>VLOOKUP(D31,Type!A$2:B$17,2,FALSE)</f>
        <v>#N/A</v>
      </c>
      <c r="Y31" t="e">
        <f t="shared" si="18"/>
        <v>#N/A</v>
      </c>
      <c r="Z31" t="str">
        <f t="shared" si="19"/>
        <v>0</v>
      </c>
      <c r="AA31" t="str">
        <f t="shared" si="20"/>
        <v xml:space="preserve">["VXP"] = 0; </v>
      </c>
      <c r="AB31" t="str">
        <f t="shared" si="21"/>
        <v>0</v>
      </c>
      <c r="AC31" t="str">
        <f t="shared" si="22"/>
        <v xml:space="preserve">["LP"] = 0; </v>
      </c>
      <c r="AD31" t="str">
        <f t="shared" si="23"/>
        <v>0</v>
      </c>
      <c r="AE31" t="str">
        <f t="shared" si="24"/>
        <v xml:space="preserve">["REP"] = 0; </v>
      </c>
      <c r="AF31" t="e">
        <f>VLOOKUP(I31,Faction!A$2:B$77,2,FALSE)</f>
        <v>#N/A</v>
      </c>
      <c r="AG31" t="e">
        <f t="shared" si="25"/>
        <v>#N/A</v>
      </c>
      <c r="AH31" t="str">
        <f t="shared" si="26"/>
        <v/>
      </c>
      <c r="AI31" t="str">
        <f t="shared" si="27"/>
        <v xml:space="preserve">["NAME"] = { ["EN"] = "All the Birds of the Trollshaws"; }; </v>
      </c>
      <c r="AJ31" t="str">
        <f t="shared" si="28"/>
        <v xml:space="preserve">["LORE"] = { ["EN"] = ""; }; </v>
      </c>
      <c r="AK31" t="str">
        <f t="shared" si="29"/>
        <v xml:space="preserve">["SUMMARY"] = { ["EN"] = ""; }; </v>
      </c>
      <c r="AL31" t="str">
        <f t="shared" si="30"/>
        <v/>
      </c>
      <c r="AM31" t="str">
        <f t="shared" si="31"/>
        <v>};</v>
      </c>
    </row>
    <row r="32" spans="1:39" x14ac:dyDescent="0.25">
      <c r="A32">
        <v>1879490614</v>
      </c>
      <c r="C32" t="s">
        <v>195</v>
      </c>
      <c r="L32">
        <v>1</v>
      </c>
      <c r="O32" t="str">
        <f t="shared" si="9"/>
        <v>[1879490614] = 1, // Birds of the Trollshaws: Common and Uncommon</v>
      </c>
      <c r="P32" t="str">
        <f t="shared" si="10"/>
        <v xml:space="preserve"> [31] = {["ID"] = 1879490614; ["TIER"] = 1; }; -- Birds of the Trollshaws: Common and Uncommon</v>
      </c>
      <c r="Q32" s="1" t="e">
        <f t="shared" si="11"/>
        <v>#N/A</v>
      </c>
      <c r="R32">
        <f t="shared" si="12"/>
        <v>31</v>
      </c>
      <c r="S32" t="str">
        <f t="shared" si="13"/>
        <v xml:space="preserve"> [31] = {</v>
      </c>
      <c r="T32" t="str">
        <f t="shared" si="14"/>
        <v xml:space="preserve">["ID"] = 1879490614; </v>
      </c>
      <c r="U32" t="str">
        <f t="shared" si="15"/>
        <v xml:space="preserve">["ID"] = 1879490614; </v>
      </c>
      <c r="V32" t="str">
        <f t="shared" si="16"/>
        <v/>
      </c>
      <c r="W32" s="1" t="str">
        <f t="shared" si="17"/>
        <v/>
      </c>
      <c r="X32" t="e">
        <f>VLOOKUP(D32,Type!A$2:B$17,2,FALSE)</f>
        <v>#N/A</v>
      </c>
      <c r="Y32" t="e">
        <f t="shared" si="18"/>
        <v>#N/A</v>
      </c>
      <c r="Z32" t="str">
        <f t="shared" si="19"/>
        <v>0</v>
      </c>
      <c r="AA32" t="str">
        <f t="shared" si="20"/>
        <v xml:space="preserve">["VXP"] = 0; </v>
      </c>
      <c r="AB32" t="str">
        <f t="shared" si="21"/>
        <v>0</v>
      </c>
      <c r="AC32" t="str">
        <f t="shared" si="22"/>
        <v xml:space="preserve">["LP"] = 0; </v>
      </c>
      <c r="AD32" t="str">
        <f t="shared" si="23"/>
        <v>0</v>
      </c>
      <c r="AE32" t="str">
        <f t="shared" si="24"/>
        <v xml:space="preserve">["REP"] = 0; </v>
      </c>
      <c r="AF32" t="e">
        <f>VLOOKUP(I32,Faction!A$2:B$77,2,FALSE)</f>
        <v>#N/A</v>
      </c>
      <c r="AG32" t="e">
        <f t="shared" si="25"/>
        <v>#N/A</v>
      </c>
      <c r="AH32" t="str">
        <f t="shared" si="26"/>
        <v xml:space="preserve">["TIER"] = 1; </v>
      </c>
      <c r="AI32" t="str">
        <f t="shared" si="27"/>
        <v xml:space="preserve">["NAME"] = { ["EN"] = "Birds of the Trollshaws: Common and Uncommon"; }; </v>
      </c>
      <c r="AJ32" t="str">
        <f t="shared" si="28"/>
        <v xml:space="preserve">["LORE"] = { ["EN"] = ""; }; </v>
      </c>
      <c r="AK32" t="str">
        <f t="shared" si="29"/>
        <v xml:space="preserve">["SUMMARY"] = { ["EN"] = ""; }; </v>
      </c>
      <c r="AL32" t="str">
        <f t="shared" si="30"/>
        <v/>
      </c>
      <c r="AM32" t="str">
        <f t="shared" si="31"/>
        <v>};</v>
      </c>
    </row>
    <row r="33" spans="1:39" x14ac:dyDescent="0.25">
      <c r="A33">
        <v>1879490639</v>
      </c>
      <c r="C33" t="s">
        <v>196</v>
      </c>
      <c r="L33">
        <v>1</v>
      </c>
      <c r="O33" t="str">
        <f t="shared" si="9"/>
        <v>[1879490639] = 1, // Birds of the Trollshaws: Rare</v>
      </c>
      <c r="P33" t="str">
        <f t="shared" si="10"/>
        <v xml:space="preserve"> [32] = {["ID"] = 1879490639; ["TIER"] = 1; }; -- Birds of the Trollshaws: Rare</v>
      </c>
      <c r="Q33" s="1" t="e">
        <f t="shared" si="11"/>
        <v>#N/A</v>
      </c>
      <c r="R33">
        <f t="shared" si="12"/>
        <v>32</v>
      </c>
      <c r="S33" t="str">
        <f t="shared" si="13"/>
        <v xml:space="preserve"> [32] = {</v>
      </c>
      <c r="T33" t="str">
        <f t="shared" si="14"/>
        <v xml:space="preserve">["ID"] = 1879490639; </v>
      </c>
      <c r="U33" t="str">
        <f t="shared" si="15"/>
        <v xml:space="preserve">["ID"] = 1879490639; </v>
      </c>
      <c r="V33" t="str">
        <f t="shared" si="16"/>
        <v/>
      </c>
      <c r="W33" s="1" t="str">
        <f t="shared" si="17"/>
        <v/>
      </c>
      <c r="X33" t="e">
        <f>VLOOKUP(D33,Type!A$2:B$17,2,FALSE)</f>
        <v>#N/A</v>
      </c>
      <c r="Y33" t="e">
        <f t="shared" si="18"/>
        <v>#N/A</v>
      </c>
      <c r="Z33" t="str">
        <f t="shared" si="19"/>
        <v>0</v>
      </c>
      <c r="AA33" t="str">
        <f t="shared" si="20"/>
        <v xml:space="preserve">["VXP"] = 0; </v>
      </c>
      <c r="AB33" t="str">
        <f t="shared" si="21"/>
        <v>0</v>
      </c>
      <c r="AC33" t="str">
        <f t="shared" si="22"/>
        <v xml:space="preserve">["LP"] = 0; </v>
      </c>
      <c r="AD33" t="str">
        <f t="shared" si="23"/>
        <v>0</v>
      </c>
      <c r="AE33" t="str">
        <f t="shared" si="24"/>
        <v xml:space="preserve">["REP"] = 0; </v>
      </c>
      <c r="AF33" t="e">
        <f>VLOOKUP(I33,Faction!A$2:B$77,2,FALSE)</f>
        <v>#N/A</v>
      </c>
      <c r="AG33" t="e">
        <f t="shared" si="25"/>
        <v>#N/A</v>
      </c>
      <c r="AH33" t="str">
        <f t="shared" si="26"/>
        <v xml:space="preserve">["TIER"] = 1; </v>
      </c>
      <c r="AI33" t="str">
        <f t="shared" si="27"/>
        <v xml:space="preserve">["NAME"] = { ["EN"] = "Birds of the Trollshaws: Rare"; }; </v>
      </c>
      <c r="AJ33" t="str">
        <f t="shared" si="28"/>
        <v xml:space="preserve">["LORE"] = { ["EN"] = ""; }; </v>
      </c>
      <c r="AK33" t="str">
        <f t="shared" si="29"/>
        <v xml:space="preserve">["SUMMARY"] = { ["EN"] = ""; }; </v>
      </c>
      <c r="AL33" t="str">
        <f t="shared" si="30"/>
        <v/>
      </c>
      <c r="AM33" t="str">
        <f t="shared" si="31"/>
        <v>};</v>
      </c>
    </row>
    <row r="34" spans="1:39" x14ac:dyDescent="0.25">
      <c r="A34">
        <v>1879490629</v>
      </c>
      <c r="C34" t="s">
        <v>197</v>
      </c>
      <c r="L34">
        <v>1</v>
      </c>
      <c r="O34" t="str">
        <f t="shared" si="9"/>
        <v>[1879490629] = 1, // The Rarest Bird in the Trollshaws</v>
      </c>
      <c r="P34" t="str">
        <f t="shared" si="10"/>
        <v xml:space="preserve"> [33] = {["ID"] = 1879490629; ["TIER"] = 1; }; -- The Rarest Bird in the Trollshaws</v>
      </c>
      <c r="Q34" s="1" t="e">
        <f t="shared" si="11"/>
        <v>#N/A</v>
      </c>
      <c r="R34">
        <f t="shared" si="12"/>
        <v>33</v>
      </c>
      <c r="S34" t="str">
        <f t="shared" si="13"/>
        <v xml:space="preserve"> [33] = {</v>
      </c>
      <c r="T34" t="str">
        <f t="shared" si="14"/>
        <v xml:space="preserve">["ID"] = 1879490629; </v>
      </c>
      <c r="U34" t="str">
        <f t="shared" si="15"/>
        <v xml:space="preserve">["ID"] = 1879490629; </v>
      </c>
      <c r="V34" t="str">
        <f t="shared" si="16"/>
        <v/>
      </c>
      <c r="W34" s="1" t="str">
        <f t="shared" si="17"/>
        <v/>
      </c>
      <c r="X34" t="e">
        <f>VLOOKUP(D34,Type!A$2:B$17,2,FALSE)</f>
        <v>#N/A</v>
      </c>
      <c r="Y34" t="e">
        <f t="shared" si="18"/>
        <v>#N/A</v>
      </c>
      <c r="Z34" t="str">
        <f t="shared" si="19"/>
        <v>0</v>
      </c>
      <c r="AA34" t="str">
        <f t="shared" si="20"/>
        <v xml:space="preserve">["VXP"] = 0; </v>
      </c>
      <c r="AB34" t="str">
        <f t="shared" si="21"/>
        <v>0</v>
      </c>
      <c r="AC34" t="str">
        <f t="shared" si="22"/>
        <v xml:space="preserve">["LP"] = 0; </v>
      </c>
      <c r="AD34" t="str">
        <f t="shared" si="23"/>
        <v>0</v>
      </c>
      <c r="AE34" t="str">
        <f t="shared" si="24"/>
        <v xml:space="preserve">["REP"] = 0; </v>
      </c>
      <c r="AF34" t="e">
        <f>VLOOKUP(I34,Faction!A$2:B$77,2,FALSE)</f>
        <v>#N/A</v>
      </c>
      <c r="AG34" t="e">
        <f t="shared" si="25"/>
        <v>#N/A</v>
      </c>
      <c r="AH34" t="str">
        <f t="shared" si="26"/>
        <v xml:space="preserve">["TIER"] = 1; </v>
      </c>
      <c r="AI34" t="str">
        <f t="shared" si="27"/>
        <v xml:space="preserve">["NAME"] = { ["EN"] = "The Rarest Bird in the Trollshaws"; }; </v>
      </c>
      <c r="AJ34" t="str">
        <f t="shared" si="28"/>
        <v xml:space="preserve">["LORE"] = { ["EN"] = ""; }; </v>
      </c>
      <c r="AK34" t="str">
        <f t="shared" si="29"/>
        <v xml:space="preserve">["SUMMARY"] = { ["EN"] = ""; }; </v>
      </c>
      <c r="AL34" t="str">
        <f t="shared" si="30"/>
        <v/>
      </c>
      <c r="AM34" t="str">
        <f t="shared" si="31"/>
        <v>};</v>
      </c>
    </row>
    <row r="35" spans="1:39" x14ac:dyDescent="0.25">
      <c r="A35">
        <v>1879490673</v>
      </c>
      <c r="C35" t="s">
        <v>198</v>
      </c>
      <c r="L35">
        <v>0</v>
      </c>
      <c r="O35" t="str">
        <f t="shared" si="9"/>
        <v/>
      </c>
      <c r="P35" t="str">
        <f t="shared" si="10"/>
        <v xml:space="preserve"> [34] = {["ID"] = 1879490673; }; -- All the Birds of the Misty Mountains</v>
      </c>
      <c r="Q35" s="1" t="e">
        <f t="shared" si="11"/>
        <v>#N/A</v>
      </c>
      <c r="R35">
        <f t="shared" si="12"/>
        <v>34</v>
      </c>
      <c r="S35" t="str">
        <f t="shared" si="13"/>
        <v xml:space="preserve"> [34] = {</v>
      </c>
      <c r="T35" t="str">
        <f t="shared" si="14"/>
        <v xml:space="preserve">["ID"] = 1879490673; </v>
      </c>
      <c r="U35" t="str">
        <f t="shared" si="15"/>
        <v xml:space="preserve">["ID"] = 1879490673; </v>
      </c>
      <c r="V35" t="str">
        <f t="shared" si="16"/>
        <v/>
      </c>
      <c r="W35" s="1" t="str">
        <f t="shared" si="17"/>
        <v/>
      </c>
      <c r="X35" t="e">
        <f>VLOOKUP(D35,Type!A$2:B$17,2,FALSE)</f>
        <v>#N/A</v>
      </c>
      <c r="Y35" t="e">
        <f t="shared" si="18"/>
        <v>#N/A</v>
      </c>
      <c r="Z35" t="str">
        <f t="shared" si="19"/>
        <v>0</v>
      </c>
      <c r="AA35" t="str">
        <f t="shared" si="20"/>
        <v xml:space="preserve">["VXP"] = 0; </v>
      </c>
      <c r="AB35" t="str">
        <f t="shared" si="21"/>
        <v>0</v>
      </c>
      <c r="AC35" t="str">
        <f t="shared" si="22"/>
        <v xml:space="preserve">["LP"] = 0; </v>
      </c>
      <c r="AD35" t="str">
        <f t="shared" si="23"/>
        <v>0</v>
      </c>
      <c r="AE35" t="str">
        <f t="shared" si="24"/>
        <v xml:space="preserve">["REP"] = 0; </v>
      </c>
      <c r="AF35" t="e">
        <f>VLOOKUP(I35,Faction!A$2:B$77,2,FALSE)</f>
        <v>#N/A</v>
      </c>
      <c r="AG35" t="e">
        <f t="shared" si="25"/>
        <v>#N/A</v>
      </c>
      <c r="AH35" t="str">
        <f t="shared" si="26"/>
        <v/>
      </c>
      <c r="AI35" t="str">
        <f t="shared" si="27"/>
        <v xml:space="preserve">["NAME"] = { ["EN"] = "All the Birds of the Misty Mountains"; }; </v>
      </c>
      <c r="AJ35" t="str">
        <f t="shared" si="28"/>
        <v xml:space="preserve">["LORE"] = { ["EN"] = ""; }; </v>
      </c>
      <c r="AK35" t="str">
        <f t="shared" si="29"/>
        <v xml:space="preserve">["SUMMARY"] = { ["EN"] = ""; }; </v>
      </c>
      <c r="AL35" t="str">
        <f t="shared" si="30"/>
        <v/>
      </c>
      <c r="AM35" t="str">
        <f t="shared" si="31"/>
        <v>};</v>
      </c>
    </row>
    <row r="36" spans="1:39" x14ac:dyDescent="0.25">
      <c r="A36">
        <v>1879490650</v>
      </c>
      <c r="C36" t="s">
        <v>199</v>
      </c>
      <c r="L36">
        <v>1</v>
      </c>
      <c r="O36" t="str">
        <f t="shared" si="9"/>
        <v>[1879490650] = 1, // Birds of the Misty Mountains: Common and Uncommon</v>
      </c>
      <c r="P36" t="str">
        <f t="shared" si="10"/>
        <v xml:space="preserve"> [35] = {["ID"] = 1879490650; ["TIER"] = 1; }; -- Birds of the Misty Mountains: Common and Uncommon</v>
      </c>
      <c r="Q36" s="1" t="e">
        <f t="shared" si="11"/>
        <v>#N/A</v>
      </c>
      <c r="R36">
        <f t="shared" si="12"/>
        <v>35</v>
      </c>
      <c r="S36" t="str">
        <f t="shared" si="13"/>
        <v xml:space="preserve"> [35] = {</v>
      </c>
      <c r="T36" t="str">
        <f t="shared" si="14"/>
        <v xml:space="preserve">["ID"] = 1879490650; </v>
      </c>
      <c r="U36" t="str">
        <f t="shared" si="15"/>
        <v xml:space="preserve">["ID"] = 1879490650; </v>
      </c>
      <c r="V36" t="str">
        <f t="shared" si="16"/>
        <v/>
      </c>
      <c r="W36" s="1" t="str">
        <f t="shared" si="17"/>
        <v/>
      </c>
      <c r="X36" t="e">
        <f>VLOOKUP(D36,Type!A$2:B$17,2,FALSE)</f>
        <v>#N/A</v>
      </c>
      <c r="Y36" t="e">
        <f t="shared" si="18"/>
        <v>#N/A</v>
      </c>
      <c r="Z36" t="str">
        <f t="shared" si="19"/>
        <v>0</v>
      </c>
      <c r="AA36" t="str">
        <f t="shared" si="20"/>
        <v xml:space="preserve">["VXP"] = 0; </v>
      </c>
      <c r="AB36" t="str">
        <f t="shared" si="21"/>
        <v>0</v>
      </c>
      <c r="AC36" t="str">
        <f t="shared" si="22"/>
        <v xml:space="preserve">["LP"] = 0; </v>
      </c>
      <c r="AD36" t="str">
        <f t="shared" si="23"/>
        <v>0</v>
      </c>
      <c r="AE36" t="str">
        <f t="shared" si="24"/>
        <v xml:space="preserve">["REP"] = 0; </v>
      </c>
      <c r="AF36" t="e">
        <f>VLOOKUP(I36,Faction!A$2:B$77,2,FALSE)</f>
        <v>#N/A</v>
      </c>
      <c r="AG36" t="e">
        <f t="shared" si="25"/>
        <v>#N/A</v>
      </c>
      <c r="AH36" t="str">
        <f t="shared" si="26"/>
        <v xml:space="preserve">["TIER"] = 1; </v>
      </c>
      <c r="AI36" t="str">
        <f t="shared" si="27"/>
        <v xml:space="preserve">["NAME"] = { ["EN"] = "Birds of the Misty Mountains: Common and Uncommon"; }; </v>
      </c>
      <c r="AJ36" t="str">
        <f t="shared" si="28"/>
        <v xml:space="preserve">["LORE"] = { ["EN"] = ""; }; </v>
      </c>
      <c r="AK36" t="str">
        <f t="shared" si="29"/>
        <v xml:space="preserve">["SUMMARY"] = { ["EN"] = ""; }; </v>
      </c>
      <c r="AL36" t="str">
        <f t="shared" si="30"/>
        <v/>
      </c>
      <c r="AM36" t="str">
        <f t="shared" si="31"/>
        <v>};</v>
      </c>
    </row>
    <row r="37" spans="1:39" x14ac:dyDescent="0.25">
      <c r="A37">
        <v>1879490620</v>
      </c>
      <c r="C37" t="s">
        <v>200</v>
      </c>
      <c r="L37">
        <v>1</v>
      </c>
      <c r="O37" t="str">
        <f t="shared" si="9"/>
        <v>[1879490620] = 1, // Birds of the Misty Mountains: Rare</v>
      </c>
      <c r="P37" t="str">
        <f t="shared" si="10"/>
        <v xml:space="preserve"> [36] = {["ID"] = 1879490620; ["TIER"] = 1; }; -- Birds of the Misty Mountains: Rare</v>
      </c>
      <c r="Q37" s="1" t="e">
        <f t="shared" si="11"/>
        <v>#N/A</v>
      </c>
      <c r="R37">
        <f t="shared" si="12"/>
        <v>36</v>
      </c>
      <c r="S37" t="str">
        <f t="shared" si="13"/>
        <v xml:space="preserve"> [36] = {</v>
      </c>
      <c r="T37" t="str">
        <f t="shared" si="14"/>
        <v xml:space="preserve">["ID"] = 1879490620; </v>
      </c>
      <c r="U37" t="str">
        <f t="shared" si="15"/>
        <v xml:space="preserve">["ID"] = 1879490620; </v>
      </c>
      <c r="V37" t="str">
        <f t="shared" si="16"/>
        <v/>
      </c>
      <c r="W37" s="1" t="str">
        <f t="shared" si="17"/>
        <v/>
      </c>
      <c r="X37" t="e">
        <f>VLOOKUP(D37,Type!A$2:B$17,2,FALSE)</f>
        <v>#N/A</v>
      </c>
      <c r="Y37" t="e">
        <f t="shared" si="18"/>
        <v>#N/A</v>
      </c>
      <c r="Z37" t="str">
        <f t="shared" si="19"/>
        <v>0</v>
      </c>
      <c r="AA37" t="str">
        <f t="shared" si="20"/>
        <v xml:space="preserve">["VXP"] = 0; </v>
      </c>
      <c r="AB37" t="str">
        <f t="shared" si="21"/>
        <v>0</v>
      </c>
      <c r="AC37" t="str">
        <f t="shared" si="22"/>
        <v xml:space="preserve">["LP"] = 0; </v>
      </c>
      <c r="AD37" t="str">
        <f t="shared" si="23"/>
        <v>0</v>
      </c>
      <c r="AE37" t="str">
        <f t="shared" si="24"/>
        <v xml:space="preserve">["REP"] = 0; </v>
      </c>
      <c r="AF37" t="e">
        <f>VLOOKUP(I37,Faction!A$2:B$77,2,FALSE)</f>
        <v>#N/A</v>
      </c>
      <c r="AG37" t="e">
        <f t="shared" si="25"/>
        <v>#N/A</v>
      </c>
      <c r="AH37" t="str">
        <f t="shared" si="26"/>
        <v xml:space="preserve">["TIER"] = 1; </v>
      </c>
      <c r="AI37" t="str">
        <f t="shared" si="27"/>
        <v xml:space="preserve">["NAME"] = { ["EN"] = "Birds of the Misty Mountains: Rare"; }; </v>
      </c>
      <c r="AJ37" t="str">
        <f t="shared" si="28"/>
        <v xml:space="preserve">["LORE"] = { ["EN"] = ""; }; </v>
      </c>
      <c r="AK37" t="str">
        <f t="shared" si="29"/>
        <v xml:space="preserve">["SUMMARY"] = { ["EN"] = ""; }; </v>
      </c>
      <c r="AL37" t="str">
        <f t="shared" si="30"/>
        <v/>
      </c>
      <c r="AM37" t="str">
        <f t="shared" si="31"/>
        <v>};</v>
      </c>
    </row>
    <row r="38" spans="1:39" x14ac:dyDescent="0.25">
      <c r="A38">
        <v>1879490612</v>
      </c>
      <c r="C38" t="s">
        <v>201</v>
      </c>
      <c r="L38">
        <v>1</v>
      </c>
      <c r="O38" t="str">
        <f t="shared" si="9"/>
        <v>[1879490612] = 1, // The Rarest Bird in the Misty Mountains</v>
      </c>
      <c r="P38" t="str">
        <f t="shared" si="10"/>
        <v xml:space="preserve"> [37] = {["ID"] = 1879490612; ["TIER"] = 1; }; -- The Rarest Bird in the Misty Mountains</v>
      </c>
      <c r="Q38" s="1" t="e">
        <f t="shared" si="11"/>
        <v>#N/A</v>
      </c>
      <c r="R38">
        <f t="shared" si="12"/>
        <v>37</v>
      </c>
      <c r="S38" t="str">
        <f t="shared" si="13"/>
        <v xml:space="preserve"> [37] = {</v>
      </c>
      <c r="T38" t="str">
        <f t="shared" si="14"/>
        <v xml:space="preserve">["ID"] = 1879490612; </v>
      </c>
      <c r="U38" t="str">
        <f t="shared" si="15"/>
        <v xml:space="preserve">["ID"] = 1879490612; </v>
      </c>
      <c r="V38" t="str">
        <f t="shared" si="16"/>
        <v/>
      </c>
      <c r="W38" s="1" t="str">
        <f t="shared" si="17"/>
        <v/>
      </c>
      <c r="X38" t="e">
        <f>VLOOKUP(D38,Type!A$2:B$17,2,FALSE)</f>
        <v>#N/A</v>
      </c>
      <c r="Y38" t="e">
        <f t="shared" si="18"/>
        <v>#N/A</v>
      </c>
      <c r="Z38" t="str">
        <f t="shared" si="19"/>
        <v>0</v>
      </c>
      <c r="AA38" t="str">
        <f t="shared" si="20"/>
        <v xml:space="preserve">["VXP"] = 0; </v>
      </c>
      <c r="AB38" t="str">
        <f t="shared" si="21"/>
        <v>0</v>
      </c>
      <c r="AC38" t="str">
        <f t="shared" si="22"/>
        <v xml:space="preserve">["LP"] = 0; </v>
      </c>
      <c r="AD38" t="str">
        <f t="shared" si="23"/>
        <v>0</v>
      </c>
      <c r="AE38" t="str">
        <f t="shared" si="24"/>
        <v xml:space="preserve">["REP"] = 0; </v>
      </c>
      <c r="AF38" t="e">
        <f>VLOOKUP(I38,Faction!A$2:B$77,2,FALSE)</f>
        <v>#N/A</v>
      </c>
      <c r="AG38" t="e">
        <f t="shared" si="25"/>
        <v>#N/A</v>
      </c>
      <c r="AH38" t="str">
        <f t="shared" si="26"/>
        <v xml:space="preserve">["TIER"] = 1; </v>
      </c>
      <c r="AI38" t="str">
        <f t="shared" si="27"/>
        <v xml:space="preserve">["NAME"] = { ["EN"] = "The Rarest Bird in the Misty Mountains"; }; </v>
      </c>
      <c r="AJ38" t="str">
        <f t="shared" si="28"/>
        <v xml:space="preserve">["LORE"] = { ["EN"] = ""; }; </v>
      </c>
      <c r="AK38" t="str">
        <f t="shared" si="29"/>
        <v xml:space="preserve">["SUMMARY"] = { ["EN"] = ""; }; </v>
      </c>
      <c r="AL38" t="str">
        <f t="shared" si="30"/>
        <v/>
      </c>
      <c r="AM38" t="str">
        <f t="shared" si="31"/>
        <v>};</v>
      </c>
    </row>
    <row r="39" spans="1:39" x14ac:dyDescent="0.25">
      <c r="A39">
        <v>1879490674</v>
      </c>
      <c r="C39" t="s">
        <v>202</v>
      </c>
      <c r="L39">
        <v>0</v>
      </c>
      <c r="O39" t="str">
        <f t="shared" si="9"/>
        <v/>
      </c>
      <c r="P39" t="str">
        <f t="shared" si="10"/>
        <v xml:space="preserve"> [38] = {["ID"] = 1879490674; }; -- All the Birds of Evendim</v>
      </c>
      <c r="Q39" s="1" t="e">
        <f t="shared" si="11"/>
        <v>#N/A</v>
      </c>
      <c r="R39">
        <f t="shared" si="12"/>
        <v>38</v>
      </c>
      <c r="S39" t="str">
        <f t="shared" si="13"/>
        <v xml:space="preserve"> [38] = {</v>
      </c>
      <c r="T39" t="str">
        <f t="shared" si="14"/>
        <v xml:space="preserve">["ID"] = 1879490674; </v>
      </c>
      <c r="U39" t="str">
        <f t="shared" si="15"/>
        <v xml:space="preserve">["ID"] = 1879490674; </v>
      </c>
      <c r="V39" t="str">
        <f t="shared" si="16"/>
        <v/>
      </c>
      <c r="W39" s="1" t="str">
        <f t="shared" si="17"/>
        <v/>
      </c>
      <c r="X39" t="e">
        <f>VLOOKUP(D39,Type!A$2:B$17,2,FALSE)</f>
        <v>#N/A</v>
      </c>
      <c r="Y39" t="e">
        <f t="shared" si="18"/>
        <v>#N/A</v>
      </c>
      <c r="Z39" t="str">
        <f t="shared" si="19"/>
        <v>0</v>
      </c>
      <c r="AA39" t="str">
        <f t="shared" si="20"/>
        <v xml:space="preserve">["VXP"] = 0; </v>
      </c>
      <c r="AB39" t="str">
        <f t="shared" si="21"/>
        <v>0</v>
      </c>
      <c r="AC39" t="str">
        <f t="shared" si="22"/>
        <v xml:space="preserve">["LP"] = 0; </v>
      </c>
      <c r="AD39" t="str">
        <f t="shared" si="23"/>
        <v>0</v>
      </c>
      <c r="AE39" t="str">
        <f t="shared" si="24"/>
        <v xml:space="preserve">["REP"] = 0; </v>
      </c>
      <c r="AF39" t="e">
        <f>VLOOKUP(I39,Faction!A$2:B$77,2,FALSE)</f>
        <v>#N/A</v>
      </c>
      <c r="AG39" t="e">
        <f t="shared" si="25"/>
        <v>#N/A</v>
      </c>
      <c r="AH39" t="str">
        <f t="shared" si="26"/>
        <v/>
      </c>
      <c r="AI39" t="str">
        <f t="shared" si="27"/>
        <v xml:space="preserve">["NAME"] = { ["EN"] = "All the Birds of Evendim"; }; </v>
      </c>
      <c r="AJ39" t="str">
        <f t="shared" si="28"/>
        <v xml:space="preserve">["LORE"] = { ["EN"] = ""; }; </v>
      </c>
      <c r="AK39" t="str">
        <f t="shared" si="29"/>
        <v xml:space="preserve">["SUMMARY"] = { ["EN"] = ""; }; </v>
      </c>
      <c r="AL39" t="str">
        <f t="shared" si="30"/>
        <v/>
      </c>
      <c r="AM39" t="str">
        <f t="shared" si="31"/>
        <v>};</v>
      </c>
    </row>
    <row r="40" spans="1:39" x14ac:dyDescent="0.25">
      <c r="A40">
        <v>1879490643</v>
      </c>
      <c r="C40" t="s">
        <v>203</v>
      </c>
      <c r="L40">
        <v>1</v>
      </c>
      <c r="O40" t="str">
        <f t="shared" si="9"/>
        <v>[1879490643] = 1, // Birds of Evendim: Common and Uncommon</v>
      </c>
      <c r="P40" t="str">
        <f t="shared" si="10"/>
        <v xml:space="preserve"> [39] = {["ID"] = 1879490643; ["TIER"] = 1; }; -- Birds of Evendim: Common and Uncommon</v>
      </c>
      <c r="Q40" s="1" t="e">
        <f t="shared" si="11"/>
        <v>#N/A</v>
      </c>
      <c r="R40">
        <f t="shared" si="12"/>
        <v>39</v>
      </c>
      <c r="S40" t="str">
        <f t="shared" si="13"/>
        <v xml:space="preserve"> [39] = {</v>
      </c>
      <c r="T40" t="str">
        <f t="shared" si="14"/>
        <v xml:space="preserve">["ID"] = 1879490643; </v>
      </c>
      <c r="U40" t="str">
        <f t="shared" si="15"/>
        <v xml:space="preserve">["ID"] = 1879490643; </v>
      </c>
      <c r="V40" t="str">
        <f t="shared" si="16"/>
        <v/>
      </c>
      <c r="W40" s="1" t="str">
        <f t="shared" si="17"/>
        <v/>
      </c>
      <c r="X40" t="e">
        <f>VLOOKUP(D40,Type!A$2:B$17,2,FALSE)</f>
        <v>#N/A</v>
      </c>
      <c r="Y40" t="e">
        <f t="shared" si="18"/>
        <v>#N/A</v>
      </c>
      <c r="Z40" t="str">
        <f t="shared" si="19"/>
        <v>0</v>
      </c>
      <c r="AA40" t="str">
        <f t="shared" si="20"/>
        <v xml:space="preserve">["VXP"] = 0; </v>
      </c>
      <c r="AB40" t="str">
        <f t="shared" si="21"/>
        <v>0</v>
      </c>
      <c r="AC40" t="str">
        <f t="shared" si="22"/>
        <v xml:space="preserve">["LP"] = 0; </v>
      </c>
      <c r="AD40" t="str">
        <f t="shared" si="23"/>
        <v>0</v>
      </c>
      <c r="AE40" t="str">
        <f t="shared" si="24"/>
        <v xml:space="preserve">["REP"] = 0; </v>
      </c>
      <c r="AF40" t="e">
        <f>VLOOKUP(I40,Faction!A$2:B$77,2,FALSE)</f>
        <v>#N/A</v>
      </c>
      <c r="AG40" t="e">
        <f t="shared" si="25"/>
        <v>#N/A</v>
      </c>
      <c r="AH40" t="str">
        <f t="shared" si="26"/>
        <v xml:space="preserve">["TIER"] = 1; </v>
      </c>
      <c r="AI40" t="str">
        <f t="shared" si="27"/>
        <v xml:space="preserve">["NAME"] = { ["EN"] = "Birds of Evendim: Common and Uncommon"; }; </v>
      </c>
      <c r="AJ40" t="str">
        <f t="shared" si="28"/>
        <v xml:space="preserve">["LORE"] = { ["EN"] = ""; }; </v>
      </c>
      <c r="AK40" t="str">
        <f t="shared" si="29"/>
        <v xml:space="preserve">["SUMMARY"] = { ["EN"] = ""; }; </v>
      </c>
      <c r="AL40" t="str">
        <f t="shared" si="30"/>
        <v/>
      </c>
      <c r="AM40" t="str">
        <f t="shared" si="31"/>
        <v>};</v>
      </c>
    </row>
    <row r="41" spans="1:39" x14ac:dyDescent="0.25">
      <c r="A41">
        <v>1879490638</v>
      </c>
      <c r="C41" t="s">
        <v>204</v>
      </c>
      <c r="L41">
        <v>1</v>
      </c>
      <c r="O41" t="str">
        <f t="shared" si="9"/>
        <v>[1879490638] = 1, // Birds of Evendim: Rare</v>
      </c>
      <c r="P41" t="str">
        <f t="shared" si="10"/>
        <v xml:space="preserve"> [40] = {["ID"] = 1879490638; ["TIER"] = 1; }; -- Birds of Evendim: Rare</v>
      </c>
      <c r="Q41" s="1" t="e">
        <f t="shared" si="11"/>
        <v>#N/A</v>
      </c>
      <c r="R41">
        <f t="shared" si="12"/>
        <v>40</v>
      </c>
      <c r="S41" t="str">
        <f t="shared" si="13"/>
        <v xml:space="preserve"> [40] = {</v>
      </c>
      <c r="T41" t="str">
        <f t="shared" si="14"/>
        <v xml:space="preserve">["ID"] = 1879490638; </v>
      </c>
      <c r="U41" t="str">
        <f t="shared" si="15"/>
        <v xml:space="preserve">["ID"] = 1879490638; </v>
      </c>
      <c r="V41" t="str">
        <f t="shared" si="16"/>
        <v/>
      </c>
      <c r="W41" s="1" t="str">
        <f t="shared" si="17"/>
        <v/>
      </c>
      <c r="X41" t="e">
        <f>VLOOKUP(D41,Type!A$2:B$17,2,FALSE)</f>
        <v>#N/A</v>
      </c>
      <c r="Y41" t="e">
        <f t="shared" si="18"/>
        <v>#N/A</v>
      </c>
      <c r="Z41" t="str">
        <f t="shared" si="19"/>
        <v>0</v>
      </c>
      <c r="AA41" t="str">
        <f t="shared" si="20"/>
        <v xml:space="preserve">["VXP"] = 0; </v>
      </c>
      <c r="AB41" t="str">
        <f t="shared" si="21"/>
        <v>0</v>
      </c>
      <c r="AC41" t="str">
        <f t="shared" si="22"/>
        <v xml:space="preserve">["LP"] = 0; </v>
      </c>
      <c r="AD41" t="str">
        <f t="shared" si="23"/>
        <v>0</v>
      </c>
      <c r="AE41" t="str">
        <f t="shared" si="24"/>
        <v xml:space="preserve">["REP"] = 0; </v>
      </c>
      <c r="AF41" t="e">
        <f>VLOOKUP(I41,Faction!A$2:B$77,2,FALSE)</f>
        <v>#N/A</v>
      </c>
      <c r="AG41" t="e">
        <f t="shared" si="25"/>
        <v>#N/A</v>
      </c>
      <c r="AH41" t="str">
        <f t="shared" si="26"/>
        <v xml:space="preserve">["TIER"] = 1; </v>
      </c>
      <c r="AI41" t="str">
        <f t="shared" si="27"/>
        <v xml:space="preserve">["NAME"] = { ["EN"] = "Birds of Evendim: Rare"; }; </v>
      </c>
      <c r="AJ41" t="str">
        <f t="shared" si="28"/>
        <v xml:space="preserve">["LORE"] = { ["EN"] = ""; }; </v>
      </c>
      <c r="AK41" t="str">
        <f t="shared" si="29"/>
        <v xml:space="preserve">["SUMMARY"] = { ["EN"] = ""; }; </v>
      </c>
      <c r="AL41" t="str">
        <f t="shared" si="30"/>
        <v/>
      </c>
      <c r="AM41" t="str">
        <f t="shared" si="31"/>
        <v>};</v>
      </c>
    </row>
    <row r="42" spans="1:39" x14ac:dyDescent="0.25">
      <c r="A42">
        <v>1879490615</v>
      </c>
      <c r="C42" t="s">
        <v>205</v>
      </c>
      <c r="L42">
        <v>1</v>
      </c>
      <c r="O42" t="str">
        <f t="shared" si="9"/>
        <v>[1879490615] = 1, // The Rarest Bird in Evendim</v>
      </c>
      <c r="P42" t="str">
        <f t="shared" si="10"/>
        <v xml:space="preserve"> [41] = {["ID"] = 1879490615; ["TIER"] = 1; }; -- The Rarest Bird in Evendim</v>
      </c>
      <c r="Q42" s="1" t="e">
        <f t="shared" si="11"/>
        <v>#N/A</v>
      </c>
      <c r="R42">
        <f t="shared" si="12"/>
        <v>41</v>
      </c>
      <c r="S42" t="str">
        <f t="shared" si="13"/>
        <v xml:space="preserve"> [41] = {</v>
      </c>
      <c r="T42" t="str">
        <f t="shared" si="14"/>
        <v xml:space="preserve">["ID"] = 1879490615; </v>
      </c>
      <c r="U42" t="str">
        <f t="shared" si="15"/>
        <v xml:space="preserve">["ID"] = 1879490615; </v>
      </c>
      <c r="V42" t="str">
        <f t="shared" si="16"/>
        <v/>
      </c>
      <c r="W42" s="1" t="str">
        <f t="shared" si="17"/>
        <v/>
      </c>
      <c r="X42" t="e">
        <f>VLOOKUP(D42,Type!A$2:B$17,2,FALSE)</f>
        <v>#N/A</v>
      </c>
      <c r="Y42" t="e">
        <f t="shared" si="18"/>
        <v>#N/A</v>
      </c>
      <c r="Z42" t="str">
        <f t="shared" si="19"/>
        <v>0</v>
      </c>
      <c r="AA42" t="str">
        <f t="shared" si="20"/>
        <v xml:space="preserve">["VXP"] = 0; </v>
      </c>
      <c r="AB42" t="str">
        <f t="shared" si="21"/>
        <v>0</v>
      </c>
      <c r="AC42" t="str">
        <f t="shared" si="22"/>
        <v xml:space="preserve">["LP"] = 0; </v>
      </c>
      <c r="AD42" t="str">
        <f t="shared" si="23"/>
        <v>0</v>
      </c>
      <c r="AE42" t="str">
        <f t="shared" si="24"/>
        <v xml:space="preserve">["REP"] = 0; </v>
      </c>
      <c r="AF42" t="e">
        <f>VLOOKUP(I42,Faction!A$2:B$77,2,FALSE)</f>
        <v>#N/A</v>
      </c>
      <c r="AG42" t="e">
        <f t="shared" si="25"/>
        <v>#N/A</v>
      </c>
      <c r="AH42" t="str">
        <f t="shared" si="26"/>
        <v xml:space="preserve">["TIER"] = 1; </v>
      </c>
      <c r="AI42" t="str">
        <f t="shared" si="27"/>
        <v xml:space="preserve">["NAME"] = { ["EN"] = "The Rarest Bird in Evendim"; }; </v>
      </c>
      <c r="AJ42" t="str">
        <f t="shared" si="28"/>
        <v xml:space="preserve">["LORE"] = { ["EN"] = ""; }; </v>
      </c>
      <c r="AK42" t="str">
        <f t="shared" si="29"/>
        <v xml:space="preserve">["SUMMARY"] = { ["EN"] = ""; }; </v>
      </c>
      <c r="AL42" t="str">
        <f t="shared" si="30"/>
        <v/>
      </c>
      <c r="AM42" t="str">
        <f t="shared" si="31"/>
        <v>};</v>
      </c>
    </row>
    <row r="43" spans="1:39" x14ac:dyDescent="0.25">
      <c r="A43">
        <v>1879490664</v>
      </c>
      <c r="C43" t="s">
        <v>206</v>
      </c>
      <c r="L43">
        <v>0</v>
      </c>
      <c r="O43" t="str">
        <f t="shared" si="9"/>
        <v/>
      </c>
      <c r="P43" t="str">
        <f t="shared" si="10"/>
        <v xml:space="preserve"> [42] = {["ID"] = 1879490664; }; -- All the Birds of Angmar</v>
      </c>
      <c r="Q43" s="1" t="e">
        <f t="shared" si="11"/>
        <v>#N/A</v>
      </c>
      <c r="R43">
        <f t="shared" si="12"/>
        <v>42</v>
      </c>
      <c r="S43" t="str">
        <f t="shared" si="13"/>
        <v xml:space="preserve"> [42] = {</v>
      </c>
      <c r="T43" t="str">
        <f t="shared" si="14"/>
        <v xml:space="preserve">["ID"] = 1879490664; </v>
      </c>
      <c r="U43" t="str">
        <f t="shared" si="15"/>
        <v xml:space="preserve">["ID"] = 1879490664; </v>
      </c>
      <c r="V43" t="str">
        <f t="shared" si="16"/>
        <v/>
      </c>
      <c r="W43" s="1" t="str">
        <f t="shared" si="17"/>
        <v/>
      </c>
      <c r="X43" t="e">
        <f>VLOOKUP(D43,Type!A$2:B$17,2,FALSE)</f>
        <v>#N/A</v>
      </c>
      <c r="Y43" t="e">
        <f t="shared" si="18"/>
        <v>#N/A</v>
      </c>
      <c r="Z43" t="str">
        <f t="shared" si="19"/>
        <v>0</v>
      </c>
      <c r="AA43" t="str">
        <f t="shared" si="20"/>
        <v xml:space="preserve">["VXP"] = 0; </v>
      </c>
      <c r="AB43" t="str">
        <f t="shared" si="21"/>
        <v>0</v>
      </c>
      <c r="AC43" t="str">
        <f t="shared" si="22"/>
        <v xml:space="preserve">["LP"] = 0; </v>
      </c>
      <c r="AD43" t="str">
        <f t="shared" si="23"/>
        <v>0</v>
      </c>
      <c r="AE43" t="str">
        <f t="shared" si="24"/>
        <v xml:space="preserve">["REP"] = 0; </v>
      </c>
      <c r="AF43" t="e">
        <f>VLOOKUP(I43,Faction!A$2:B$77,2,FALSE)</f>
        <v>#N/A</v>
      </c>
      <c r="AG43" t="e">
        <f t="shared" si="25"/>
        <v>#N/A</v>
      </c>
      <c r="AH43" t="str">
        <f t="shared" si="26"/>
        <v/>
      </c>
      <c r="AI43" t="str">
        <f t="shared" si="27"/>
        <v xml:space="preserve">["NAME"] = { ["EN"] = "All the Birds of Angmar"; }; </v>
      </c>
      <c r="AJ43" t="str">
        <f t="shared" si="28"/>
        <v xml:space="preserve">["LORE"] = { ["EN"] = ""; }; </v>
      </c>
      <c r="AK43" t="str">
        <f t="shared" si="29"/>
        <v xml:space="preserve">["SUMMARY"] = { ["EN"] = ""; }; </v>
      </c>
      <c r="AL43" t="str">
        <f t="shared" si="30"/>
        <v/>
      </c>
      <c r="AM43" t="str">
        <f t="shared" si="31"/>
        <v>};</v>
      </c>
    </row>
    <row r="44" spans="1:39" x14ac:dyDescent="0.25">
      <c r="A44">
        <v>1879490646</v>
      </c>
      <c r="C44" t="s">
        <v>207</v>
      </c>
      <c r="L44">
        <v>1</v>
      </c>
      <c r="O44" t="str">
        <f t="shared" si="9"/>
        <v>[1879490646] = 1, // Birds of Angmar: Common and Uncommon</v>
      </c>
      <c r="P44" t="str">
        <f t="shared" si="10"/>
        <v xml:space="preserve"> [43] = {["ID"] = 1879490646; ["TIER"] = 1; }; -- Birds of Angmar: Common and Uncommon</v>
      </c>
      <c r="Q44" s="1" t="e">
        <f t="shared" si="11"/>
        <v>#N/A</v>
      </c>
      <c r="R44">
        <f t="shared" si="12"/>
        <v>43</v>
      </c>
      <c r="S44" t="str">
        <f t="shared" si="13"/>
        <v xml:space="preserve"> [43] = {</v>
      </c>
      <c r="T44" t="str">
        <f t="shared" si="14"/>
        <v xml:space="preserve">["ID"] = 1879490646; </v>
      </c>
      <c r="U44" t="str">
        <f t="shared" si="15"/>
        <v xml:space="preserve">["ID"] = 1879490646; </v>
      </c>
      <c r="V44" t="str">
        <f t="shared" si="16"/>
        <v/>
      </c>
      <c r="W44" s="1" t="str">
        <f t="shared" si="17"/>
        <v/>
      </c>
      <c r="X44" t="e">
        <f>VLOOKUP(D44,Type!A$2:B$17,2,FALSE)</f>
        <v>#N/A</v>
      </c>
      <c r="Y44" t="e">
        <f t="shared" si="18"/>
        <v>#N/A</v>
      </c>
      <c r="Z44" t="str">
        <f t="shared" si="19"/>
        <v>0</v>
      </c>
      <c r="AA44" t="str">
        <f t="shared" si="20"/>
        <v xml:space="preserve">["VXP"] = 0; </v>
      </c>
      <c r="AB44" t="str">
        <f t="shared" si="21"/>
        <v>0</v>
      </c>
      <c r="AC44" t="str">
        <f t="shared" si="22"/>
        <v xml:space="preserve">["LP"] = 0; </v>
      </c>
      <c r="AD44" t="str">
        <f t="shared" si="23"/>
        <v>0</v>
      </c>
      <c r="AE44" t="str">
        <f t="shared" si="24"/>
        <v xml:space="preserve">["REP"] = 0; </v>
      </c>
      <c r="AF44" t="e">
        <f>VLOOKUP(I44,Faction!A$2:B$77,2,FALSE)</f>
        <v>#N/A</v>
      </c>
      <c r="AG44" t="e">
        <f t="shared" si="25"/>
        <v>#N/A</v>
      </c>
      <c r="AH44" t="str">
        <f t="shared" si="26"/>
        <v xml:space="preserve">["TIER"] = 1; </v>
      </c>
      <c r="AI44" t="str">
        <f t="shared" si="27"/>
        <v xml:space="preserve">["NAME"] = { ["EN"] = "Birds of Angmar: Common and Uncommon"; }; </v>
      </c>
      <c r="AJ44" t="str">
        <f t="shared" si="28"/>
        <v xml:space="preserve">["LORE"] = { ["EN"] = ""; }; </v>
      </c>
      <c r="AK44" t="str">
        <f t="shared" si="29"/>
        <v xml:space="preserve">["SUMMARY"] = { ["EN"] = ""; }; </v>
      </c>
      <c r="AL44" t="str">
        <f t="shared" si="30"/>
        <v/>
      </c>
      <c r="AM44" t="str">
        <f t="shared" si="31"/>
        <v>};</v>
      </c>
    </row>
    <row r="45" spans="1:39" x14ac:dyDescent="0.25">
      <c r="A45">
        <v>1879490636</v>
      </c>
      <c r="C45" t="s">
        <v>208</v>
      </c>
      <c r="L45">
        <v>1</v>
      </c>
      <c r="O45" t="str">
        <f t="shared" si="9"/>
        <v>[1879490636] = 1, // Birds of Angmar: Rare</v>
      </c>
      <c r="P45" t="str">
        <f t="shared" si="10"/>
        <v xml:space="preserve"> [44] = {["ID"] = 1879490636; ["TIER"] = 1; }; -- Birds of Angmar: Rare</v>
      </c>
      <c r="Q45" s="1" t="e">
        <f t="shared" si="11"/>
        <v>#N/A</v>
      </c>
      <c r="R45">
        <f t="shared" si="12"/>
        <v>44</v>
      </c>
      <c r="S45" t="str">
        <f t="shared" si="13"/>
        <v xml:space="preserve"> [44] = {</v>
      </c>
      <c r="T45" t="str">
        <f t="shared" si="14"/>
        <v xml:space="preserve">["ID"] = 1879490636; </v>
      </c>
      <c r="U45" t="str">
        <f t="shared" si="15"/>
        <v xml:space="preserve">["ID"] = 1879490636; </v>
      </c>
      <c r="V45" t="str">
        <f t="shared" si="16"/>
        <v/>
      </c>
      <c r="W45" s="1" t="str">
        <f t="shared" si="17"/>
        <v/>
      </c>
      <c r="X45" t="e">
        <f>VLOOKUP(D45,Type!A$2:B$17,2,FALSE)</f>
        <v>#N/A</v>
      </c>
      <c r="Y45" t="e">
        <f t="shared" si="18"/>
        <v>#N/A</v>
      </c>
      <c r="Z45" t="str">
        <f t="shared" si="19"/>
        <v>0</v>
      </c>
      <c r="AA45" t="str">
        <f t="shared" si="20"/>
        <v xml:space="preserve">["VXP"] = 0; </v>
      </c>
      <c r="AB45" t="str">
        <f t="shared" si="21"/>
        <v>0</v>
      </c>
      <c r="AC45" t="str">
        <f t="shared" si="22"/>
        <v xml:space="preserve">["LP"] = 0; </v>
      </c>
      <c r="AD45" t="str">
        <f t="shared" si="23"/>
        <v>0</v>
      </c>
      <c r="AE45" t="str">
        <f t="shared" si="24"/>
        <v xml:space="preserve">["REP"] = 0; </v>
      </c>
      <c r="AF45" t="e">
        <f>VLOOKUP(I45,Faction!A$2:B$77,2,FALSE)</f>
        <v>#N/A</v>
      </c>
      <c r="AG45" t="e">
        <f t="shared" si="25"/>
        <v>#N/A</v>
      </c>
      <c r="AH45" t="str">
        <f t="shared" si="26"/>
        <v xml:space="preserve">["TIER"] = 1; </v>
      </c>
      <c r="AI45" t="str">
        <f t="shared" si="27"/>
        <v xml:space="preserve">["NAME"] = { ["EN"] = "Birds of Angmar: Rare"; }; </v>
      </c>
      <c r="AJ45" t="str">
        <f t="shared" si="28"/>
        <v xml:space="preserve">["LORE"] = { ["EN"] = ""; }; </v>
      </c>
      <c r="AK45" t="str">
        <f t="shared" si="29"/>
        <v xml:space="preserve">["SUMMARY"] = { ["EN"] = ""; }; </v>
      </c>
      <c r="AL45" t="str">
        <f t="shared" si="30"/>
        <v/>
      </c>
      <c r="AM45" t="str">
        <f t="shared" si="31"/>
        <v>};</v>
      </c>
    </row>
    <row r="46" spans="1:39" x14ac:dyDescent="0.25">
      <c r="A46">
        <v>1879490648</v>
      </c>
      <c r="C46" t="s">
        <v>209</v>
      </c>
      <c r="L46">
        <v>1</v>
      </c>
      <c r="O46" t="str">
        <f t="shared" si="9"/>
        <v>[1879490648] = 1, // The Rarest Bird in Angmar</v>
      </c>
      <c r="P46" t="str">
        <f t="shared" si="10"/>
        <v xml:space="preserve"> [45] = {["ID"] = 1879490648; ["TIER"] = 1; }; -- The Rarest Bird in Angmar</v>
      </c>
      <c r="Q46" s="1" t="e">
        <f t="shared" si="11"/>
        <v>#N/A</v>
      </c>
      <c r="R46">
        <f t="shared" si="12"/>
        <v>45</v>
      </c>
      <c r="S46" t="str">
        <f t="shared" si="13"/>
        <v xml:space="preserve"> [45] = {</v>
      </c>
      <c r="T46" t="str">
        <f t="shared" si="14"/>
        <v xml:space="preserve">["ID"] = 1879490648; </v>
      </c>
      <c r="U46" t="str">
        <f t="shared" si="15"/>
        <v xml:space="preserve">["ID"] = 1879490648; </v>
      </c>
      <c r="V46" t="str">
        <f t="shared" si="16"/>
        <v/>
      </c>
      <c r="W46" s="1" t="str">
        <f t="shared" si="17"/>
        <v/>
      </c>
      <c r="X46" t="e">
        <f>VLOOKUP(D46,Type!A$2:B$17,2,FALSE)</f>
        <v>#N/A</v>
      </c>
      <c r="Y46" t="e">
        <f t="shared" si="18"/>
        <v>#N/A</v>
      </c>
      <c r="Z46" t="str">
        <f t="shared" si="19"/>
        <v>0</v>
      </c>
      <c r="AA46" t="str">
        <f t="shared" si="20"/>
        <v xml:space="preserve">["VXP"] = 0; </v>
      </c>
      <c r="AB46" t="str">
        <f t="shared" si="21"/>
        <v>0</v>
      </c>
      <c r="AC46" t="str">
        <f t="shared" si="22"/>
        <v xml:space="preserve">["LP"] = 0; </v>
      </c>
      <c r="AD46" t="str">
        <f t="shared" si="23"/>
        <v>0</v>
      </c>
      <c r="AE46" t="str">
        <f t="shared" si="24"/>
        <v xml:space="preserve">["REP"] = 0; </v>
      </c>
      <c r="AF46" t="e">
        <f>VLOOKUP(I46,Faction!A$2:B$77,2,FALSE)</f>
        <v>#N/A</v>
      </c>
      <c r="AG46" t="e">
        <f t="shared" si="25"/>
        <v>#N/A</v>
      </c>
      <c r="AH46" t="str">
        <f t="shared" si="26"/>
        <v xml:space="preserve">["TIER"] = 1; </v>
      </c>
      <c r="AI46" t="str">
        <f t="shared" si="27"/>
        <v xml:space="preserve">["NAME"] = { ["EN"] = "The Rarest Bird in Angmar"; }; </v>
      </c>
      <c r="AJ46" t="str">
        <f t="shared" si="28"/>
        <v xml:space="preserve">["LORE"] = { ["EN"] = ""; }; </v>
      </c>
      <c r="AK46" t="str">
        <f t="shared" si="29"/>
        <v xml:space="preserve">["SUMMARY"] = { ["EN"] = ""; }; </v>
      </c>
      <c r="AL46" t="str">
        <f t="shared" si="30"/>
        <v/>
      </c>
      <c r="AM46" t="str">
        <f t="shared" si="31"/>
        <v>};</v>
      </c>
    </row>
    <row r="47" spans="1:39" x14ac:dyDescent="0.25">
      <c r="A47">
        <v>1879490680</v>
      </c>
      <c r="C47" t="s">
        <v>210</v>
      </c>
      <c r="L47">
        <v>0</v>
      </c>
      <c r="O47" t="str">
        <f t="shared" si="9"/>
        <v/>
      </c>
      <c r="P47" t="str">
        <f t="shared" si="10"/>
        <v xml:space="preserve"> [46] = {["ID"] = 1879490680; }; -- All the Birds of Forochel</v>
      </c>
      <c r="Q47" s="1" t="e">
        <f t="shared" si="11"/>
        <v>#N/A</v>
      </c>
      <c r="R47">
        <f t="shared" si="12"/>
        <v>46</v>
      </c>
      <c r="S47" t="str">
        <f t="shared" si="13"/>
        <v xml:space="preserve"> [46] = {</v>
      </c>
      <c r="T47" t="str">
        <f t="shared" si="14"/>
        <v xml:space="preserve">["ID"] = 1879490680; </v>
      </c>
      <c r="U47" t="str">
        <f t="shared" si="15"/>
        <v xml:space="preserve">["ID"] = 1879490680; </v>
      </c>
      <c r="V47" t="str">
        <f t="shared" si="16"/>
        <v/>
      </c>
      <c r="W47" s="1" t="str">
        <f t="shared" si="17"/>
        <v/>
      </c>
      <c r="X47" t="e">
        <f>VLOOKUP(D47,Type!A$2:B$17,2,FALSE)</f>
        <v>#N/A</v>
      </c>
      <c r="Y47" t="e">
        <f t="shared" si="18"/>
        <v>#N/A</v>
      </c>
      <c r="Z47" t="str">
        <f t="shared" si="19"/>
        <v>0</v>
      </c>
      <c r="AA47" t="str">
        <f t="shared" si="20"/>
        <v xml:space="preserve">["VXP"] = 0; </v>
      </c>
      <c r="AB47" t="str">
        <f t="shared" si="21"/>
        <v>0</v>
      </c>
      <c r="AC47" t="str">
        <f t="shared" si="22"/>
        <v xml:space="preserve">["LP"] = 0; </v>
      </c>
      <c r="AD47" t="str">
        <f t="shared" si="23"/>
        <v>0</v>
      </c>
      <c r="AE47" t="str">
        <f t="shared" si="24"/>
        <v xml:space="preserve">["REP"] = 0; </v>
      </c>
      <c r="AF47" t="e">
        <f>VLOOKUP(I47,Faction!A$2:B$77,2,FALSE)</f>
        <v>#N/A</v>
      </c>
      <c r="AG47" t="e">
        <f t="shared" si="25"/>
        <v>#N/A</v>
      </c>
      <c r="AH47" t="str">
        <f t="shared" si="26"/>
        <v/>
      </c>
      <c r="AI47" t="str">
        <f t="shared" si="27"/>
        <v xml:space="preserve">["NAME"] = { ["EN"] = "All the Birds of Forochel"; }; </v>
      </c>
      <c r="AJ47" t="str">
        <f t="shared" si="28"/>
        <v xml:space="preserve">["LORE"] = { ["EN"] = ""; }; </v>
      </c>
      <c r="AK47" t="str">
        <f t="shared" si="29"/>
        <v xml:space="preserve">["SUMMARY"] = { ["EN"] = ""; }; </v>
      </c>
      <c r="AL47" t="str">
        <f t="shared" si="30"/>
        <v/>
      </c>
      <c r="AM47" t="str">
        <f t="shared" si="31"/>
        <v>};</v>
      </c>
    </row>
    <row r="48" spans="1:39" x14ac:dyDescent="0.25">
      <c r="A48">
        <v>1879490613</v>
      </c>
      <c r="C48" t="s">
        <v>211</v>
      </c>
      <c r="L48">
        <v>1</v>
      </c>
      <c r="O48" t="str">
        <f t="shared" si="9"/>
        <v>[1879490613] = 1, // Birds of Forochel: Common and Uncommon</v>
      </c>
      <c r="P48" t="str">
        <f t="shared" si="10"/>
        <v xml:space="preserve"> [47] = {["ID"] = 1879490613; ["TIER"] = 1; }; -- Birds of Forochel: Common and Uncommon</v>
      </c>
      <c r="Q48" s="1" t="e">
        <f t="shared" si="11"/>
        <v>#N/A</v>
      </c>
      <c r="R48">
        <f t="shared" si="12"/>
        <v>47</v>
      </c>
      <c r="S48" t="str">
        <f t="shared" si="13"/>
        <v xml:space="preserve"> [47] = {</v>
      </c>
      <c r="T48" t="str">
        <f t="shared" si="14"/>
        <v xml:space="preserve">["ID"] = 1879490613; </v>
      </c>
      <c r="U48" t="str">
        <f t="shared" si="15"/>
        <v xml:space="preserve">["ID"] = 1879490613; </v>
      </c>
      <c r="V48" t="str">
        <f t="shared" si="16"/>
        <v/>
      </c>
      <c r="W48" s="1" t="str">
        <f t="shared" si="17"/>
        <v/>
      </c>
      <c r="X48" t="e">
        <f>VLOOKUP(D48,Type!A$2:B$17,2,FALSE)</f>
        <v>#N/A</v>
      </c>
      <c r="Y48" t="e">
        <f t="shared" si="18"/>
        <v>#N/A</v>
      </c>
      <c r="Z48" t="str">
        <f t="shared" si="19"/>
        <v>0</v>
      </c>
      <c r="AA48" t="str">
        <f t="shared" si="20"/>
        <v xml:space="preserve">["VXP"] = 0; </v>
      </c>
      <c r="AB48" t="str">
        <f t="shared" si="21"/>
        <v>0</v>
      </c>
      <c r="AC48" t="str">
        <f t="shared" si="22"/>
        <v xml:space="preserve">["LP"] = 0; </v>
      </c>
      <c r="AD48" t="str">
        <f t="shared" si="23"/>
        <v>0</v>
      </c>
      <c r="AE48" t="str">
        <f t="shared" si="24"/>
        <v xml:space="preserve">["REP"] = 0; </v>
      </c>
      <c r="AF48" t="e">
        <f>VLOOKUP(I48,Faction!A$2:B$77,2,FALSE)</f>
        <v>#N/A</v>
      </c>
      <c r="AG48" t="e">
        <f t="shared" si="25"/>
        <v>#N/A</v>
      </c>
      <c r="AH48" t="str">
        <f t="shared" si="26"/>
        <v xml:space="preserve">["TIER"] = 1; </v>
      </c>
      <c r="AI48" t="str">
        <f t="shared" si="27"/>
        <v xml:space="preserve">["NAME"] = { ["EN"] = "Birds of Forochel: Common and Uncommon"; }; </v>
      </c>
      <c r="AJ48" t="str">
        <f t="shared" si="28"/>
        <v xml:space="preserve">["LORE"] = { ["EN"] = ""; }; </v>
      </c>
      <c r="AK48" t="str">
        <f t="shared" si="29"/>
        <v xml:space="preserve">["SUMMARY"] = { ["EN"] = ""; }; </v>
      </c>
      <c r="AL48" t="str">
        <f t="shared" si="30"/>
        <v/>
      </c>
      <c r="AM48" t="str">
        <f t="shared" si="31"/>
        <v>};</v>
      </c>
    </row>
    <row r="49" spans="1:39" x14ac:dyDescent="0.25">
      <c r="A49">
        <v>1879490624</v>
      </c>
      <c r="C49" t="s">
        <v>212</v>
      </c>
      <c r="L49">
        <v>1</v>
      </c>
      <c r="O49" t="str">
        <f t="shared" si="9"/>
        <v>[1879490624] = 1, // Birds of Forochel: Rare</v>
      </c>
      <c r="P49" t="str">
        <f t="shared" si="10"/>
        <v xml:space="preserve"> [48] = {["ID"] = 1879490624; ["TIER"] = 1; }; -- Birds of Forochel: Rare</v>
      </c>
      <c r="Q49" s="1" t="e">
        <f t="shared" si="11"/>
        <v>#N/A</v>
      </c>
      <c r="R49">
        <f t="shared" si="12"/>
        <v>48</v>
      </c>
      <c r="S49" t="str">
        <f t="shared" si="13"/>
        <v xml:space="preserve"> [48] = {</v>
      </c>
      <c r="T49" t="str">
        <f t="shared" si="14"/>
        <v xml:space="preserve">["ID"] = 1879490624; </v>
      </c>
      <c r="U49" t="str">
        <f t="shared" si="15"/>
        <v xml:space="preserve">["ID"] = 1879490624; </v>
      </c>
      <c r="V49" t="str">
        <f t="shared" si="16"/>
        <v/>
      </c>
      <c r="W49" s="1" t="str">
        <f t="shared" si="17"/>
        <v/>
      </c>
      <c r="X49" t="e">
        <f>VLOOKUP(D49,Type!A$2:B$17,2,FALSE)</f>
        <v>#N/A</v>
      </c>
      <c r="Y49" t="e">
        <f t="shared" si="18"/>
        <v>#N/A</v>
      </c>
      <c r="Z49" t="str">
        <f t="shared" si="19"/>
        <v>0</v>
      </c>
      <c r="AA49" t="str">
        <f t="shared" si="20"/>
        <v xml:space="preserve">["VXP"] = 0; </v>
      </c>
      <c r="AB49" t="str">
        <f t="shared" si="21"/>
        <v>0</v>
      </c>
      <c r="AC49" t="str">
        <f t="shared" si="22"/>
        <v xml:space="preserve">["LP"] = 0; </v>
      </c>
      <c r="AD49" t="str">
        <f t="shared" si="23"/>
        <v>0</v>
      </c>
      <c r="AE49" t="str">
        <f t="shared" si="24"/>
        <v xml:space="preserve">["REP"] = 0; </v>
      </c>
      <c r="AF49" t="e">
        <f>VLOOKUP(I49,Faction!A$2:B$77,2,FALSE)</f>
        <v>#N/A</v>
      </c>
      <c r="AG49" t="e">
        <f t="shared" si="25"/>
        <v>#N/A</v>
      </c>
      <c r="AH49" t="str">
        <f t="shared" si="26"/>
        <v xml:space="preserve">["TIER"] = 1; </v>
      </c>
      <c r="AI49" t="str">
        <f t="shared" si="27"/>
        <v xml:space="preserve">["NAME"] = { ["EN"] = "Birds of Forochel: Rare"; }; </v>
      </c>
      <c r="AJ49" t="str">
        <f t="shared" si="28"/>
        <v xml:space="preserve">["LORE"] = { ["EN"] = ""; }; </v>
      </c>
      <c r="AK49" t="str">
        <f t="shared" si="29"/>
        <v xml:space="preserve">["SUMMARY"] = { ["EN"] = ""; }; </v>
      </c>
      <c r="AL49" t="str">
        <f t="shared" si="30"/>
        <v/>
      </c>
      <c r="AM49" t="str">
        <f t="shared" si="31"/>
        <v>};</v>
      </c>
    </row>
    <row r="50" spans="1:39" x14ac:dyDescent="0.25">
      <c r="A50">
        <v>1879490618</v>
      </c>
      <c r="C50" t="s">
        <v>213</v>
      </c>
      <c r="L50">
        <v>1</v>
      </c>
      <c r="O50" t="str">
        <f t="shared" si="9"/>
        <v>[1879490618] = 1, // The Rarest Bird in Forochel</v>
      </c>
      <c r="P50" t="str">
        <f t="shared" si="10"/>
        <v xml:space="preserve"> [49] = {["ID"] = 1879490618; ["TIER"] = 1; }; -- The Rarest Bird in Forochel</v>
      </c>
      <c r="Q50" s="1" t="e">
        <f t="shared" si="11"/>
        <v>#N/A</v>
      </c>
      <c r="R50">
        <f t="shared" si="12"/>
        <v>49</v>
      </c>
      <c r="S50" t="str">
        <f t="shared" si="13"/>
        <v xml:space="preserve"> [49] = {</v>
      </c>
      <c r="T50" t="str">
        <f t="shared" si="14"/>
        <v xml:space="preserve">["ID"] = 1879490618; </v>
      </c>
      <c r="U50" t="str">
        <f t="shared" si="15"/>
        <v xml:space="preserve">["ID"] = 1879490618; </v>
      </c>
      <c r="V50" t="str">
        <f t="shared" si="16"/>
        <v/>
      </c>
      <c r="W50" s="1" t="str">
        <f t="shared" si="17"/>
        <v/>
      </c>
      <c r="X50" t="e">
        <f>VLOOKUP(D50,Type!A$2:B$17,2,FALSE)</f>
        <v>#N/A</v>
      </c>
      <c r="Y50" t="e">
        <f t="shared" si="18"/>
        <v>#N/A</v>
      </c>
      <c r="Z50" t="str">
        <f t="shared" si="19"/>
        <v>0</v>
      </c>
      <c r="AA50" t="str">
        <f t="shared" si="20"/>
        <v xml:space="preserve">["VXP"] = 0; </v>
      </c>
      <c r="AB50" t="str">
        <f t="shared" si="21"/>
        <v>0</v>
      </c>
      <c r="AC50" t="str">
        <f t="shared" si="22"/>
        <v xml:space="preserve">["LP"] = 0; </v>
      </c>
      <c r="AD50" t="str">
        <f t="shared" si="23"/>
        <v>0</v>
      </c>
      <c r="AE50" t="str">
        <f t="shared" si="24"/>
        <v xml:space="preserve">["REP"] = 0; </v>
      </c>
      <c r="AF50" t="e">
        <f>VLOOKUP(I50,Faction!A$2:B$77,2,FALSE)</f>
        <v>#N/A</v>
      </c>
      <c r="AG50" t="e">
        <f t="shared" si="25"/>
        <v>#N/A</v>
      </c>
      <c r="AH50" t="str">
        <f t="shared" si="26"/>
        <v xml:space="preserve">["TIER"] = 1; </v>
      </c>
      <c r="AI50" t="str">
        <f t="shared" si="27"/>
        <v xml:space="preserve">["NAME"] = { ["EN"] = "The Rarest Bird in Forochel"; }; </v>
      </c>
      <c r="AJ50" t="str">
        <f t="shared" si="28"/>
        <v xml:space="preserve">["LORE"] = { ["EN"] = ""; }; </v>
      </c>
      <c r="AK50" t="str">
        <f t="shared" si="29"/>
        <v xml:space="preserve">["SUMMARY"] = { ["EN"] = ""; }; </v>
      </c>
      <c r="AL50" t="str">
        <f t="shared" si="30"/>
        <v/>
      </c>
      <c r="AM50" t="str">
        <f t="shared" si="31"/>
        <v>};</v>
      </c>
    </row>
    <row r="51" spans="1:39" x14ac:dyDescent="0.25">
      <c r="A51">
        <v>1879490681</v>
      </c>
      <c r="C51" t="s">
        <v>214</v>
      </c>
      <c r="L51">
        <v>0</v>
      </c>
      <c r="O51" t="str">
        <f t="shared" si="9"/>
        <v/>
      </c>
      <c r="P51" t="str">
        <f t="shared" si="10"/>
        <v xml:space="preserve"> [50] = {["ID"] = 1879490681; }; -- All the Birds of Eregion</v>
      </c>
      <c r="Q51" s="1" t="e">
        <f t="shared" si="11"/>
        <v>#N/A</v>
      </c>
      <c r="R51">
        <f t="shared" si="12"/>
        <v>50</v>
      </c>
      <c r="S51" t="str">
        <f t="shared" si="13"/>
        <v xml:space="preserve"> [50] = {</v>
      </c>
      <c r="T51" t="str">
        <f t="shared" si="14"/>
        <v xml:space="preserve">["ID"] = 1879490681; </v>
      </c>
      <c r="U51" t="str">
        <f t="shared" si="15"/>
        <v xml:space="preserve">["ID"] = 1879490681; </v>
      </c>
      <c r="V51" t="str">
        <f t="shared" si="16"/>
        <v/>
      </c>
      <c r="W51" s="1" t="str">
        <f t="shared" si="17"/>
        <v/>
      </c>
      <c r="X51" t="e">
        <f>VLOOKUP(D51,Type!A$2:B$17,2,FALSE)</f>
        <v>#N/A</v>
      </c>
      <c r="Y51" t="e">
        <f t="shared" si="18"/>
        <v>#N/A</v>
      </c>
      <c r="Z51" t="str">
        <f t="shared" si="19"/>
        <v>0</v>
      </c>
      <c r="AA51" t="str">
        <f t="shared" si="20"/>
        <v xml:space="preserve">["VXP"] = 0; </v>
      </c>
      <c r="AB51" t="str">
        <f t="shared" si="21"/>
        <v>0</v>
      </c>
      <c r="AC51" t="str">
        <f t="shared" si="22"/>
        <v xml:space="preserve">["LP"] = 0; </v>
      </c>
      <c r="AD51" t="str">
        <f t="shared" si="23"/>
        <v>0</v>
      </c>
      <c r="AE51" t="str">
        <f t="shared" si="24"/>
        <v xml:space="preserve">["REP"] = 0; </v>
      </c>
      <c r="AF51" t="e">
        <f>VLOOKUP(I51,Faction!A$2:B$77,2,FALSE)</f>
        <v>#N/A</v>
      </c>
      <c r="AG51" t="e">
        <f t="shared" si="25"/>
        <v>#N/A</v>
      </c>
      <c r="AH51" t="str">
        <f t="shared" si="26"/>
        <v/>
      </c>
      <c r="AI51" t="str">
        <f t="shared" si="27"/>
        <v xml:space="preserve">["NAME"] = { ["EN"] = "All the Birds of Eregion"; }; </v>
      </c>
      <c r="AJ51" t="str">
        <f t="shared" si="28"/>
        <v xml:space="preserve">["LORE"] = { ["EN"] = ""; }; </v>
      </c>
      <c r="AK51" t="str">
        <f t="shared" si="29"/>
        <v xml:space="preserve">["SUMMARY"] = { ["EN"] = ""; }; </v>
      </c>
      <c r="AL51" t="str">
        <f t="shared" si="30"/>
        <v/>
      </c>
      <c r="AM51" t="str">
        <f t="shared" si="31"/>
        <v>};</v>
      </c>
    </row>
    <row r="52" spans="1:39" x14ac:dyDescent="0.25">
      <c r="A52">
        <v>1879490631</v>
      </c>
      <c r="C52" t="s">
        <v>215</v>
      </c>
      <c r="L52">
        <v>1</v>
      </c>
      <c r="O52" t="str">
        <f t="shared" si="9"/>
        <v>[1879490631] = 1, // Birds of Eregion: Common and Uncommon</v>
      </c>
      <c r="P52" t="str">
        <f t="shared" si="10"/>
        <v xml:space="preserve"> [51] = {["ID"] = 1879490631; ["TIER"] = 1; }; -- Birds of Eregion: Common and Uncommon</v>
      </c>
      <c r="Q52" s="1" t="e">
        <f t="shared" si="11"/>
        <v>#N/A</v>
      </c>
      <c r="R52">
        <f t="shared" si="12"/>
        <v>51</v>
      </c>
      <c r="S52" t="str">
        <f t="shared" si="13"/>
        <v xml:space="preserve"> [51] = {</v>
      </c>
      <c r="T52" t="str">
        <f t="shared" si="14"/>
        <v xml:space="preserve">["ID"] = 1879490631; </v>
      </c>
      <c r="U52" t="str">
        <f t="shared" si="15"/>
        <v xml:space="preserve">["ID"] = 1879490631; </v>
      </c>
      <c r="V52" t="str">
        <f t="shared" si="16"/>
        <v/>
      </c>
      <c r="W52" s="1" t="str">
        <f t="shared" si="17"/>
        <v/>
      </c>
      <c r="X52" t="e">
        <f>VLOOKUP(D52,Type!A$2:B$17,2,FALSE)</f>
        <v>#N/A</v>
      </c>
      <c r="Y52" t="e">
        <f t="shared" si="18"/>
        <v>#N/A</v>
      </c>
      <c r="Z52" t="str">
        <f t="shared" si="19"/>
        <v>0</v>
      </c>
      <c r="AA52" t="str">
        <f t="shared" si="20"/>
        <v xml:space="preserve">["VXP"] = 0; </v>
      </c>
      <c r="AB52" t="str">
        <f t="shared" si="21"/>
        <v>0</v>
      </c>
      <c r="AC52" t="str">
        <f t="shared" si="22"/>
        <v xml:space="preserve">["LP"] = 0; </v>
      </c>
      <c r="AD52" t="str">
        <f t="shared" si="23"/>
        <v>0</v>
      </c>
      <c r="AE52" t="str">
        <f t="shared" si="24"/>
        <v xml:space="preserve">["REP"] = 0; </v>
      </c>
      <c r="AF52" t="e">
        <f>VLOOKUP(I52,Faction!A$2:B$77,2,FALSE)</f>
        <v>#N/A</v>
      </c>
      <c r="AG52" t="e">
        <f t="shared" si="25"/>
        <v>#N/A</v>
      </c>
      <c r="AH52" t="str">
        <f t="shared" si="26"/>
        <v xml:space="preserve">["TIER"] = 1; </v>
      </c>
      <c r="AI52" t="str">
        <f t="shared" si="27"/>
        <v xml:space="preserve">["NAME"] = { ["EN"] = "Birds of Eregion: Common and Uncommon"; }; </v>
      </c>
      <c r="AJ52" t="str">
        <f t="shared" si="28"/>
        <v xml:space="preserve">["LORE"] = { ["EN"] = ""; }; </v>
      </c>
      <c r="AK52" t="str">
        <f t="shared" si="29"/>
        <v xml:space="preserve">["SUMMARY"] = { ["EN"] = ""; }; </v>
      </c>
      <c r="AL52" t="str">
        <f t="shared" si="30"/>
        <v/>
      </c>
      <c r="AM52" t="str">
        <f t="shared" si="31"/>
        <v>};</v>
      </c>
    </row>
    <row r="53" spans="1:39" x14ac:dyDescent="0.25">
      <c r="A53">
        <v>1879490644</v>
      </c>
      <c r="C53" t="s">
        <v>216</v>
      </c>
      <c r="L53">
        <v>1</v>
      </c>
      <c r="O53" t="str">
        <f t="shared" si="9"/>
        <v>[1879490644] = 1, // Birds of Eregion: Rare</v>
      </c>
      <c r="P53" t="str">
        <f t="shared" si="10"/>
        <v xml:space="preserve"> [52] = {["ID"] = 1879490644; ["TIER"] = 1; }; -- Birds of Eregion: Rare</v>
      </c>
      <c r="Q53" s="1" t="e">
        <f t="shared" si="11"/>
        <v>#N/A</v>
      </c>
      <c r="R53">
        <f t="shared" si="12"/>
        <v>52</v>
      </c>
      <c r="S53" t="str">
        <f t="shared" si="13"/>
        <v xml:space="preserve"> [52] = {</v>
      </c>
      <c r="T53" t="str">
        <f t="shared" si="14"/>
        <v xml:space="preserve">["ID"] = 1879490644; </v>
      </c>
      <c r="U53" t="str">
        <f t="shared" si="15"/>
        <v xml:space="preserve">["ID"] = 1879490644; </v>
      </c>
      <c r="V53" t="str">
        <f t="shared" si="16"/>
        <v/>
      </c>
      <c r="W53" s="1" t="str">
        <f t="shared" si="17"/>
        <v/>
      </c>
      <c r="X53" t="e">
        <f>VLOOKUP(D53,Type!A$2:B$17,2,FALSE)</f>
        <v>#N/A</v>
      </c>
      <c r="Y53" t="e">
        <f t="shared" si="18"/>
        <v>#N/A</v>
      </c>
      <c r="Z53" t="str">
        <f t="shared" si="19"/>
        <v>0</v>
      </c>
      <c r="AA53" t="str">
        <f t="shared" si="20"/>
        <v xml:space="preserve">["VXP"] = 0; </v>
      </c>
      <c r="AB53" t="str">
        <f t="shared" si="21"/>
        <v>0</v>
      </c>
      <c r="AC53" t="str">
        <f t="shared" si="22"/>
        <v xml:space="preserve">["LP"] = 0; </v>
      </c>
      <c r="AD53" t="str">
        <f t="shared" si="23"/>
        <v>0</v>
      </c>
      <c r="AE53" t="str">
        <f t="shared" si="24"/>
        <v xml:space="preserve">["REP"] = 0; </v>
      </c>
      <c r="AF53" t="e">
        <f>VLOOKUP(I53,Faction!A$2:B$77,2,FALSE)</f>
        <v>#N/A</v>
      </c>
      <c r="AG53" t="e">
        <f t="shared" si="25"/>
        <v>#N/A</v>
      </c>
      <c r="AH53" t="str">
        <f t="shared" si="26"/>
        <v xml:space="preserve">["TIER"] = 1; </v>
      </c>
      <c r="AI53" t="str">
        <f t="shared" si="27"/>
        <v xml:space="preserve">["NAME"] = { ["EN"] = "Birds of Eregion: Rare"; }; </v>
      </c>
      <c r="AJ53" t="str">
        <f t="shared" si="28"/>
        <v xml:space="preserve">["LORE"] = { ["EN"] = ""; }; </v>
      </c>
      <c r="AK53" t="str">
        <f t="shared" si="29"/>
        <v xml:space="preserve">["SUMMARY"] = { ["EN"] = ""; }; </v>
      </c>
      <c r="AL53" t="str">
        <f t="shared" si="30"/>
        <v/>
      </c>
      <c r="AM53" t="str">
        <f t="shared" si="31"/>
        <v>};</v>
      </c>
    </row>
    <row r="54" spans="1:39" x14ac:dyDescent="0.25">
      <c r="A54">
        <v>1879490628</v>
      </c>
      <c r="C54" t="s">
        <v>217</v>
      </c>
      <c r="L54">
        <v>1</v>
      </c>
      <c r="O54" t="str">
        <f t="shared" si="9"/>
        <v>[1879490628] = 1, // The Rarest Bird in Eregion</v>
      </c>
      <c r="P54" t="str">
        <f t="shared" si="10"/>
        <v xml:space="preserve"> [53] = {["ID"] = 1879490628; ["TIER"] = 1; }; -- The Rarest Bird in Eregion</v>
      </c>
      <c r="Q54" s="1" t="e">
        <f t="shared" si="11"/>
        <v>#N/A</v>
      </c>
      <c r="R54">
        <f t="shared" si="12"/>
        <v>53</v>
      </c>
      <c r="S54" t="str">
        <f t="shared" si="13"/>
        <v xml:space="preserve"> [53] = {</v>
      </c>
      <c r="T54" t="str">
        <f t="shared" si="14"/>
        <v xml:space="preserve">["ID"] = 1879490628; </v>
      </c>
      <c r="U54" t="str">
        <f t="shared" si="15"/>
        <v xml:space="preserve">["ID"] = 1879490628; </v>
      </c>
      <c r="V54" t="str">
        <f t="shared" si="16"/>
        <v/>
      </c>
      <c r="W54" s="1" t="str">
        <f t="shared" si="17"/>
        <v/>
      </c>
      <c r="X54" t="e">
        <f>VLOOKUP(D54,Type!A$2:B$17,2,FALSE)</f>
        <v>#N/A</v>
      </c>
      <c r="Y54" t="e">
        <f t="shared" si="18"/>
        <v>#N/A</v>
      </c>
      <c r="Z54" t="str">
        <f t="shared" si="19"/>
        <v>0</v>
      </c>
      <c r="AA54" t="str">
        <f t="shared" si="20"/>
        <v xml:space="preserve">["VXP"] = 0; </v>
      </c>
      <c r="AB54" t="str">
        <f t="shared" si="21"/>
        <v>0</v>
      </c>
      <c r="AC54" t="str">
        <f t="shared" si="22"/>
        <v xml:space="preserve">["LP"] = 0; </v>
      </c>
      <c r="AD54" t="str">
        <f t="shared" si="23"/>
        <v>0</v>
      </c>
      <c r="AE54" t="str">
        <f t="shared" si="24"/>
        <v xml:space="preserve">["REP"] = 0; </v>
      </c>
      <c r="AF54" t="e">
        <f>VLOOKUP(I54,Faction!A$2:B$77,2,FALSE)</f>
        <v>#N/A</v>
      </c>
      <c r="AG54" t="e">
        <f t="shared" si="25"/>
        <v>#N/A</v>
      </c>
      <c r="AH54" t="str">
        <f t="shared" si="26"/>
        <v xml:space="preserve">["TIER"] = 1; </v>
      </c>
      <c r="AI54" t="str">
        <f t="shared" si="27"/>
        <v xml:space="preserve">["NAME"] = { ["EN"] = "The Rarest Bird in Eregion"; }; </v>
      </c>
      <c r="AJ54" t="str">
        <f t="shared" si="28"/>
        <v xml:space="preserve">["LORE"] = { ["EN"] = ""; }; </v>
      </c>
      <c r="AK54" t="str">
        <f t="shared" si="29"/>
        <v xml:space="preserve">["SUMMARY"] = { ["EN"] = ""; }; </v>
      </c>
      <c r="AL54" t="str">
        <f t="shared" si="30"/>
        <v/>
      </c>
      <c r="AM54" t="str">
        <f t="shared" si="31"/>
        <v>};</v>
      </c>
    </row>
    <row r="55" spans="1:39" x14ac:dyDescent="0.25">
      <c r="A55">
        <v>1879490669</v>
      </c>
      <c r="C55" t="s">
        <v>218</v>
      </c>
      <c r="L55">
        <v>0</v>
      </c>
      <c r="O55" t="str">
        <f t="shared" si="9"/>
        <v/>
      </c>
      <c r="P55" t="str">
        <f t="shared" si="10"/>
        <v xml:space="preserve"> [54] = {["ID"] = 1879490669; }; -- All the Birds of Enedwaith</v>
      </c>
      <c r="Q55" s="1" t="e">
        <f t="shared" si="11"/>
        <v>#N/A</v>
      </c>
      <c r="R55">
        <f t="shared" si="12"/>
        <v>54</v>
      </c>
      <c r="S55" t="str">
        <f t="shared" si="13"/>
        <v xml:space="preserve"> [54] = {</v>
      </c>
      <c r="T55" t="str">
        <f t="shared" si="14"/>
        <v xml:space="preserve">["ID"] = 1879490669; </v>
      </c>
      <c r="U55" t="str">
        <f t="shared" si="15"/>
        <v xml:space="preserve">["ID"] = 1879490669; </v>
      </c>
      <c r="V55" t="str">
        <f t="shared" si="16"/>
        <v/>
      </c>
      <c r="W55" s="1" t="str">
        <f t="shared" si="17"/>
        <v/>
      </c>
      <c r="X55" t="e">
        <f>VLOOKUP(D55,Type!A$2:B$17,2,FALSE)</f>
        <v>#N/A</v>
      </c>
      <c r="Y55" t="e">
        <f t="shared" si="18"/>
        <v>#N/A</v>
      </c>
      <c r="Z55" t="str">
        <f t="shared" si="19"/>
        <v>0</v>
      </c>
      <c r="AA55" t="str">
        <f t="shared" si="20"/>
        <v xml:space="preserve">["VXP"] = 0; </v>
      </c>
      <c r="AB55" t="str">
        <f t="shared" si="21"/>
        <v>0</v>
      </c>
      <c r="AC55" t="str">
        <f t="shared" si="22"/>
        <v xml:space="preserve">["LP"] = 0; </v>
      </c>
      <c r="AD55" t="str">
        <f t="shared" si="23"/>
        <v>0</v>
      </c>
      <c r="AE55" t="str">
        <f t="shared" si="24"/>
        <v xml:space="preserve">["REP"] = 0; </v>
      </c>
      <c r="AF55" t="e">
        <f>VLOOKUP(I55,Faction!A$2:B$77,2,FALSE)</f>
        <v>#N/A</v>
      </c>
      <c r="AG55" t="e">
        <f t="shared" si="25"/>
        <v>#N/A</v>
      </c>
      <c r="AH55" t="str">
        <f t="shared" si="26"/>
        <v/>
      </c>
      <c r="AI55" t="str">
        <f t="shared" si="27"/>
        <v xml:space="preserve">["NAME"] = { ["EN"] = "All the Birds of Enedwaith"; }; </v>
      </c>
      <c r="AJ55" t="str">
        <f t="shared" si="28"/>
        <v xml:space="preserve">["LORE"] = { ["EN"] = ""; }; </v>
      </c>
      <c r="AK55" t="str">
        <f t="shared" si="29"/>
        <v xml:space="preserve">["SUMMARY"] = { ["EN"] = ""; }; </v>
      </c>
      <c r="AL55" t="str">
        <f t="shared" si="30"/>
        <v/>
      </c>
      <c r="AM55" t="str">
        <f t="shared" si="31"/>
        <v>};</v>
      </c>
    </row>
    <row r="56" spans="1:39" x14ac:dyDescent="0.25">
      <c r="A56">
        <v>1879490616</v>
      </c>
      <c r="C56" t="s">
        <v>219</v>
      </c>
      <c r="L56">
        <v>1</v>
      </c>
      <c r="O56" t="str">
        <f t="shared" si="9"/>
        <v>[1879490616] = 1, // Birds of Enedwaith: Common and Uncommon</v>
      </c>
      <c r="P56" t="str">
        <f t="shared" si="10"/>
        <v xml:space="preserve"> [55] = {["ID"] = 1879490616; ["TIER"] = 1; }; -- Birds of Enedwaith: Common and Uncommon</v>
      </c>
      <c r="Q56" s="1" t="e">
        <f t="shared" si="11"/>
        <v>#N/A</v>
      </c>
      <c r="R56">
        <f t="shared" si="12"/>
        <v>55</v>
      </c>
      <c r="S56" t="str">
        <f t="shared" si="13"/>
        <v xml:space="preserve"> [55] = {</v>
      </c>
      <c r="T56" t="str">
        <f t="shared" si="14"/>
        <v xml:space="preserve">["ID"] = 1879490616; </v>
      </c>
      <c r="U56" t="str">
        <f t="shared" si="15"/>
        <v xml:space="preserve">["ID"] = 1879490616; </v>
      </c>
      <c r="V56" t="str">
        <f t="shared" si="16"/>
        <v/>
      </c>
      <c r="W56" s="1" t="str">
        <f t="shared" si="17"/>
        <v/>
      </c>
      <c r="X56" t="e">
        <f>VLOOKUP(D56,Type!A$2:B$17,2,FALSE)</f>
        <v>#N/A</v>
      </c>
      <c r="Y56" t="e">
        <f t="shared" si="18"/>
        <v>#N/A</v>
      </c>
      <c r="Z56" t="str">
        <f t="shared" si="19"/>
        <v>0</v>
      </c>
      <c r="AA56" t="str">
        <f t="shared" si="20"/>
        <v xml:space="preserve">["VXP"] = 0; </v>
      </c>
      <c r="AB56" t="str">
        <f t="shared" si="21"/>
        <v>0</v>
      </c>
      <c r="AC56" t="str">
        <f t="shared" si="22"/>
        <v xml:space="preserve">["LP"] = 0; </v>
      </c>
      <c r="AD56" t="str">
        <f t="shared" si="23"/>
        <v>0</v>
      </c>
      <c r="AE56" t="str">
        <f t="shared" si="24"/>
        <v xml:space="preserve">["REP"] = 0; </v>
      </c>
      <c r="AF56" t="e">
        <f>VLOOKUP(I56,Faction!A$2:B$77,2,FALSE)</f>
        <v>#N/A</v>
      </c>
      <c r="AG56" t="e">
        <f t="shared" si="25"/>
        <v>#N/A</v>
      </c>
      <c r="AH56" t="str">
        <f t="shared" si="26"/>
        <v xml:space="preserve">["TIER"] = 1; </v>
      </c>
      <c r="AI56" t="str">
        <f t="shared" si="27"/>
        <v xml:space="preserve">["NAME"] = { ["EN"] = "Birds of Enedwaith: Common and Uncommon"; }; </v>
      </c>
      <c r="AJ56" t="str">
        <f t="shared" si="28"/>
        <v xml:space="preserve">["LORE"] = { ["EN"] = ""; }; </v>
      </c>
      <c r="AK56" t="str">
        <f t="shared" si="29"/>
        <v xml:space="preserve">["SUMMARY"] = { ["EN"] = ""; }; </v>
      </c>
      <c r="AL56" t="str">
        <f t="shared" si="30"/>
        <v/>
      </c>
      <c r="AM56" t="str">
        <f t="shared" si="31"/>
        <v>};</v>
      </c>
    </row>
    <row r="57" spans="1:39" x14ac:dyDescent="0.25">
      <c r="A57">
        <v>1879490652</v>
      </c>
      <c r="C57" t="s">
        <v>220</v>
      </c>
      <c r="L57">
        <v>1</v>
      </c>
      <c r="O57" t="str">
        <f t="shared" si="9"/>
        <v>[1879490652] = 1, // Birds of Enedwaith: Rare</v>
      </c>
      <c r="P57" t="str">
        <f t="shared" si="10"/>
        <v xml:space="preserve"> [56] = {["ID"] = 1879490652; ["TIER"] = 1; }; -- Birds of Enedwaith: Rare</v>
      </c>
      <c r="Q57" s="1" t="e">
        <f t="shared" si="11"/>
        <v>#N/A</v>
      </c>
      <c r="R57">
        <f t="shared" si="12"/>
        <v>56</v>
      </c>
      <c r="S57" t="str">
        <f t="shared" si="13"/>
        <v xml:space="preserve"> [56] = {</v>
      </c>
      <c r="T57" t="str">
        <f t="shared" si="14"/>
        <v xml:space="preserve">["ID"] = 1879490652; </v>
      </c>
      <c r="U57" t="str">
        <f t="shared" si="15"/>
        <v xml:space="preserve">["ID"] = 1879490652; </v>
      </c>
      <c r="V57" t="str">
        <f t="shared" si="16"/>
        <v/>
      </c>
      <c r="W57" s="1" t="str">
        <f t="shared" si="17"/>
        <v/>
      </c>
      <c r="X57" t="e">
        <f>VLOOKUP(D57,Type!A$2:B$17,2,FALSE)</f>
        <v>#N/A</v>
      </c>
      <c r="Y57" t="e">
        <f t="shared" si="18"/>
        <v>#N/A</v>
      </c>
      <c r="Z57" t="str">
        <f t="shared" si="19"/>
        <v>0</v>
      </c>
      <c r="AA57" t="str">
        <f t="shared" si="20"/>
        <v xml:space="preserve">["VXP"] = 0; </v>
      </c>
      <c r="AB57" t="str">
        <f t="shared" si="21"/>
        <v>0</v>
      </c>
      <c r="AC57" t="str">
        <f t="shared" si="22"/>
        <v xml:space="preserve">["LP"] = 0; </v>
      </c>
      <c r="AD57" t="str">
        <f t="shared" si="23"/>
        <v>0</v>
      </c>
      <c r="AE57" t="str">
        <f t="shared" si="24"/>
        <v xml:space="preserve">["REP"] = 0; </v>
      </c>
      <c r="AF57" t="e">
        <f>VLOOKUP(I57,Faction!A$2:B$77,2,FALSE)</f>
        <v>#N/A</v>
      </c>
      <c r="AG57" t="e">
        <f t="shared" si="25"/>
        <v>#N/A</v>
      </c>
      <c r="AH57" t="str">
        <f t="shared" si="26"/>
        <v xml:space="preserve">["TIER"] = 1; </v>
      </c>
      <c r="AI57" t="str">
        <f t="shared" si="27"/>
        <v xml:space="preserve">["NAME"] = { ["EN"] = "Birds of Enedwaith: Rare"; }; </v>
      </c>
      <c r="AJ57" t="str">
        <f t="shared" si="28"/>
        <v xml:space="preserve">["LORE"] = { ["EN"] = ""; }; </v>
      </c>
      <c r="AK57" t="str">
        <f t="shared" si="29"/>
        <v xml:space="preserve">["SUMMARY"] = { ["EN"] = ""; }; </v>
      </c>
      <c r="AL57" t="str">
        <f t="shared" si="30"/>
        <v/>
      </c>
      <c r="AM57" t="str">
        <f t="shared" si="31"/>
        <v>};</v>
      </c>
    </row>
    <row r="58" spans="1:39" x14ac:dyDescent="0.25">
      <c r="A58">
        <v>1879490653</v>
      </c>
      <c r="C58" t="s">
        <v>221</v>
      </c>
      <c r="L58">
        <v>1</v>
      </c>
      <c r="O58" t="str">
        <f t="shared" si="9"/>
        <v>[1879490653] = 1, // The Rarest Bird in Enedwaith</v>
      </c>
      <c r="P58" t="str">
        <f t="shared" si="10"/>
        <v xml:space="preserve"> [57] = {["ID"] = 1879490653; ["TIER"] = 1; }; -- The Rarest Bird in Enedwaith</v>
      </c>
      <c r="Q58" s="1" t="e">
        <f t="shared" si="11"/>
        <v>#N/A</v>
      </c>
      <c r="R58">
        <f t="shared" si="12"/>
        <v>57</v>
      </c>
      <c r="S58" t="str">
        <f t="shared" si="13"/>
        <v xml:space="preserve"> [57] = {</v>
      </c>
      <c r="T58" t="str">
        <f t="shared" si="14"/>
        <v xml:space="preserve">["ID"] = 1879490653; </v>
      </c>
      <c r="U58" t="str">
        <f t="shared" si="15"/>
        <v xml:space="preserve">["ID"] = 1879490653; </v>
      </c>
      <c r="V58" t="str">
        <f t="shared" si="16"/>
        <v/>
      </c>
      <c r="W58" s="1" t="str">
        <f t="shared" si="17"/>
        <v/>
      </c>
      <c r="X58" t="e">
        <f>VLOOKUP(D58,Type!A$2:B$17,2,FALSE)</f>
        <v>#N/A</v>
      </c>
      <c r="Y58" t="e">
        <f t="shared" si="18"/>
        <v>#N/A</v>
      </c>
      <c r="Z58" t="str">
        <f t="shared" si="19"/>
        <v>0</v>
      </c>
      <c r="AA58" t="str">
        <f t="shared" si="20"/>
        <v xml:space="preserve">["VXP"] = 0; </v>
      </c>
      <c r="AB58" t="str">
        <f t="shared" si="21"/>
        <v>0</v>
      </c>
      <c r="AC58" t="str">
        <f t="shared" si="22"/>
        <v xml:space="preserve">["LP"] = 0; </v>
      </c>
      <c r="AD58" t="str">
        <f t="shared" si="23"/>
        <v>0</v>
      </c>
      <c r="AE58" t="str">
        <f t="shared" si="24"/>
        <v xml:space="preserve">["REP"] = 0; </v>
      </c>
      <c r="AF58" t="e">
        <f>VLOOKUP(I58,Faction!A$2:B$77,2,FALSE)</f>
        <v>#N/A</v>
      </c>
      <c r="AG58" t="e">
        <f t="shared" si="25"/>
        <v>#N/A</v>
      </c>
      <c r="AH58" t="str">
        <f t="shared" si="26"/>
        <v xml:space="preserve">["TIER"] = 1; </v>
      </c>
      <c r="AI58" t="str">
        <f t="shared" si="27"/>
        <v xml:space="preserve">["NAME"] = { ["EN"] = "The Rarest Bird in Enedwaith"; }; </v>
      </c>
      <c r="AJ58" t="str">
        <f t="shared" si="28"/>
        <v xml:space="preserve">["LORE"] = { ["EN"] = ""; }; </v>
      </c>
      <c r="AK58" t="str">
        <f t="shared" si="29"/>
        <v xml:space="preserve">["SUMMARY"] = { ["EN"] = ""; }; </v>
      </c>
      <c r="AL58" t="str">
        <f t="shared" si="30"/>
        <v/>
      </c>
      <c r="AM58" t="str">
        <f t="shared" si="31"/>
        <v>};</v>
      </c>
    </row>
    <row r="59" spans="1:39" x14ac:dyDescent="0.25">
      <c r="A59">
        <v>1879490672</v>
      </c>
      <c r="C59" t="s">
        <v>222</v>
      </c>
      <c r="L59">
        <v>0</v>
      </c>
      <c r="O59" t="str">
        <f t="shared" si="9"/>
        <v/>
      </c>
      <c r="P59" t="str">
        <f t="shared" si="10"/>
        <v xml:space="preserve"> [58] = {["ID"] = 1879490672; }; -- All the Birds of Dunland</v>
      </c>
      <c r="Q59" s="1" t="e">
        <f t="shared" si="11"/>
        <v>#N/A</v>
      </c>
      <c r="R59">
        <f t="shared" si="12"/>
        <v>58</v>
      </c>
      <c r="S59" t="str">
        <f t="shared" si="13"/>
        <v xml:space="preserve"> [58] = {</v>
      </c>
      <c r="T59" t="str">
        <f t="shared" si="14"/>
        <v xml:space="preserve">["ID"] = 1879490672; </v>
      </c>
      <c r="U59" t="str">
        <f t="shared" si="15"/>
        <v xml:space="preserve">["ID"] = 1879490672; </v>
      </c>
      <c r="V59" t="str">
        <f t="shared" si="16"/>
        <v/>
      </c>
      <c r="W59" s="1" t="str">
        <f t="shared" si="17"/>
        <v/>
      </c>
      <c r="X59" t="e">
        <f>VLOOKUP(D59,Type!A$2:B$17,2,FALSE)</f>
        <v>#N/A</v>
      </c>
      <c r="Y59" t="e">
        <f t="shared" si="18"/>
        <v>#N/A</v>
      </c>
      <c r="Z59" t="str">
        <f t="shared" si="19"/>
        <v>0</v>
      </c>
      <c r="AA59" t="str">
        <f t="shared" si="20"/>
        <v xml:space="preserve">["VXP"] = 0; </v>
      </c>
      <c r="AB59" t="str">
        <f t="shared" si="21"/>
        <v>0</v>
      </c>
      <c r="AC59" t="str">
        <f t="shared" si="22"/>
        <v xml:space="preserve">["LP"] = 0; </v>
      </c>
      <c r="AD59" t="str">
        <f t="shared" si="23"/>
        <v>0</v>
      </c>
      <c r="AE59" t="str">
        <f t="shared" si="24"/>
        <v xml:space="preserve">["REP"] = 0; </v>
      </c>
      <c r="AF59" t="e">
        <f>VLOOKUP(I59,Faction!A$2:B$77,2,FALSE)</f>
        <v>#N/A</v>
      </c>
      <c r="AG59" t="e">
        <f t="shared" si="25"/>
        <v>#N/A</v>
      </c>
      <c r="AH59" t="str">
        <f t="shared" si="26"/>
        <v/>
      </c>
      <c r="AI59" t="str">
        <f t="shared" si="27"/>
        <v xml:space="preserve">["NAME"] = { ["EN"] = "All the Birds of Dunland"; }; </v>
      </c>
      <c r="AJ59" t="str">
        <f t="shared" si="28"/>
        <v xml:space="preserve">["LORE"] = { ["EN"] = ""; }; </v>
      </c>
      <c r="AK59" t="str">
        <f t="shared" si="29"/>
        <v xml:space="preserve">["SUMMARY"] = { ["EN"] = ""; }; </v>
      </c>
      <c r="AL59" t="str">
        <f t="shared" si="30"/>
        <v/>
      </c>
      <c r="AM59" t="str">
        <f t="shared" si="31"/>
        <v>};</v>
      </c>
    </row>
    <row r="60" spans="1:39" x14ac:dyDescent="0.25">
      <c r="A60">
        <v>1879490623</v>
      </c>
      <c r="C60" t="s">
        <v>223</v>
      </c>
      <c r="L60">
        <v>1</v>
      </c>
      <c r="O60" t="str">
        <f t="shared" si="9"/>
        <v>[1879490623] = 1, // Birds of Dunland: Common and Uncommon</v>
      </c>
      <c r="P60" t="str">
        <f t="shared" si="10"/>
        <v xml:space="preserve"> [59] = {["ID"] = 1879490623; ["TIER"] = 1; }; -- Birds of Dunland: Common and Uncommon</v>
      </c>
      <c r="Q60" s="1" t="e">
        <f t="shared" si="11"/>
        <v>#N/A</v>
      </c>
      <c r="R60">
        <f t="shared" si="12"/>
        <v>59</v>
      </c>
      <c r="S60" t="str">
        <f t="shared" si="13"/>
        <v xml:space="preserve"> [59] = {</v>
      </c>
      <c r="T60" t="str">
        <f t="shared" si="14"/>
        <v xml:space="preserve">["ID"] = 1879490623; </v>
      </c>
      <c r="U60" t="str">
        <f t="shared" si="15"/>
        <v xml:space="preserve">["ID"] = 1879490623; </v>
      </c>
      <c r="V60" t="str">
        <f t="shared" si="16"/>
        <v/>
      </c>
      <c r="W60" s="1" t="str">
        <f t="shared" si="17"/>
        <v/>
      </c>
      <c r="X60" t="e">
        <f>VLOOKUP(D60,Type!A$2:B$17,2,FALSE)</f>
        <v>#N/A</v>
      </c>
      <c r="Y60" t="e">
        <f t="shared" si="18"/>
        <v>#N/A</v>
      </c>
      <c r="Z60" t="str">
        <f t="shared" si="19"/>
        <v>0</v>
      </c>
      <c r="AA60" t="str">
        <f t="shared" si="20"/>
        <v xml:space="preserve">["VXP"] = 0; </v>
      </c>
      <c r="AB60" t="str">
        <f t="shared" si="21"/>
        <v>0</v>
      </c>
      <c r="AC60" t="str">
        <f t="shared" si="22"/>
        <v xml:space="preserve">["LP"] = 0; </v>
      </c>
      <c r="AD60" t="str">
        <f t="shared" si="23"/>
        <v>0</v>
      </c>
      <c r="AE60" t="str">
        <f t="shared" si="24"/>
        <v xml:space="preserve">["REP"] = 0; </v>
      </c>
      <c r="AF60" t="e">
        <f>VLOOKUP(I60,Faction!A$2:B$77,2,FALSE)</f>
        <v>#N/A</v>
      </c>
      <c r="AG60" t="e">
        <f t="shared" si="25"/>
        <v>#N/A</v>
      </c>
      <c r="AH60" t="str">
        <f t="shared" si="26"/>
        <v xml:space="preserve">["TIER"] = 1; </v>
      </c>
      <c r="AI60" t="str">
        <f t="shared" si="27"/>
        <v xml:space="preserve">["NAME"] = { ["EN"] = "Birds of Dunland: Common and Uncommon"; }; </v>
      </c>
      <c r="AJ60" t="str">
        <f t="shared" si="28"/>
        <v xml:space="preserve">["LORE"] = { ["EN"] = ""; }; </v>
      </c>
      <c r="AK60" t="str">
        <f t="shared" si="29"/>
        <v xml:space="preserve">["SUMMARY"] = { ["EN"] = ""; }; </v>
      </c>
      <c r="AL60" t="str">
        <f t="shared" si="30"/>
        <v/>
      </c>
      <c r="AM60" t="str">
        <f t="shared" si="31"/>
        <v>};</v>
      </c>
    </row>
    <row r="61" spans="1:39" x14ac:dyDescent="0.25">
      <c r="A61">
        <v>1879490634</v>
      </c>
      <c r="C61" t="s">
        <v>224</v>
      </c>
      <c r="L61">
        <v>1</v>
      </c>
      <c r="O61" t="str">
        <f t="shared" si="9"/>
        <v>[1879490634] = 1, // Birds of Dunland: Rare</v>
      </c>
      <c r="P61" t="str">
        <f t="shared" si="10"/>
        <v xml:space="preserve"> [60] = {["ID"] = 1879490634; ["TIER"] = 1; }; -- Birds of Dunland: Rare</v>
      </c>
      <c r="Q61" s="1" t="e">
        <f t="shared" si="11"/>
        <v>#N/A</v>
      </c>
      <c r="R61">
        <f t="shared" si="12"/>
        <v>60</v>
      </c>
      <c r="S61" t="str">
        <f t="shared" si="13"/>
        <v xml:space="preserve"> [60] = {</v>
      </c>
      <c r="T61" t="str">
        <f t="shared" si="14"/>
        <v xml:space="preserve">["ID"] = 1879490634; </v>
      </c>
      <c r="U61" t="str">
        <f t="shared" si="15"/>
        <v xml:space="preserve">["ID"] = 1879490634; </v>
      </c>
      <c r="V61" t="str">
        <f t="shared" si="16"/>
        <v/>
      </c>
      <c r="W61" s="1" t="str">
        <f t="shared" si="17"/>
        <v/>
      </c>
      <c r="X61" t="e">
        <f>VLOOKUP(D61,Type!A$2:B$17,2,FALSE)</f>
        <v>#N/A</v>
      </c>
      <c r="Y61" t="e">
        <f t="shared" si="18"/>
        <v>#N/A</v>
      </c>
      <c r="Z61" t="str">
        <f t="shared" si="19"/>
        <v>0</v>
      </c>
      <c r="AA61" t="str">
        <f t="shared" si="20"/>
        <v xml:space="preserve">["VXP"] = 0; </v>
      </c>
      <c r="AB61" t="str">
        <f t="shared" si="21"/>
        <v>0</v>
      </c>
      <c r="AC61" t="str">
        <f t="shared" si="22"/>
        <v xml:space="preserve">["LP"] = 0; </v>
      </c>
      <c r="AD61" t="str">
        <f t="shared" si="23"/>
        <v>0</v>
      </c>
      <c r="AE61" t="str">
        <f t="shared" si="24"/>
        <v xml:space="preserve">["REP"] = 0; </v>
      </c>
      <c r="AF61" t="e">
        <f>VLOOKUP(I61,Faction!A$2:B$77,2,FALSE)</f>
        <v>#N/A</v>
      </c>
      <c r="AG61" t="e">
        <f t="shared" si="25"/>
        <v>#N/A</v>
      </c>
      <c r="AH61" t="str">
        <f t="shared" si="26"/>
        <v xml:space="preserve">["TIER"] = 1; </v>
      </c>
      <c r="AI61" t="str">
        <f t="shared" si="27"/>
        <v xml:space="preserve">["NAME"] = { ["EN"] = "Birds of Dunland: Rare"; }; </v>
      </c>
      <c r="AJ61" t="str">
        <f t="shared" si="28"/>
        <v xml:space="preserve">["LORE"] = { ["EN"] = ""; }; </v>
      </c>
      <c r="AK61" t="str">
        <f t="shared" si="29"/>
        <v xml:space="preserve">["SUMMARY"] = { ["EN"] = ""; }; </v>
      </c>
      <c r="AL61" t="str">
        <f t="shared" si="30"/>
        <v/>
      </c>
      <c r="AM61" t="str">
        <f t="shared" si="31"/>
        <v>};</v>
      </c>
    </row>
    <row r="62" spans="1:39" x14ac:dyDescent="0.25">
      <c r="A62">
        <v>1879490619</v>
      </c>
      <c r="C62" t="s">
        <v>225</v>
      </c>
      <c r="L62">
        <v>1</v>
      </c>
      <c r="O62" t="str">
        <f t="shared" si="9"/>
        <v>[1879490619] = 1, // The Rarest Bird in Dunland</v>
      </c>
      <c r="P62" t="str">
        <f t="shared" si="10"/>
        <v xml:space="preserve"> [61] = {["ID"] = 1879490619; ["TIER"] = 1; }; -- The Rarest Bird in Dunland</v>
      </c>
      <c r="Q62" s="1" t="e">
        <f t="shared" si="11"/>
        <v>#N/A</v>
      </c>
      <c r="R62">
        <f t="shared" si="12"/>
        <v>61</v>
      </c>
      <c r="S62" t="str">
        <f t="shared" si="13"/>
        <v xml:space="preserve"> [61] = {</v>
      </c>
      <c r="T62" t="str">
        <f t="shared" si="14"/>
        <v xml:space="preserve">["ID"] = 1879490619; </v>
      </c>
      <c r="U62" t="str">
        <f t="shared" si="15"/>
        <v xml:space="preserve">["ID"] = 1879490619; </v>
      </c>
      <c r="V62" t="str">
        <f t="shared" si="16"/>
        <v/>
      </c>
      <c r="W62" s="1" t="str">
        <f t="shared" si="17"/>
        <v/>
      </c>
      <c r="X62" t="e">
        <f>VLOOKUP(D62,Type!A$2:B$17,2,FALSE)</f>
        <v>#N/A</v>
      </c>
      <c r="Y62" t="e">
        <f t="shared" si="18"/>
        <v>#N/A</v>
      </c>
      <c r="Z62" t="str">
        <f t="shared" si="19"/>
        <v>0</v>
      </c>
      <c r="AA62" t="str">
        <f t="shared" si="20"/>
        <v xml:space="preserve">["VXP"] = 0; </v>
      </c>
      <c r="AB62" t="str">
        <f t="shared" si="21"/>
        <v>0</v>
      </c>
      <c r="AC62" t="str">
        <f t="shared" si="22"/>
        <v xml:space="preserve">["LP"] = 0; </v>
      </c>
      <c r="AD62" t="str">
        <f t="shared" si="23"/>
        <v>0</v>
      </c>
      <c r="AE62" t="str">
        <f t="shared" si="24"/>
        <v xml:space="preserve">["REP"] = 0; </v>
      </c>
      <c r="AF62" t="e">
        <f>VLOOKUP(I62,Faction!A$2:B$77,2,FALSE)</f>
        <v>#N/A</v>
      </c>
      <c r="AG62" t="e">
        <f t="shared" si="25"/>
        <v>#N/A</v>
      </c>
      <c r="AH62" t="str">
        <f t="shared" si="26"/>
        <v xml:space="preserve">["TIER"] = 1; </v>
      </c>
      <c r="AI62" t="str">
        <f t="shared" si="27"/>
        <v xml:space="preserve">["NAME"] = { ["EN"] = "The Rarest Bird in Dunland"; }; </v>
      </c>
      <c r="AJ62" t="str">
        <f t="shared" si="28"/>
        <v xml:space="preserve">["LORE"] = { ["EN"] = ""; }; </v>
      </c>
      <c r="AK62" t="str">
        <f t="shared" si="29"/>
        <v xml:space="preserve">["SUMMARY"] = { ["EN"] = ""; }; </v>
      </c>
      <c r="AL62" t="str">
        <f t="shared" si="30"/>
        <v/>
      </c>
      <c r="AM62" t="str">
        <f t="shared" si="31"/>
        <v>};</v>
      </c>
    </row>
    <row r="63" spans="1:39" x14ac:dyDescent="0.25">
      <c r="A63">
        <v>1879490679</v>
      </c>
      <c r="C63" t="s">
        <v>230</v>
      </c>
      <c r="L63">
        <v>0</v>
      </c>
      <c r="O63" t="str">
        <f t="shared" si="9"/>
        <v/>
      </c>
      <c r="P63" t="str">
        <f t="shared" si="10"/>
        <v xml:space="preserve"> [62] = {["ID"] = 1879490679; }; -- The Rarest of Birds in Eriador</v>
      </c>
      <c r="Q63" s="1" t="e">
        <f t="shared" si="11"/>
        <v>#N/A</v>
      </c>
      <c r="R63">
        <f t="shared" si="12"/>
        <v>62</v>
      </c>
      <c r="S63" t="str">
        <f t="shared" si="13"/>
        <v xml:space="preserve"> [62] = {</v>
      </c>
      <c r="T63" t="str">
        <f t="shared" si="14"/>
        <v xml:space="preserve">["ID"] = 1879490679; </v>
      </c>
      <c r="U63" t="str">
        <f t="shared" si="15"/>
        <v xml:space="preserve">["ID"] = 1879490679; </v>
      </c>
      <c r="V63" t="str">
        <f t="shared" si="16"/>
        <v/>
      </c>
      <c r="W63" s="1" t="str">
        <f t="shared" si="17"/>
        <v/>
      </c>
      <c r="X63" t="e">
        <f>VLOOKUP(D63,Type!A$2:B$17,2,FALSE)</f>
        <v>#N/A</v>
      </c>
      <c r="Y63" t="e">
        <f t="shared" si="18"/>
        <v>#N/A</v>
      </c>
      <c r="Z63" t="str">
        <f t="shared" si="19"/>
        <v>0</v>
      </c>
      <c r="AA63" t="str">
        <f t="shared" si="20"/>
        <v xml:space="preserve">["VXP"] = 0; </v>
      </c>
      <c r="AB63" t="str">
        <f t="shared" si="21"/>
        <v>0</v>
      </c>
      <c r="AC63" t="str">
        <f t="shared" si="22"/>
        <v xml:space="preserve">["LP"] = 0; </v>
      </c>
      <c r="AD63" t="str">
        <f t="shared" si="23"/>
        <v>0</v>
      </c>
      <c r="AE63" t="str">
        <f t="shared" si="24"/>
        <v xml:space="preserve">["REP"] = 0; </v>
      </c>
      <c r="AF63" t="e">
        <f>VLOOKUP(I63,Faction!A$2:B$77,2,FALSE)</f>
        <v>#N/A</v>
      </c>
      <c r="AG63" t="e">
        <f t="shared" si="25"/>
        <v>#N/A</v>
      </c>
      <c r="AH63" t="str">
        <f t="shared" si="26"/>
        <v/>
      </c>
      <c r="AI63" t="str">
        <f t="shared" si="27"/>
        <v xml:space="preserve">["NAME"] = { ["EN"] = "The Rarest of Birds in Eriador"; }; </v>
      </c>
      <c r="AJ63" t="str">
        <f t="shared" si="28"/>
        <v xml:space="preserve">["LORE"] = { ["EN"] = ""; }; </v>
      </c>
      <c r="AK63" t="str">
        <f t="shared" si="29"/>
        <v xml:space="preserve">["SUMMARY"] = { ["EN"] = ""; }; </v>
      </c>
      <c r="AL63" t="str">
        <f t="shared" si="30"/>
        <v/>
      </c>
      <c r="AM63" t="str">
        <f t="shared" si="31"/>
        <v>};</v>
      </c>
    </row>
    <row r="64" spans="1:39" x14ac:dyDescent="0.25">
      <c r="C64" s="2" t="s">
        <v>269</v>
      </c>
      <c r="D64" t="s">
        <v>138</v>
      </c>
      <c r="M64">
        <v>321</v>
      </c>
      <c r="O64" t="str">
        <f t="shared" si="9"/>
        <v/>
      </c>
      <c r="P64" t="str">
        <f t="shared" si="10"/>
        <v xml:space="preserve"> [63] = {["CAT_ID"] = 321; }; -- Rohan and the Great River</v>
      </c>
      <c r="Q64" s="1" t="e">
        <f t="shared" si="11"/>
        <v>#N/A</v>
      </c>
      <c r="R64">
        <f t="shared" si="12"/>
        <v>63</v>
      </c>
      <c r="S64" t="str">
        <f t="shared" si="13"/>
        <v xml:space="preserve"> [63] = {</v>
      </c>
      <c r="T64" t="str">
        <f t="shared" si="14"/>
        <v xml:space="preserve">                     </v>
      </c>
      <c r="U64" t="str">
        <f t="shared" si="15"/>
        <v/>
      </c>
      <c r="V64" t="str">
        <f t="shared" si="16"/>
        <v xml:space="preserve">["CAT_ID"] = 321; </v>
      </c>
      <c r="W64" s="1" t="str">
        <f t="shared" si="17"/>
        <v/>
      </c>
      <c r="X64">
        <f>VLOOKUP(D64,Type!A$2:B$17,2,FALSE)</f>
        <v>14</v>
      </c>
      <c r="Y64" t="str">
        <f t="shared" si="18"/>
        <v xml:space="preserve">["TYPE"] = 14; </v>
      </c>
      <c r="Z64" t="str">
        <f t="shared" si="19"/>
        <v>0</v>
      </c>
      <c r="AA64" t="str">
        <f t="shared" si="20"/>
        <v xml:space="preserve">["VXP"] = 0; </v>
      </c>
      <c r="AB64" t="str">
        <f t="shared" si="21"/>
        <v>0</v>
      </c>
      <c r="AC64" t="str">
        <f t="shared" si="22"/>
        <v xml:space="preserve">["LP"] = 0; </v>
      </c>
      <c r="AD64" t="str">
        <f t="shared" si="23"/>
        <v>0</v>
      </c>
      <c r="AE64" t="str">
        <f t="shared" si="24"/>
        <v xml:space="preserve">["REP"] = 0; </v>
      </c>
      <c r="AF64" t="e">
        <f>VLOOKUP(I64,Faction!A$2:B$77,2,FALSE)</f>
        <v>#N/A</v>
      </c>
      <c r="AG64" t="e">
        <f t="shared" si="25"/>
        <v>#N/A</v>
      </c>
      <c r="AH64" t="str">
        <f t="shared" si="26"/>
        <v/>
      </c>
      <c r="AI64" t="str">
        <f t="shared" si="27"/>
        <v xml:space="preserve">["NAME"] = { ["EN"] = "Rohan and the Great River"; }; </v>
      </c>
      <c r="AJ64" t="str">
        <f t="shared" si="28"/>
        <v xml:space="preserve">["LORE"] = { ["EN"] = ""; }; </v>
      </c>
      <c r="AK64" t="str">
        <f t="shared" si="29"/>
        <v xml:space="preserve">["SUMMARY"] = { ["EN"] = ""; }; </v>
      </c>
      <c r="AL64" t="str">
        <f t="shared" si="30"/>
        <v/>
      </c>
      <c r="AM64" t="str">
        <f t="shared" si="31"/>
        <v>};</v>
      </c>
    </row>
    <row r="65" spans="1:39" x14ac:dyDescent="0.25">
      <c r="A65">
        <v>1879501132</v>
      </c>
      <c r="C65" t="s">
        <v>231</v>
      </c>
      <c r="L65">
        <v>0</v>
      </c>
      <c r="O65" t="str">
        <f t="shared" si="9"/>
        <v/>
      </c>
      <c r="P65" t="str">
        <f t="shared" si="10"/>
        <v xml:space="preserve"> [64] = {["ID"] = 1879501132; }; -- All the Birds of Lothlórien</v>
      </c>
      <c r="Q65" s="1" t="e">
        <f t="shared" si="11"/>
        <v>#N/A</v>
      </c>
      <c r="R65">
        <f t="shared" si="12"/>
        <v>64</v>
      </c>
      <c r="S65" t="str">
        <f t="shared" si="13"/>
        <v xml:space="preserve"> [64] = {</v>
      </c>
      <c r="T65" t="str">
        <f t="shared" si="14"/>
        <v xml:space="preserve">["ID"] = 1879501132; </v>
      </c>
      <c r="U65" t="str">
        <f t="shared" si="15"/>
        <v xml:space="preserve">["ID"] = 1879501132; </v>
      </c>
      <c r="V65" t="str">
        <f t="shared" si="16"/>
        <v/>
      </c>
      <c r="W65" s="1" t="str">
        <f t="shared" si="17"/>
        <v/>
      </c>
      <c r="X65" t="e">
        <f>VLOOKUP(D65,Type!A$2:B$17,2,FALSE)</f>
        <v>#N/A</v>
      </c>
      <c r="Y65" t="e">
        <f t="shared" si="18"/>
        <v>#N/A</v>
      </c>
      <c r="Z65" t="str">
        <f t="shared" si="19"/>
        <v>0</v>
      </c>
      <c r="AA65" t="str">
        <f t="shared" si="20"/>
        <v xml:space="preserve">["VXP"] = 0; </v>
      </c>
      <c r="AB65" t="str">
        <f t="shared" si="21"/>
        <v>0</v>
      </c>
      <c r="AC65" t="str">
        <f t="shared" si="22"/>
        <v xml:space="preserve">["LP"] = 0; </v>
      </c>
      <c r="AD65" t="str">
        <f t="shared" si="23"/>
        <v>0</v>
      </c>
      <c r="AE65" t="str">
        <f t="shared" si="24"/>
        <v xml:space="preserve">["REP"] = 0; </v>
      </c>
      <c r="AF65" t="e">
        <f>VLOOKUP(I65,Faction!A$2:B$77,2,FALSE)</f>
        <v>#N/A</v>
      </c>
      <c r="AG65" t="e">
        <f t="shared" si="25"/>
        <v>#N/A</v>
      </c>
      <c r="AH65" t="str">
        <f t="shared" si="26"/>
        <v/>
      </c>
      <c r="AI65" t="str">
        <f t="shared" si="27"/>
        <v xml:space="preserve">["NAME"] = { ["EN"] = "All the Birds of Lothlórien"; }; </v>
      </c>
      <c r="AJ65" t="str">
        <f t="shared" si="28"/>
        <v xml:space="preserve">["LORE"] = { ["EN"] = ""; }; </v>
      </c>
      <c r="AK65" t="str">
        <f t="shared" si="29"/>
        <v xml:space="preserve">["SUMMARY"] = { ["EN"] = ""; }; </v>
      </c>
      <c r="AL65" t="str">
        <f t="shared" si="30"/>
        <v/>
      </c>
      <c r="AM65" t="str">
        <f t="shared" si="31"/>
        <v>};</v>
      </c>
    </row>
    <row r="66" spans="1:39" x14ac:dyDescent="0.25">
      <c r="A66">
        <v>1879501133</v>
      </c>
      <c r="C66" t="s">
        <v>232</v>
      </c>
      <c r="L66">
        <v>1</v>
      </c>
      <c r="O66" t="str">
        <f t="shared" si="9"/>
        <v>[1879501133] = 1, // Birds of Lothlórien: Common and Uncommon</v>
      </c>
      <c r="P66" t="str">
        <f t="shared" si="10"/>
        <v xml:space="preserve"> [65] = {["ID"] = 1879501133; ["TIER"] = 1; }; -- Birds of Lothlórien: Common and Uncommon</v>
      </c>
      <c r="Q66" s="1" t="e">
        <f t="shared" si="11"/>
        <v>#N/A</v>
      </c>
      <c r="R66">
        <f t="shared" si="12"/>
        <v>65</v>
      </c>
      <c r="S66" t="str">
        <f t="shared" si="13"/>
        <v xml:space="preserve"> [65] = {</v>
      </c>
      <c r="T66" t="str">
        <f t="shared" si="14"/>
        <v xml:space="preserve">["ID"] = 1879501133; </v>
      </c>
      <c r="U66" t="str">
        <f t="shared" si="15"/>
        <v xml:space="preserve">["ID"] = 1879501133; </v>
      </c>
      <c r="V66" t="str">
        <f t="shared" si="16"/>
        <v/>
      </c>
      <c r="W66" s="1" t="str">
        <f t="shared" si="17"/>
        <v/>
      </c>
      <c r="X66" t="e">
        <f>VLOOKUP(D66,Type!A$2:B$17,2,FALSE)</f>
        <v>#N/A</v>
      </c>
      <c r="Y66" t="e">
        <f t="shared" si="18"/>
        <v>#N/A</v>
      </c>
      <c r="Z66" t="str">
        <f t="shared" si="19"/>
        <v>0</v>
      </c>
      <c r="AA66" t="str">
        <f t="shared" si="20"/>
        <v xml:space="preserve">["VXP"] = 0; </v>
      </c>
      <c r="AB66" t="str">
        <f t="shared" si="21"/>
        <v>0</v>
      </c>
      <c r="AC66" t="str">
        <f t="shared" si="22"/>
        <v xml:space="preserve">["LP"] = 0; </v>
      </c>
      <c r="AD66" t="str">
        <f t="shared" si="23"/>
        <v>0</v>
      </c>
      <c r="AE66" t="str">
        <f t="shared" si="24"/>
        <v xml:space="preserve">["REP"] = 0; </v>
      </c>
      <c r="AF66" t="e">
        <f>VLOOKUP(I66,Faction!A$2:B$77,2,FALSE)</f>
        <v>#N/A</v>
      </c>
      <c r="AG66" t="e">
        <f t="shared" si="25"/>
        <v>#N/A</v>
      </c>
      <c r="AH66" t="str">
        <f t="shared" si="26"/>
        <v xml:space="preserve">["TIER"] = 1; </v>
      </c>
      <c r="AI66" t="str">
        <f t="shared" si="27"/>
        <v xml:space="preserve">["NAME"] = { ["EN"] = "Birds of Lothlórien: Common and Uncommon"; }; </v>
      </c>
      <c r="AJ66" t="str">
        <f t="shared" si="28"/>
        <v xml:space="preserve">["LORE"] = { ["EN"] = ""; }; </v>
      </c>
      <c r="AK66" t="str">
        <f t="shared" si="29"/>
        <v xml:space="preserve">["SUMMARY"] = { ["EN"] = ""; }; </v>
      </c>
      <c r="AL66" t="str">
        <f t="shared" si="30"/>
        <v/>
      </c>
      <c r="AM66" t="str">
        <f t="shared" si="31"/>
        <v>};</v>
      </c>
    </row>
    <row r="67" spans="1:39" x14ac:dyDescent="0.25">
      <c r="A67">
        <v>1879501131</v>
      </c>
      <c r="C67" t="s">
        <v>233</v>
      </c>
      <c r="L67">
        <v>1</v>
      </c>
      <c r="O67" t="str">
        <f t="shared" ref="O67:O130" si="32">IF(AND(A67&gt;0,L67&gt;0),CONCATENATE("[",A67,"] = ",L67,", // ",C67),"")</f>
        <v>[1879501131] = 1, // Birds of Lothlórien: Rare</v>
      </c>
      <c r="P67" t="str">
        <f t="shared" ref="P67:P130" si="33">CONCATENATE(S67,U67,V67,AH67,AM67," -- ",C67)</f>
        <v xml:space="preserve"> [66] = {["ID"] = 1879501131; ["TIER"] = 1; }; -- Birds of Lothlórien: Rare</v>
      </c>
      <c r="Q67" s="1" t="e">
        <f t="shared" ref="Q67:Q101" si="34">CONCATENATE(S67,T67,W67,Y67,AA67,AC67,AE67,AG67,AH67,AI67,AJ67,AK67,AL67,AM67)</f>
        <v>#N/A</v>
      </c>
      <c r="R67">
        <f t="shared" ref="R67:R130" si="35">ROW()-1</f>
        <v>66</v>
      </c>
      <c r="S67" t="str">
        <f t="shared" ref="S67:S101" si="36">CONCATENATE(REPT(" ",3-LEN(R67)),"[",R67,"] = {")</f>
        <v xml:space="preserve"> [66] = {</v>
      </c>
      <c r="T67" t="str">
        <f t="shared" ref="T67:T101" si="37">IF(LEN(A67)&gt;0,CONCATENATE("[""ID""] = ",A67,"; "),"                     ")</f>
        <v xml:space="preserve">["ID"] = 1879501131; </v>
      </c>
      <c r="U67" t="str">
        <f t="shared" ref="U67:U101" si="38">IF(LEN(A67)&gt;0,CONCATENATE("[""ID""] = ",A67,"; "),"")</f>
        <v xml:space="preserve">["ID"] = 1879501131; </v>
      </c>
      <c r="V67" t="str">
        <f t="shared" ref="V67:V101" si="39">IF(LEN(M67)&gt;0,CONCATENATE("[""CAT_ID""] = ",M67,"; "),"")</f>
        <v/>
      </c>
      <c r="W67" s="1" t="str">
        <f t="shared" ref="W67:W101" si="40">IF(LEN(B67)&gt;0,CONCATENATE("[""SAVE_INDEX""] = ",REPT(" ",1-LEN(B67)),B67,"; "),"")</f>
        <v/>
      </c>
      <c r="X67" t="e">
        <f>VLOOKUP(D67,Type!A$2:B$17,2,FALSE)</f>
        <v>#N/A</v>
      </c>
      <c r="Y67" t="e">
        <f t="shared" ref="Y67:Y101" si="41">CONCATENATE("[""TYPE""] = ",REPT(" ",2-LEN(X67)),X67,"; ")</f>
        <v>#N/A</v>
      </c>
      <c r="Z67" t="str">
        <f t="shared" ref="Z67:Z101" si="42">TEXT(E67,0)</f>
        <v>0</v>
      </c>
      <c r="AA67" t="str">
        <f t="shared" ref="AA67:AA101" si="43">CONCATENATE("[""VXP""] = ",REPT(" ",1-LEN(Z67)),TEXT(Z67,"0"),"; ")</f>
        <v xml:space="preserve">["VXP"] = 0; </v>
      </c>
      <c r="AB67" t="str">
        <f t="shared" ref="AB67:AB101" si="44">TEXT(G67,0)</f>
        <v>0</v>
      </c>
      <c r="AC67" t="str">
        <f t="shared" ref="AC67:AC101" si="45">CONCATENATE("[""LP""] = ",REPT(" ",1-LEN(AB67)),TEXT(AB67,"0"),"; ")</f>
        <v xml:space="preserve">["LP"] = 0; </v>
      </c>
      <c r="AD67" t="str">
        <f t="shared" ref="AD67:AD101" si="46">TEXT(H67,0)</f>
        <v>0</v>
      </c>
      <c r="AE67" t="str">
        <f t="shared" ref="AE67:AE101" si="47">CONCATENATE("[""REP""] = ",REPT(" ",1-LEN(AD67)),TEXT(AD67,"0"),"; ")</f>
        <v xml:space="preserve">["REP"] = 0; </v>
      </c>
      <c r="AF67" t="e">
        <f>VLOOKUP(I67,Faction!A$2:B$77,2,FALSE)</f>
        <v>#N/A</v>
      </c>
      <c r="AG67" t="e">
        <f t="shared" ref="AG67:AG101" si="48">CONCATENATE("[""FACTION""] = ",TEXT(AF67,"0"),"; ")</f>
        <v>#N/A</v>
      </c>
      <c r="AH67" t="str">
        <f t="shared" ref="AH67:AH130" si="49">IF(L67&gt;0,CONCATENATE("[""TIER""] = ",TEXT(L67,"0"),"; "),"")</f>
        <v xml:space="preserve">["TIER"] = 1; </v>
      </c>
      <c r="AI67" t="str">
        <f t="shared" ref="AI67:AI101" si="50">CONCATENATE("[""NAME""] = { [""EN""] = """,C67,"""; }; ")</f>
        <v xml:space="preserve">["NAME"] = { ["EN"] = "Birds of Lothlórien: Rare"; }; </v>
      </c>
      <c r="AJ67" t="str">
        <f t="shared" ref="AJ67:AJ101" si="51">CONCATENATE("[""LORE""] = { [""EN""] = """,K67,"""; }; ")</f>
        <v xml:space="preserve">["LORE"] = { ["EN"] = ""; }; </v>
      </c>
      <c r="AK67" t="str">
        <f t="shared" ref="AK67:AK101" si="52">CONCATENATE("[""SUMMARY""] = { [""EN""] = """,J67,"""; }; ")</f>
        <v xml:space="preserve">["SUMMARY"] = { ["EN"] = ""; }; </v>
      </c>
      <c r="AL67" t="str">
        <f t="shared" ref="AL67:AL101" si="53">IF(LEN(F67)&gt;0,CONCATENATE("[""TITLE""] = { [""EN""] = """,F67,"""; }; "),"")</f>
        <v/>
      </c>
      <c r="AM67" t="str">
        <f t="shared" ref="AM67:AM130" si="54">CONCATENATE("};")</f>
        <v>};</v>
      </c>
    </row>
    <row r="68" spans="1:39" x14ac:dyDescent="0.25">
      <c r="A68">
        <v>1879501134</v>
      </c>
      <c r="C68" t="s">
        <v>234</v>
      </c>
      <c r="L68">
        <v>1</v>
      </c>
      <c r="O68" t="str">
        <f t="shared" si="32"/>
        <v>[1879501134] = 1, // The Rarest Bird in Lothlórien</v>
      </c>
      <c r="P68" t="str">
        <f t="shared" si="33"/>
        <v xml:space="preserve"> [67] = {["ID"] = 1879501134; ["TIER"] = 1; }; -- The Rarest Bird in Lothlórien</v>
      </c>
      <c r="Q68" s="1" t="e">
        <f t="shared" si="34"/>
        <v>#N/A</v>
      </c>
      <c r="R68">
        <f t="shared" si="35"/>
        <v>67</v>
      </c>
      <c r="S68" t="str">
        <f t="shared" si="36"/>
        <v xml:space="preserve"> [67] = {</v>
      </c>
      <c r="T68" t="str">
        <f t="shared" si="37"/>
        <v xml:space="preserve">["ID"] = 1879501134; </v>
      </c>
      <c r="U68" t="str">
        <f t="shared" si="38"/>
        <v xml:space="preserve">["ID"] = 1879501134; </v>
      </c>
      <c r="V68" t="str">
        <f t="shared" si="39"/>
        <v/>
      </c>
      <c r="W68" s="1" t="str">
        <f t="shared" si="40"/>
        <v/>
      </c>
      <c r="X68" t="e">
        <f>VLOOKUP(D68,Type!A$2:B$17,2,FALSE)</f>
        <v>#N/A</v>
      </c>
      <c r="Y68" t="e">
        <f t="shared" si="41"/>
        <v>#N/A</v>
      </c>
      <c r="Z68" t="str">
        <f t="shared" si="42"/>
        <v>0</v>
      </c>
      <c r="AA68" t="str">
        <f t="shared" si="43"/>
        <v xml:space="preserve">["VXP"] = 0; </v>
      </c>
      <c r="AB68" t="str">
        <f t="shared" si="44"/>
        <v>0</v>
      </c>
      <c r="AC68" t="str">
        <f t="shared" si="45"/>
        <v xml:space="preserve">["LP"] = 0; </v>
      </c>
      <c r="AD68" t="str">
        <f t="shared" si="46"/>
        <v>0</v>
      </c>
      <c r="AE68" t="str">
        <f t="shared" si="47"/>
        <v xml:space="preserve">["REP"] = 0; </v>
      </c>
      <c r="AF68" t="e">
        <f>VLOOKUP(I68,Faction!A$2:B$77,2,FALSE)</f>
        <v>#N/A</v>
      </c>
      <c r="AG68" t="e">
        <f t="shared" si="48"/>
        <v>#N/A</v>
      </c>
      <c r="AH68" t="str">
        <f t="shared" si="49"/>
        <v xml:space="preserve">["TIER"] = 1; </v>
      </c>
      <c r="AI68" t="str">
        <f t="shared" si="50"/>
        <v xml:space="preserve">["NAME"] = { ["EN"] = "The Rarest Bird in Lothlórien"; }; </v>
      </c>
      <c r="AJ68" t="str">
        <f t="shared" si="51"/>
        <v xml:space="preserve">["LORE"] = { ["EN"] = ""; }; </v>
      </c>
      <c r="AK68" t="str">
        <f t="shared" si="52"/>
        <v xml:space="preserve">["SUMMARY"] = { ["EN"] = ""; }; </v>
      </c>
      <c r="AL68" t="str">
        <f t="shared" si="53"/>
        <v/>
      </c>
      <c r="AM68" t="str">
        <f t="shared" si="54"/>
        <v>};</v>
      </c>
    </row>
    <row r="69" spans="1:39" x14ac:dyDescent="0.25">
      <c r="A69">
        <v>1879501164</v>
      </c>
      <c r="C69" t="s">
        <v>235</v>
      </c>
      <c r="L69">
        <v>0</v>
      </c>
      <c r="O69" t="str">
        <f t="shared" si="32"/>
        <v/>
      </c>
      <c r="P69" t="str">
        <f t="shared" si="33"/>
        <v xml:space="preserve"> [68] = {["ID"] = 1879501164; }; -- All the Birds of Mirkwood</v>
      </c>
      <c r="Q69" s="1" t="e">
        <f t="shared" si="34"/>
        <v>#N/A</v>
      </c>
      <c r="R69">
        <f t="shared" si="35"/>
        <v>68</v>
      </c>
      <c r="S69" t="str">
        <f t="shared" si="36"/>
        <v xml:space="preserve"> [68] = {</v>
      </c>
      <c r="T69" t="str">
        <f t="shared" si="37"/>
        <v xml:space="preserve">["ID"] = 1879501164; </v>
      </c>
      <c r="U69" t="str">
        <f t="shared" si="38"/>
        <v xml:space="preserve">["ID"] = 1879501164; </v>
      </c>
      <c r="V69" t="str">
        <f t="shared" si="39"/>
        <v/>
      </c>
      <c r="W69" s="1" t="str">
        <f t="shared" si="40"/>
        <v/>
      </c>
      <c r="X69" t="e">
        <f>VLOOKUP(D69,Type!A$2:B$17,2,FALSE)</f>
        <v>#N/A</v>
      </c>
      <c r="Y69" t="e">
        <f t="shared" si="41"/>
        <v>#N/A</v>
      </c>
      <c r="Z69" t="str">
        <f t="shared" si="42"/>
        <v>0</v>
      </c>
      <c r="AA69" t="str">
        <f t="shared" si="43"/>
        <v xml:space="preserve">["VXP"] = 0; </v>
      </c>
      <c r="AB69" t="str">
        <f t="shared" si="44"/>
        <v>0</v>
      </c>
      <c r="AC69" t="str">
        <f t="shared" si="45"/>
        <v xml:space="preserve">["LP"] = 0; </v>
      </c>
      <c r="AD69" t="str">
        <f t="shared" si="46"/>
        <v>0</v>
      </c>
      <c r="AE69" t="str">
        <f t="shared" si="47"/>
        <v xml:space="preserve">["REP"] = 0; </v>
      </c>
      <c r="AF69" t="e">
        <f>VLOOKUP(I69,Faction!A$2:B$77,2,FALSE)</f>
        <v>#N/A</v>
      </c>
      <c r="AG69" t="e">
        <f t="shared" si="48"/>
        <v>#N/A</v>
      </c>
      <c r="AH69" t="str">
        <f t="shared" si="49"/>
        <v/>
      </c>
      <c r="AI69" t="str">
        <f t="shared" si="50"/>
        <v xml:space="preserve">["NAME"] = { ["EN"] = "All the Birds of Mirkwood"; }; </v>
      </c>
      <c r="AJ69" t="str">
        <f t="shared" si="51"/>
        <v xml:space="preserve">["LORE"] = { ["EN"] = ""; }; </v>
      </c>
      <c r="AK69" t="str">
        <f t="shared" si="52"/>
        <v xml:space="preserve">["SUMMARY"] = { ["EN"] = ""; }; </v>
      </c>
      <c r="AL69" t="str">
        <f t="shared" si="53"/>
        <v/>
      </c>
      <c r="AM69" t="str">
        <f t="shared" si="54"/>
        <v>};</v>
      </c>
    </row>
    <row r="70" spans="1:39" x14ac:dyDescent="0.25">
      <c r="A70">
        <v>1879501162</v>
      </c>
      <c r="C70" t="s">
        <v>236</v>
      </c>
      <c r="L70">
        <v>1</v>
      </c>
      <c r="O70" t="str">
        <f t="shared" si="32"/>
        <v>[1879501162] = 1, // Birds of Mirkwood: Common and Uncommon</v>
      </c>
      <c r="P70" t="str">
        <f t="shared" si="33"/>
        <v xml:space="preserve"> [69] = {["ID"] = 1879501162; ["TIER"] = 1; }; -- Birds of Mirkwood: Common and Uncommon</v>
      </c>
      <c r="Q70" s="1" t="e">
        <f t="shared" si="34"/>
        <v>#N/A</v>
      </c>
      <c r="R70">
        <f t="shared" si="35"/>
        <v>69</v>
      </c>
      <c r="S70" t="str">
        <f t="shared" si="36"/>
        <v xml:space="preserve"> [69] = {</v>
      </c>
      <c r="T70" t="str">
        <f t="shared" si="37"/>
        <v xml:space="preserve">["ID"] = 1879501162; </v>
      </c>
      <c r="U70" t="str">
        <f t="shared" si="38"/>
        <v xml:space="preserve">["ID"] = 1879501162; </v>
      </c>
      <c r="V70" t="str">
        <f t="shared" si="39"/>
        <v/>
      </c>
      <c r="W70" s="1" t="str">
        <f t="shared" si="40"/>
        <v/>
      </c>
      <c r="X70" t="e">
        <f>VLOOKUP(D70,Type!A$2:B$17,2,FALSE)</f>
        <v>#N/A</v>
      </c>
      <c r="Y70" t="e">
        <f t="shared" si="41"/>
        <v>#N/A</v>
      </c>
      <c r="Z70" t="str">
        <f t="shared" si="42"/>
        <v>0</v>
      </c>
      <c r="AA70" t="str">
        <f t="shared" si="43"/>
        <v xml:space="preserve">["VXP"] = 0; </v>
      </c>
      <c r="AB70" t="str">
        <f t="shared" si="44"/>
        <v>0</v>
      </c>
      <c r="AC70" t="str">
        <f t="shared" si="45"/>
        <v xml:space="preserve">["LP"] = 0; </v>
      </c>
      <c r="AD70" t="str">
        <f t="shared" si="46"/>
        <v>0</v>
      </c>
      <c r="AE70" t="str">
        <f t="shared" si="47"/>
        <v xml:space="preserve">["REP"] = 0; </v>
      </c>
      <c r="AF70" t="e">
        <f>VLOOKUP(I70,Faction!A$2:B$77,2,FALSE)</f>
        <v>#N/A</v>
      </c>
      <c r="AG70" t="e">
        <f t="shared" si="48"/>
        <v>#N/A</v>
      </c>
      <c r="AH70" t="str">
        <f t="shared" si="49"/>
        <v xml:space="preserve">["TIER"] = 1; </v>
      </c>
      <c r="AI70" t="str">
        <f t="shared" si="50"/>
        <v xml:space="preserve">["NAME"] = { ["EN"] = "Birds of Mirkwood: Common and Uncommon"; }; </v>
      </c>
      <c r="AJ70" t="str">
        <f t="shared" si="51"/>
        <v xml:space="preserve">["LORE"] = { ["EN"] = ""; }; </v>
      </c>
      <c r="AK70" t="str">
        <f t="shared" si="52"/>
        <v xml:space="preserve">["SUMMARY"] = { ["EN"] = ""; }; </v>
      </c>
      <c r="AL70" t="str">
        <f t="shared" si="53"/>
        <v/>
      </c>
      <c r="AM70" t="str">
        <f t="shared" si="54"/>
        <v>};</v>
      </c>
    </row>
    <row r="71" spans="1:39" x14ac:dyDescent="0.25">
      <c r="A71">
        <v>1879501161</v>
      </c>
      <c r="C71" t="s">
        <v>237</v>
      </c>
      <c r="L71">
        <v>1</v>
      </c>
      <c r="O71" t="str">
        <f t="shared" si="32"/>
        <v>[1879501161] = 1, // Birds of Mirkwood: Rare</v>
      </c>
      <c r="P71" t="str">
        <f t="shared" si="33"/>
        <v xml:space="preserve"> [70] = {["ID"] = 1879501161; ["TIER"] = 1; }; -- Birds of Mirkwood: Rare</v>
      </c>
      <c r="Q71" s="1" t="e">
        <f t="shared" si="34"/>
        <v>#N/A</v>
      </c>
      <c r="R71">
        <f t="shared" si="35"/>
        <v>70</v>
      </c>
      <c r="S71" t="str">
        <f t="shared" si="36"/>
        <v xml:space="preserve"> [70] = {</v>
      </c>
      <c r="T71" t="str">
        <f t="shared" si="37"/>
        <v xml:space="preserve">["ID"] = 1879501161; </v>
      </c>
      <c r="U71" t="str">
        <f t="shared" si="38"/>
        <v xml:space="preserve">["ID"] = 1879501161; </v>
      </c>
      <c r="V71" t="str">
        <f t="shared" si="39"/>
        <v/>
      </c>
      <c r="W71" s="1" t="str">
        <f t="shared" si="40"/>
        <v/>
      </c>
      <c r="X71" t="e">
        <f>VLOOKUP(D71,Type!A$2:B$17,2,FALSE)</f>
        <v>#N/A</v>
      </c>
      <c r="Y71" t="e">
        <f t="shared" si="41"/>
        <v>#N/A</v>
      </c>
      <c r="Z71" t="str">
        <f t="shared" si="42"/>
        <v>0</v>
      </c>
      <c r="AA71" t="str">
        <f t="shared" si="43"/>
        <v xml:space="preserve">["VXP"] = 0; </v>
      </c>
      <c r="AB71" t="str">
        <f t="shared" si="44"/>
        <v>0</v>
      </c>
      <c r="AC71" t="str">
        <f t="shared" si="45"/>
        <v xml:space="preserve">["LP"] = 0; </v>
      </c>
      <c r="AD71" t="str">
        <f t="shared" si="46"/>
        <v>0</v>
      </c>
      <c r="AE71" t="str">
        <f t="shared" si="47"/>
        <v xml:space="preserve">["REP"] = 0; </v>
      </c>
      <c r="AF71" t="e">
        <f>VLOOKUP(I71,Faction!A$2:B$77,2,FALSE)</f>
        <v>#N/A</v>
      </c>
      <c r="AG71" t="e">
        <f t="shared" si="48"/>
        <v>#N/A</v>
      </c>
      <c r="AH71" t="str">
        <f t="shared" si="49"/>
        <v xml:space="preserve">["TIER"] = 1; </v>
      </c>
      <c r="AI71" t="str">
        <f t="shared" si="50"/>
        <v xml:space="preserve">["NAME"] = { ["EN"] = "Birds of Mirkwood: Rare"; }; </v>
      </c>
      <c r="AJ71" t="str">
        <f t="shared" si="51"/>
        <v xml:space="preserve">["LORE"] = { ["EN"] = ""; }; </v>
      </c>
      <c r="AK71" t="str">
        <f t="shared" si="52"/>
        <v xml:space="preserve">["SUMMARY"] = { ["EN"] = ""; }; </v>
      </c>
      <c r="AL71" t="str">
        <f t="shared" si="53"/>
        <v/>
      </c>
      <c r="AM71" t="str">
        <f t="shared" si="54"/>
        <v>};</v>
      </c>
    </row>
    <row r="72" spans="1:39" x14ac:dyDescent="0.25">
      <c r="A72">
        <v>1879501163</v>
      </c>
      <c r="C72" t="s">
        <v>238</v>
      </c>
      <c r="L72">
        <v>1</v>
      </c>
      <c r="O72" t="str">
        <f t="shared" si="32"/>
        <v>[1879501163] = 1, // The Rarest Bird in Mirkwood</v>
      </c>
      <c r="P72" t="str">
        <f t="shared" si="33"/>
        <v xml:space="preserve"> [71] = {["ID"] = 1879501163; ["TIER"] = 1; }; -- The Rarest Bird in Mirkwood</v>
      </c>
      <c r="Q72" s="1" t="e">
        <f t="shared" si="34"/>
        <v>#N/A</v>
      </c>
      <c r="R72">
        <f t="shared" si="35"/>
        <v>71</v>
      </c>
      <c r="S72" t="str">
        <f t="shared" si="36"/>
        <v xml:space="preserve"> [71] = {</v>
      </c>
      <c r="T72" t="str">
        <f t="shared" si="37"/>
        <v xml:space="preserve">["ID"] = 1879501163; </v>
      </c>
      <c r="U72" t="str">
        <f t="shared" si="38"/>
        <v xml:space="preserve">["ID"] = 1879501163; </v>
      </c>
      <c r="V72" t="str">
        <f t="shared" si="39"/>
        <v/>
      </c>
      <c r="W72" s="1" t="str">
        <f t="shared" si="40"/>
        <v/>
      </c>
      <c r="X72" t="e">
        <f>VLOOKUP(D72,Type!A$2:B$17,2,FALSE)</f>
        <v>#N/A</v>
      </c>
      <c r="Y72" t="e">
        <f t="shared" si="41"/>
        <v>#N/A</v>
      </c>
      <c r="Z72" t="str">
        <f t="shared" si="42"/>
        <v>0</v>
      </c>
      <c r="AA72" t="str">
        <f t="shared" si="43"/>
        <v xml:space="preserve">["VXP"] = 0; </v>
      </c>
      <c r="AB72" t="str">
        <f t="shared" si="44"/>
        <v>0</v>
      </c>
      <c r="AC72" t="str">
        <f t="shared" si="45"/>
        <v xml:space="preserve">["LP"] = 0; </v>
      </c>
      <c r="AD72" t="str">
        <f t="shared" si="46"/>
        <v>0</v>
      </c>
      <c r="AE72" t="str">
        <f t="shared" si="47"/>
        <v xml:space="preserve">["REP"] = 0; </v>
      </c>
      <c r="AF72" t="e">
        <f>VLOOKUP(I72,Faction!A$2:B$77,2,FALSE)</f>
        <v>#N/A</v>
      </c>
      <c r="AG72" t="e">
        <f t="shared" si="48"/>
        <v>#N/A</v>
      </c>
      <c r="AH72" t="str">
        <f t="shared" si="49"/>
        <v xml:space="preserve">["TIER"] = 1; </v>
      </c>
      <c r="AI72" t="str">
        <f t="shared" si="50"/>
        <v xml:space="preserve">["NAME"] = { ["EN"] = "The Rarest Bird in Mirkwood"; }; </v>
      </c>
      <c r="AJ72" t="str">
        <f t="shared" si="51"/>
        <v xml:space="preserve">["LORE"] = { ["EN"] = ""; }; </v>
      </c>
      <c r="AK72" t="str">
        <f t="shared" si="52"/>
        <v xml:space="preserve">["SUMMARY"] = { ["EN"] = ""; }; </v>
      </c>
      <c r="AL72" t="str">
        <f t="shared" si="53"/>
        <v/>
      </c>
      <c r="AM72" t="str">
        <f t="shared" si="54"/>
        <v>};</v>
      </c>
    </row>
    <row r="73" spans="1:39" x14ac:dyDescent="0.25">
      <c r="A73">
        <v>1879501166</v>
      </c>
      <c r="C73" t="s">
        <v>239</v>
      </c>
      <c r="L73">
        <v>0</v>
      </c>
      <c r="O73" t="str">
        <f t="shared" si="32"/>
        <v/>
      </c>
      <c r="P73" t="str">
        <f t="shared" si="33"/>
        <v xml:space="preserve"> [72] = {["ID"] = 1879501166; }; -- All the Birds of the Great River</v>
      </c>
      <c r="Q73" s="1" t="e">
        <f t="shared" si="34"/>
        <v>#N/A</v>
      </c>
      <c r="R73">
        <f t="shared" si="35"/>
        <v>72</v>
      </c>
      <c r="S73" t="str">
        <f t="shared" si="36"/>
        <v xml:space="preserve"> [72] = {</v>
      </c>
      <c r="T73" t="str">
        <f t="shared" si="37"/>
        <v xml:space="preserve">["ID"] = 1879501166; </v>
      </c>
      <c r="U73" t="str">
        <f t="shared" si="38"/>
        <v xml:space="preserve">["ID"] = 1879501166; </v>
      </c>
      <c r="V73" t="str">
        <f t="shared" si="39"/>
        <v/>
      </c>
      <c r="W73" s="1" t="str">
        <f t="shared" si="40"/>
        <v/>
      </c>
      <c r="X73" t="e">
        <f>VLOOKUP(D73,Type!A$2:B$17,2,FALSE)</f>
        <v>#N/A</v>
      </c>
      <c r="Y73" t="e">
        <f t="shared" si="41"/>
        <v>#N/A</v>
      </c>
      <c r="Z73" t="str">
        <f t="shared" si="42"/>
        <v>0</v>
      </c>
      <c r="AA73" t="str">
        <f t="shared" si="43"/>
        <v xml:space="preserve">["VXP"] = 0; </v>
      </c>
      <c r="AB73" t="str">
        <f t="shared" si="44"/>
        <v>0</v>
      </c>
      <c r="AC73" t="str">
        <f t="shared" si="45"/>
        <v xml:space="preserve">["LP"] = 0; </v>
      </c>
      <c r="AD73" t="str">
        <f t="shared" si="46"/>
        <v>0</v>
      </c>
      <c r="AE73" t="str">
        <f t="shared" si="47"/>
        <v xml:space="preserve">["REP"] = 0; </v>
      </c>
      <c r="AF73" t="e">
        <f>VLOOKUP(I73,Faction!A$2:B$77,2,FALSE)</f>
        <v>#N/A</v>
      </c>
      <c r="AG73" t="e">
        <f t="shared" si="48"/>
        <v>#N/A</v>
      </c>
      <c r="AH73" t="str">
        <f t="shared" si="49"/>
        <v/>
      </c>
      <c r="AI73" t="str">
        <f t="shared" si="50"/>
        <v xml:space="preserve">["NAME"] = { ["EN"] = "All the Birds of the Great River"; }; </v>
      </c>
      <c r="AJ73" t="str">
        <f t="shared" si="51"/>
        <v xml:space="preserve">["LORE"] = { ["EN"] = ""; }; </v>
      </c>
      <c r="AK73" t="str">
        <f t="shared" si="52"/>
        <v xml:space="preserve">["SUMMARY"] = { ["EN"] = ""; }; </v>
      </c>
      <c r="AL73" t="str">
        <f t="shared" si="53"/>
        <v/>
      </c>
      <c r="AM73" t="str">
        <f t="shared" si="54"/>
        <v>};</v>
      </c>
    </row>
    <row r="74" spans="1:39" x14ac:dyDescent="0.25">
      <c r="A74">
        <v>1879501167</v>
      </c>
      <c r="C74" t="s">
        <v>240</v>
      </c>
      <c r="L74">
        <v>1</v>
      </c>
      <c r="O74" t="str">
        <f t="shared" si="32"/>
        <v>[1879501167] = 1, // Birds of the Great River: Common and Uncommon</v>
      </c>
      <c r="P74" t="str">
        <f t="shared" si="33"/>
        <v xml:space="preserve"> [73] = {["ID"] = 1879501167; ["TIER"] = 1; }; -- Birds of the Great River: Common and Uncommon</v>
      </c>
      <c r="Q74" s="1" t="e">
        <f t="shared" si="34"/>
        <v>#N/A</v>
      </c>
      <c r="R74">
        <f t="shared" si="35"/>
        <v>73</v>
      </c>
      <c r="S74" t="str">
        <f t="shared" si="36"/>
        <v xml:space="preserve"> [73] = {</v>
      </c>
      <c r="T74" t="str">
        <f t="shared" si="37"/>
        <v xml:space="preserve">["ID"] = 1879501167; </v>
      </c>
      <c r="U74" t="str">
        <f t="shared" si="38"/>
        <v xml:space="preserve">["ID"] = 1879501167; </v>
      </c>
      <c r="V74" t="str">
        <f t="shared" si="39"/>
        <v/>
      </c>
      <c r="W74" s="1" t="str">
        <f t="shared" si="40"/>
        <v/>
      </c>
      <c r="X74" t="e">
        <f>VLOOKUP(D74,Type!A$2:B$17,2,FALSE)</f>
        <v>#N/A</v>
      </c>
      <c r="Y74" t="e">
        <f t="shared" si="41"/>
        <v>#N/A</v>
      </c>
      <c r="Z74" t="str">
        <f t="shared" si="42"/>
        <v>0</v>
      </c>
      <c r="AA74" t="str">
        <f t="shared" si="43"/>
        <v xml:space="preserve">["VXP"] = 0; </v>
      </c>
      <c r="AB74" t="str">
        <f t="shared" si="44"/>
        <v>0</v>
      </c>
      <c r="AC74" t="str">
        <f t="shared" si="45"/>
        <v xml:space="preserve">["LP"] = 0; </v>
      </c>
      <c r="AD74" t="str">
        <f t="shared" si="46"/>
        <v>0</v>
      </c>
      <c r="AE74" t="str">
        <f t="shared" si="47"/>
        <v xml:space="preserve">["REP"] = 0; </v>
      </c>
      <c r="AF74" t="e">
        <f>VLOOKUP(I74,Faction!A$2:B$77,2,FALSE)</f>
        <v>#N/A</v>
      </c>
      <c r="AG74" t="e">
        <f t="shared" si="48"/>
        <v>#N/A</v>
      </c>
      <c r="AH74" t="str">
        <f t="shared" si="49"/>
        <v xml:space="preserve">["TIER"] = 1; </v>
      </c>
      <c r="AI74" t="str">
        <f t="shared" si="50"/>
        <v xml:space="preserve">["NAME"] = { ["EN"] = "Birds of the Great River: Common and Uncommon"; }; </v>
      </c>
      <c r="AJ74" t="str">
        <f t="shared" si="51"/>
        <v xml:space="preserve">["LORE"] = { ["EN"] = ""; }; </v>
      </c>
      <c r="AK74" t="str">
        <f t="shared" si="52"/>
        <v xml:space="preserve">["SUMMARY"] = { ["EN"] = ""; }; </v>
      </c>
      <c r="AL74" t="str">
        <f t="shared" si="53"/>
        <v/>
      </c>
      <c r="AM74" t="str">
        <f t="shared" si="54"/>
        <v>};</v>
      </c>
    </row>
    <row r="75" spans="1:39" x14ac:dyDescent="0.25">
      <c r="A75">
        <v>1879501168</v>
      </c>
      <c r="C75" t="s">
        <v>241</v>
      </c>
      <c r="L75">
        <v>1</v>
      </c>
      <c r="O75" t="str">
        <f t="shared" si="32"/>
        <v>[1879501168] = 1, // Birds of the Great River: Rare</v>
      </c>
      <c r="P75" t="str">
        <f t="shared" si="33"/>
        <v xml:space="preserve"> [74] = {["ID"] = 1879501168; ["TIER"] = 1; }; -- Birds of the Great River: Rare</v>
      </c>
      <c r="Q75" s="1" t="e">
        <f t="shared" si="34"/>
        <v>#N/A</v>
      </c>
      <c r="R75">
        <f t="shared" si="35"/>
        <v>74</v>
      </c>
      <c r="S75" t="str">
        <f t="shared" si="36"/>
        <v xml:space="preserve"> [74] = {</v>
      </c>
      <c r="T75" t="str">
        <f t="shared" si="37"/>
        <v xml:space="preserve">["ID"] = 1879501168; </v>
      </c>
      <c r="U75" t="str">
        <f t="shared" si="38"/>
        <v xml:space="preserve">["ID"] = 1879501168; </v>
      </c>
      <c r="V75" t="str">
        <f t="shared" si="39"/>
        <v/>
      </c>
      <c r="W75" s="1" t="str">
        <f t="shared" si="40"/>
        <v/>
      </c>
      <c r="X75" t="e">
        <f>VLOOKUP(D75,Type!A$2:B$17,2,FALSE)</f>
        <v>#N/A</v>
      </c>
      <c r="Y75" t="e">
        <f t="shared" si="41"/>
        <v>#N/A</v>
      </c>
      <c r="Z75" t="str">
        <f t="shared" si="42"/>
        <v>0</v>
      </c>
      <c r="AA75" t="str">
        <f t="shared" si="43"/>
        <v xml:space="preserve">["VXP"] = 0; </v>
      </c>
      <c r="AB75" t="str">
        <f t="shared" si="44"/>
        <v>0</v>
      </c>
      <c r="AC75" t="str">
        <f t="shared" si="45"/>
        <v xml:space="preserve">["LP"] = 0; </v>
      </c>
      <c r="AD75" t="str">
        <f t="shared" si="46"/>
        <v>0</v>
      </c>
      <c r="AE75" t="str">
        <f t="shared" si="47"/>
        <v xml:space="preserve">["REP"] = 0; </v>
      </c>
      <c r="AF75" t="e">
        <f>VLOOKUP(I75,Faction!A$2:B$77,2,FALSE)</f>
        <v>#N/A</v>
      </c>
      <c r="AG75" t="e">
        <f t="shared" si="48"/>
        <v>#N/A</v>
      </c>
      <c r="AH75" t="str">
        <f t="shared" si="49"/>
        <v xml:space="preserve">["TIER"] = 1; </v>
      </c>
      <c r="AI75" t="str">
        <f t="shared" si="50"/>
        <v xml:space="preserve">["NAME"] = { ["EN"] = "Birds of the Great River: Rare"; }; </v>
      </c>
      <c r="AJ75" t="str">
        <f t="shared" si="51"/>
        <v xml:space="preserve">["LORE"] = { ["EN"] = ""; }; </v>
      </c>
      <c r="AK75" t="str">
        <f t="shared" si="52"/>
        <v xml:space="preserve">["SUMMARY"] = { ["EN"] = ""; }; </v>
      </c>
      <c r="AL75" t="str">
        <f t="shared" si="53"/>
        <v/>
      </c>
      <c r="AM75" t="str">
        <f t="shared" si="54"/>
        <v>};</v>
      </c>
    </row>
    <row r="76" spans="1:39" x14ac:dyDescent="0.25">
      <c r="A76">
        <v>1879501165</v>
      </c>
      <c r="C76" t="s">
        <v>242</v>
      </c>
      <c r="L76">
        <v>1</v>
      </c>
      <c r="O76" t="str">
        <f t="shared" si="32"/>
        <v>[1879501165] = 1, // The Rarest Bird of the Great River</v>
      </c>
      <c r="P76" t="str">
        <f t="shared" si="33"/>
        <v xml:space="preserve"> [75] = {["ID"] = 1879501165; ["TIER"] = 1; }; -- The Rarest Bird of the Great River</v>
      </c>
      <c r="Q76" s="1" t="e">
        <f t="shared" si="34"/>
        <v>#N/A</v>
      </c>
      <c r="R76">
        <f t="shared" si="35"/>
        <v>75</v>
      </c>
      <c r="S76" t="str">
        <f t="shared" si="36"/>
        <v xml:space="preserve"> [75] = {</v>
      </c>
      <c r="T76" t="str">
        <f t="shared" si="37"/>
        <v xml:space="preserve">["ID"] = 1879501165; </v>
      </c>
      <c r="U76" t="str">
        <f t="shared" si="38"/>
        <v xml:space="preserve">["ID"] = 1879501165; </v>
      </c>
      <c r="V76" t="str">
        <f t="shared" si="39"/>
        <v/>
      </c>
      <c r="W76" s="1" t="str">
        <f t="shared" si="40"/>
        <v/>
      </c>
      <c r="X76" t="e">
        <f>VLOOKUP(D76,Type!A$2:B$17,2,FALSE)</f>
        <v>#N/A</v>
      </c>
      <c r="Y76" t="e">
        <f t="shared" si="41"/>
        <v>#N/A</v>
      </c>
      <c r="Z76" t="str">
        <f t="shared" si="42"/>
        <v>0</v>
      </c>
      <c r="AA76" t="str">
        <f t="shared" si="43"/>
        <v xml:space="preserve">["VXP"] = 0; </v>
      </c>
      <c r="AB76" t="str">
        <f t="shared" si="44"/>
        <v>0</v>
      </c>
      <c r="AC76" t="str">
        <f t="shared" si="45"/>
        <v xml:space="preserve">["LP"] = 0; </v>
      </c>
      <c r="AD76" t="str">
        <f t="shared" si="46"/>
        <v>0</v>
      </c>
      <c r="AE76" t="str">
        <f t="shared" si="47"/>
        <v xml:space="preserve">["REP"] = 0; </v>
      </c>
      <c r="AF76" t="e">
        <f>VLOOKUP(I76,Faction!A$2:B$77,2,FALSE)</f>
        <v>#N/A</v>
      </c>
      <c r="AG76" t="e">
        <f t="shared" si="48"/>
        <v>#N/A</v>
      </c>
      <c r="AH76" t="str">
        <f t="shared" si="49"/>
        <v xml:space="preserve">["TIER"] = 1; </v>
      </c>
      <c r="AI76" t="str">
        <f t="shared" si="50"/>
        <v xml:space="preserve">["NAME"] = { ["EN"] = "The Rarest Bird of the Great River"; }; </v>
      </c>
      <c r="AJ76" t="str">
        <f t="shared" si="51"/>
        <v xml:space="preserve">["LORE"] = { ["EN"] = ""; }; </v>
      </c>
      <c r="AK76" t="str">
        <f t="shared" si="52"/>
        <v xml:space="preserve">["SUMMARY"] = { ["EN"] = ""; }; </v>
      </c>
      <c r="AL76" t="str">
        <f t="shared" si="53"/>
        <v/>
      </c>
      <c r="AM76" t="str">
        <f t="shared" si="54"/>
        <v>};</v>
      </c>
    </row>
    <row r="77" spans="1:39" x14ac:dyDescent="0.25">
      <c r="A77">
        <v>1879501170</v>
      </c>
      <c r="C77" t="s">
        <v>243</v>
      </c>
      <c r="L77">
        <v>0</v>
      </c>
      <c r="O77" t="str">
        <f t="shared" si="32"/>
        <v/>
      </c>
      <c r="P77" t="str">
        <f t="shared" si="33"/>
        <v xml:space="preserve"> [76] = {["ID"] = 1879501170; }; -- All the Birds of the Wold</v>
      </c>
      <c r="Q77" s="1" t="e">
        <f t="shared" si="34"/>
        <v>#N/A</v>
      </c>
      <c r="R77">
        <f t="shared" si="35"/>
        <v>76</v>
      </c>
      <c r="S77" t="str">
        <f t="shared" si="36"/>
        <v xml:space="preserve"> [76] = {</v>
      </c>
      <c r="T77" t="str">
        <f t="shared" si="37"/>
        <v xml:space="preserve">["ID"] = 1879501170; </v>
      </c>
      <c r="U77" t="str">
        <f t="shared" si="38"/>
        <v xml:space="preserve">["ID"] = 1879501170; </v>
      </c>
      <c r="V77" t="str">
        <f t="shared" si="39"/>
        <v/>
      </c>
      <c r="W77" s="1" t="str">
        <f t="shared" si="40"/>
        <v/>
      </c>
      <c r="X77" t="e">
        <f>VLOOKUP(D77,Type!A$2:B$17,2,FALSE)</f>
        <v>#N/A</v>
      </c>
      <c r="Y77" t="e">
        <f t="shared" si="41"/>
        <v>#N/A</v>
      </c>
      <c r="Z77" t="str">
        <f t="shared" si="42"/>
        <v>0</v>
      </c>
      <c r="AA77" t="str">
        <f t="shared" si="43"/>
        <v xml:space="preserve">["VXP"] = 0; </v>
      </c>
      <c r="AB77" t="str">
        <f t="shared" si="44"/>
        <v>0</v>
      </c>
      <c r="AC77" t="str">
        <f t="shared" si="45"/>
        <v xml:space="preserve">["LP"] = 0; </v>
      </c>
      <c r="AD77" t="str">
        <f t="shared" si="46"/>
        <v>0</v>
      </c>
      <c r="AE77" t="str">
        <f t="shared" si="47"/>
        <v xml:space="preserve">["REP"] = 0; </v>
      </c>
      <c r="AF77" t="e">
        <f>VLOOKUP(I77,Faction!A$2:B$77,2,FALSE)</f>
        <v>#N/A</v>
      </c>
      <c r="AG77" t="e">
        <f t="shared" si="48"/>
        <v>#N/A</v>
      </c>
      <c r="AH77" t="str">
        <f t="shared" si="49"/>
        <v/>
      </c>
      <c r="AI77" t="str">
        <f t="shared" si="50"/>
        <v xml:space="preserve">["NAME"] = { ["EN"] = "All the Birds of the Wold"; }; </v>
      </c>
      <c r="AJ77" t="str">
        <f t="shared" si="51"/>
        <v xml:space="preserve">["LORE"] = { ["EN"] = ""; }; </v>
      </c>
      <c r="AK77" t="str">
        <f t="shared" si="52"/>
        <v xml:space="preserve">["SUMMARY"] = { ["EN"] = ""; }; </v>
      </c>
      <c r="AL77" t="str">
        <f t="shared" si="53"/>
        <v/>
      </c>
      <c r="AM77" t="str">
        <f t="shared" si="54"/>
        <v>};</v>
      </c>
    </row>
    <row r="78" spans="1:39" x14ac:dyDescent="0.25">
      <c r="A78">
        <v>1879501171</v>
      </c>
      <c r="C78" t="s">
        <v>244</v>
      </c>
      <c r="L78">
        <v>1</v>
      </c>
      <c r="O78" t="str">
        <f t="shared" si="32"/>
        <v>[1879501171] = 1, // Birds of the Wold: Common and Uncommon</v>
      </c>
      <c r="P78" t="str">
        <f t="shared" si="33"/>
        <v xml:space="preserve"> [77] = {["ID"] = 1879501171; ["TIER"] = 1; }; -- Birds of the Wold: Common and Uncommon</v>
      </c>
      <c r="Q78" s="1" t="e">
        <f t="shared" si="34"/>
        <v>#N/A</v>
      </c>
      <c r="R78">
        <f t="shared" si="35"/>
        <v>77</v>
      </c>
      <c r="S78" t="str">
        <f t="shared" si="36"/>
        <v xml:space="preserve"> [77] = {</v>
      </c>
      <c r="T78" t="str">
        <f t="shared" si="37"/>
        <v xml:space="preserve">["ID"] = 1879501171; </v>
      </c>
      <c r="U78" t="str">
        <f t="shared" si="38"/>
        <v xml:space="preserve">["ID"] = 1879501171; </v>
      </c>
      <c r="V78" t="str">
        <f t="shared" si="39"/>
        <v/>
      </c>
      <c r="W78" s="1" t="str">
        <f t="shared" si="40"/>
        <v/>
      </c>
      <c r="X78" t="e">
        <f>VLOOKUP(D78,Type!A$2:B$17,2,FALSE)</f>
        <v>#N/A</v>
      </c>
      <c r="Y78" t="e">
        <f t="shared" si="41"/>
        <v>#N/A</v>
      </c>
      <c r="Z78" t="str">
        <f t="shared" si="42"/>
        <v>0</v>
      </c>
      <c r="AA78" t="str">
        <f t="shared" si="43"/>
        <v xml:space="preserve">["VXP"] = 0; </v>
      </c>
      <c r="AB78" t="str">
        <f t="shared" si="44"/>
        <v>0</v>
      </c>
      <c r="AC78" t="str">
        <f t="shared" si="45"/>
        <v xml:space="preserve">["LP"] = 0; </v>
      </c>
      <c r="AD78" t="str">
        <f t="shared" si="46"/>
        <v>0</v>
      </c>
      <c r="AE78" t="str">
        <f t="shared" si="47"/>
        <v xml:space="preserve">["REP"] = 0; </v>
      </c>
      <c r="AF78" t="e">
        <f>VLOOKUP(I78,Faction!A$2:B$77,2,FALSE)</f>
        <v>#N/A</v>
      </c>
      <c r="AG78" t="e">
        <f t="shared" si="48"/>
        <v>#N/A</v>
      </c>
      <c r="AH78" t="str">
        <f t="shared" si="49"/>
        <v xml:space="preserve">["TIER"] = 1; </v>
      </c>
      <c r="AI78" t="str">
        <f t="shared" si="50"/>
        <v xml:space="preserve">["NAME"] = { ["EN"] = "Birds of the Wold: Common and Uncommon"; }; </v>
      </c>
      <c r="AJ78" t="str">
        <f t="shared" si="51"/>
        <v xml:space="preserve">["LORE"] = { ["EN"] = ""; }; </v>
      </c>
      <c r="AK78" t="str">
        <f t="shared" si="52"/>
        <v xml:space="preserve">["SUMMARY"] = { ["EN"] = ""; }; </v>
      </c>
      <c r="AL78" t="str">
        <f t="shared" si="53"/>
        <v/>
      </c>
      <c r="AM78" t="str">
        <f t="shared" si="54"/>
        <v>};</v>
      </c>
    </row>
    <row r="79" spans="1:39" x14ac:dyDescent="0.25">
      <c r="A79">
        <v>1879501173</v>
      </c>
      <c r="C79" t="s">
        <v>245</v>
      </c>
      <c r="L79">
        <v>1</v>
      </c>
      <c r="O79" t="str">
        <f t="shared" si="32"/>
        <v>[1879501173] = 1, // Birds of the Wold: Rare</v>
      </c>
      <c r="P79" t="str">
        <f t="shared" si="33"/>
        <v xml:space="preserve"> [78] = {["ID"] = 1879501173; ["TIER"] = 1; }; -- Birds of the Wold: Rare</v>
      </c>
      <c r="Q79" s="1" t="e">
        <f t="shared" si="34"/>
        <v>#N/A</v>
      </c>
      <c r="R79">
        <f t="shared" si="35"/>
        <v>78</v>
      </c>
      <c r="S79" t="str">
        <f t="shared" si="36"/>
        <v xml:space="preserve"> [78] = {</v>
      </c>
      <c r="T79" t="str">
        <f t="shared" si="37"/>
        <v xml:space="preserve">["ID"] = 1879501173; </v>
      </c>
      <c r="U79" t="str">
        <f t="shared" si="38"/>
        <v xml:space="preserve">["ID"] = 1879501173; </v>
      </c>
      <c r="V79" t="str">
        <f t="shared" si="39"/>
        <v/>
      </c>
      <c r="W79" s="1" t="str">
        <f t="shared" si="40"/>
        <v/>
      </c>
      <c r="X79" t="e">
        <f>VLOOKUP(D79,Type!A$2:B$17,2,FALSE)</f>
        <v>#N/A</v>
      </c>
      <c r="Y79" t="e">
        <f t="shared" si="41"/>
        <v>#N/A</v>
      </c>
      <c r="Z79" t="str">
        <f t="shared" si="42"/>
        <v>0</v>
      </c>
      <c r="AA79" t="str">
        <f t="shared" si="43"/>
        <v xml:space="preserve">["VXP"] = 0; </v>
      </c>
      <c r="AB79" t="str">
        <f t="shared" si="44"/>
        <v>0</v>
      </c>
      <c r="AC79" t="str">
        <f t="shared" si="45"/>
        <v xml:space="preserve">["LP"] = 0; </v>
      </c>
      <c r="AD79" t="str">
        <f t="shared" si="46"/>
        <v>0</v>
      </c>
      <c r="AE79" t="str">
        <f t="shared" si="47"/>
        <v xml:space="preserve">["REP"] = 0; </v>
      </c>
      <c r="AF79" t="e">
        <f>VLOOKUP(I79,Faction!A$2:B$77,2,FALSE)</f>
        <v>#N/A</v>
      </c>
      <c r="AG79" t="e">
        <f t="shared" si="48"/>
        <v>#N/A</v>
      </c>
      <c r="AH79" t="str">
        <f t="shared" si="49"/>
        <v xml:space="preserve">["TIER"] = 1; </v>
      </c>
      <c r="AI79" t="str">
        <f t="shared" si="50"/>
        <v xml:space="preserve">["NAME"] = { ["EN"] = "Birds of the Wold: Rare"; }; </v>
      </c>
      <c r="AJ79" t="str">
        <f t="shared" si="51"/>
        <v xml:space="preserve">["LORE"] = { ["EN"] = ""; }; </v>
      </c>
      <c r="AK79" t="str">
        <f t="shared" si="52"/>
        <v xml:space="preserve">["SUMMARY"] = { ["EN"] = ""; }; </v>
      </c>
      <c r="AL79" t="str">
        <f t="shared" si="53"/>
        <v/>
      </c>
      <c r="AM79" t="str">
        <f t="shared" si="54"/>
        <v>};</v>
      </c>
    </row>
    <row r="80" spans="1:39" x14ac:dyDescent="0.25">
      <c r="A80">
        <v>1879501172</v>
      </c>
      <c r="C80" t="s">
        <v>246</v>
      </c>
      <c r="L80">
        <v>1</v>
      </c>
      <c r="O80" t="str">
        <f t="shared" si="32"/>
        <v>[1879501172] = 1, // The Rarest Bird of the Wold</v>
      </c>
      <c r="P80" t="str">
        <f t="shared" si="33"/>
        <v xml:space="preserve"> [79] = {["ID"] = 1879501172; ["TIER"] = 1; }; -- The Rarest Bird of the Wold</v>
      </c>
      <c r="Q80" s="1" t="e">
        <f t="shared" si="34"/>
        <v>#N/A</v>
      </c>
      <c r="R80">
        <f t="shared" si="35"/>
        <v>79</v>
      </c>
      <c r="S80" t="str">
        <f t="shared" si="36"/>
        <v xml:space="preserve"> [79] = {</v>
      </c>
      <c r="T80" t="str">
        <f t="shared" si="37"/>
        <v xml:space="preserve">["ID"] = 1879501172; </v>
      </c>
      <c r="U80" t="str">
        <f t="shared" si="38"/>
        <v xml:space="preserve">["ID"] = 1879501172; </v>
      </c>
      <c r="V80" t="str">
        <f t="shared" si="39"/>
        <v/>
      </c>
      <c r="W80" s="1" t="str">
        <f t="shared" si="40"/>
        <v/>
      </c>
      <c r="X80" t="e">
        <f>VLOOKUP(D80,Type!A$2:B$17,2,FALSE)</f>
        <v>#N/A</v>
      </c>
      <c r="Y80" t="e">
        <f t="shared" si="41"/>
        <v>#N/A</v>
      </c>
      <c r="Z80" t="str">
        <f t="shared" si="42"/>
        <v>0</v>
      </c>
      <c r="AA80" t="str">
        <f t="shared" si="43"/>
        <v xml:space="preserve">["VXP"] = 0; </v>
      </c>
      <c r="AB80" t="str">
        <f t="shared" si="44"/>
        <v>0</v>
      </c>
      <c r="AC80" t="str">
        <f t="shared" si="45"/>
        <v xml:space="preserve">["LP"] = 0; </v>
      </c>
      <c r="AD80" t="str">
        <f t="shared" si="46"/>
        <v>0</v>
      </c>
      <c r="AE80" t="str">
        <f t="shared" si="47"/>
        <v xml:space="preserve">["REP"] = 0; </v>
      </c>
      <c r="AF80" t="e">
        <f>VLOOKUP(I80,Faction!A$2:B$77,2,FALSE)</f>
        <v>#N/A</v>
      </c>
      <c r="AG80" t="e">
        <f t="shared" si="48"/>
        <v>#N/A</v>
      </c>
      <c r="AH80" t="str">
        <f t="shared" si="49"/>
        <v xml:space="preserve">["TIER"] = 1; </v>
      </c>
      <c r="AI80" t="str">
        <f t="shared" si="50"/>
        <v xml:space="preserve">["NAME"] = { ["EN"] = "The Rarest Bird of the Wold"; }; </v>
      </c>
      <c r="AJ80" t="str">
        <f t="shared" si="51"/>
        <v xml:space="preserve">["LORE"] = { ["EN"] = ""; }; </v>
      </c>
      <c r="AK80" t="str">
        <f t="shared" si="52"/>
        <v xml:space="preserve">["SUMMARY"] = { ["EN"] = ""; }; </v>
      </c>
      <c r="AL80" t="str">
        <f t="shared" si="53"/>
        <v/>
      </c>
      <c r="AM80" t="str">
        <f t="shared" si="54"/>
        <v>};</v>
      </c>
    </row>
    <row r="81" spans="1:39" x14ac:dyDescent="0.25">
      <c r="A81">
        <v>1879501174</v>
      </c>
      <c r="C81" t="s">
        <v>247</v>
      </c>
      <c r="L81">
        <v>0</v>
      </c>
      <c r="O81" t="str">
        <f t="shared" si="32"/>
        <v/>
      </c>
      <c r="P81" t="str">
        <f t="shared" si="33"/>
        <v xml:space="preserve"> [80] = {["ID"] = 1879501174; }; -- All the Birds of Fangorn</v>
      </c>
      <c r="Q81" s="1" t="e">
        <f t="shared" si="34"/>
        <v>#N/A</v>
      </c>
      <c r="R81">
        <f t="shared" si="35"/>
        <v>80</v>
      </c>
      <c r="S81" t="str">
        <f t="shared" si="36"/>
        <v xml:space="preserve"> [80] = {</v>
      </c>
      <c r="T81" t="str">
        <f t="shared" si="37"/>
        <v xml:space="preserve">["ID"] = 1879501174; </v>
      </c>
      <c r="U81" t="str">
        <f t="shared" si="38"/>
        <v xml:space="preserve">["ID"] = 1879501174; </v>
      </c>
      <c r="V81" t="str">
        <f t="shared" si="39"/>
        <v/>
      </c>
      <c r="W81" s="1" t="str">
        <f t="shared" si="40"/>
        <v/>
      </c>
      <c r="X81" t="e">
        <f>VLOOKUP(D81,Type!A$2:B$17,2,FALSE)</f>
        <v>#N/A</v>
      </c>
      <c r="Y81" t="e">
        <f t="shared" si="41"/>
        <v>#N/A</v>
      </c>
      <c r="Z81" t="str">
        <f t="shared" si="42"/>
        <v>0</v>
      </c>
      <c r="AA81" t="str">
        <f t="shared" si="43"/>
        <v xml:space="preserve">["VXP"] = 0; </v>
      </c>
      <c r="AB81" t="str">
        <f t="shared" si="44"/>
        <v>0</v>
      </c>
      <c r="AC81" t="str">
        <f t="shared" si="45"/>
        <v xml:space="preserve">["LP"] = 0; </v>
      </c>
      <c r="AD81" t="str">
        <f t="shared" si="46"/>
        <v>0</v>
      </c>
      <c r="AE81" t="str">
        <f t="shared" si="47"/>
        <v xml:space="preserve">["REP"] = 0; </v>
      </c>
      <c r="AF81" t="e">
        <f>VLOOKUP(I81,Faction!A$2:B$77,2,FALSE)</f>
        <v>#N/A</v>
      </c>
      <c r="AG81" t="e">
        <f t="shared" si="48"/>
        <v>#N/A</v>
      </c>
      <c r="AH81" t="str">
        <f t="shared" si="49"/>
        <v/>
      </c>
      <c r="AI81" t="str">
        <f t="shared" si="50"/>
        <v xml:space="preserve">["NAME"] = { ["EN"] = "All the Birds of Fangorn"; }; </v>
      </c>
      <c r="AJ81" t="str">
        <f t="shared" si="51"/>
        <v xml:space="preserve">["LORE"] = { ["EN"] = ""; }; </v>
      </c>
      <c r="AK81" t="str">
        <f t="shared" si="52"/>
        <v xml:space="preserve">["SUMMARY"] = { ["EN"] = ""; }; </v>
      </c>
      <c r="AL81" t="str">
        <f t="shared" si="53"/>
        <v/>
      </c>
      <c r="AM81" t="str">
        <f t="shared" si="54"/>
        <v>};</v>
      </c>
    </row>
    <row r="82" spans="1:39" x14ac:dyDescent="0.25">
      <c r="A82">
        <v>1879501176</v>
      </c>
      <c r="C82" t="s">
        <v>248</v>
      </c>
      <c r="L82">
        <v>1</v>
      </c>
      <c r="O82" t="str">
        <f t="shared" si="32"/>
        <v>[1879501176] = 1, // Birds of Fangorn: Common and Uncommon</v>
      </c>
      <c r="P82" t="str">
        <f t="shared" si="33"/>
        <v xml:space="preserve"> [81] = {["ID"] = 1879501176; ["TIER"] = 1; }; -- Birds of Fangorn: Common and Uncommon</v>
      </c>
      <c r="Q82" s="1" t="e">
        <f t="shared" si="34"/>
        <v>#N/A</v>
      </c>
      <c r="R82">
        <f t="shared" si="35"/>
        <v>81</v>
      </c>
      <c r="S82" t="str">
        <f t="shared" si="36"/>
        <v xml:space="preserve"> [81] = {</v>
      </c>
      <c r="T82" t="str">
        <f t="shared" si="37"/>
        <v xml:space="preserve">["ID"] = 1879501176; </v>
      </c>
      <c r="U82" t="str">
        <f t="shared" si="38"/>
        <v xml:space="preserve">["ID"] = 1879501176; </v>
      </c>
      <c r="V82" t="str">
        <f t="shared" si="39"/>
        <v/>
      </c>
      <c r="W82" s="1" t="str">
        <f t="shared" si="40"/>
        <v/>
      </c>
      <c r="X82" t="e">
        <f>VLOOKUP(D82,Type!A$2:B$17,2,FALSE)</f>
        <v>#N/A</v>
      </c>
      <c r="Y82" t="e">
        <f t="shared" si="41"/>
        <v>#N/A</v>
      </c>
      <c r="Z82" t="str">
        <f t="shared" si="42"/>
        <v>0</v>
      </c>
      <c r="AA82" t="str">
        <f t="shared" si="43"/>
        <v xml:space="preserve">["VXP"] = 0; </v>
      </c>
      <c r="AB82" t="str">
        <f t="shared" si="44"/>
        <v>0</v>
      </c>
      <c r="AC82" t="str">
        <f t="shared" si="45"/>
        <v xml:space="preserve">["LP"] = 0; </v>
      </c>
      <c r="AD82" t="str">
        <f t="shared" si="46"/>
        <v>0</v>
      </c>
      <c r="AE82" t="str">
        <f t="shared" si="47"/>
        <v xml:space="preserve">["REP"] = 0; </v>
      </c>
      <c r="AF82" t="e">
        <f>VLOOKUP(I82,Faction!A$2:B$77,2,FALSE)</f>
        <v>#N/A</v>
      </c>
      <c r="AG82" t="e">
        <f t="shared" si="48"/>
        <v>#N/A</v>
      </c>
      <c r="AH82" t="str">
        <f t="shared" si="49"/>
        <v xml:space="preserve">["TIER"] = 1; </v>
      </c>
      <c r="AI82" t="str">
        <f t="shared" si="50"/>
        <v xml:space="preserve">["NAME"] = { ["EN"] = "Birds of Fangorn: Common and Uncommon"; }; </v>
      </c>
      <c r="AJ82" t="str">
        <f t="shared" si="51"/>
        <v xml:space="preserve">["LORE"] = { ["EN"] = ""; }; </v>
      </c>
      <c r="AK82" t="str">
        <f t="shared" si="52"/>
        <v xml:space="preserve">["SUMMARY"] = { ["EN"] = ""; }; </v>
      </c>
      <c r="AL82" t="str">
        <f t="shared" si="53"/>
        <v/>
      </c>
      <c r="AM82" t="str">
        <f t="shared" si="54"/>
        <v>};</v>
      </c>
    </row>
    <row r="83" spans="1:39" x14ac:dyDescent="0.25">
      <c r="A83">
        <v>1879501175</v>
      </c>
      <c r="C83" t="s">
        <v>249</v>
      </c>
      <c r="L83">
        <v>1</v>
      </c>
      <c r="O83" t="str">
        <f t="shared" si="32"/>
        <v>[1879501175] = 1, // Birds of Fangorn: Rare</v>
      </c>
      <c r="P83" t="str">
        <f t="shared" si="33"/>
        <v xml:space="preserve"> [82] = {["ID"] = 1879501175; ["TIER"] = 1; }; -- Birds of Fangorn: Rare</v>
      </c>
      <c r="Q83" s="1" t="e">
        <f t="shared" si="34"/>
        <v>#N/A</v>
      </c>
      <c r="R83">
        <f t="shared" si="35"/>
        <v>82</v>
      </c>
      <c r="S83" t="str">
        <f t="shared" si="36"/>
        <v xml:space="preserve"> [82] = {</v>
      </c>
      <c r="T83" t="str">
        <f t="shared" si="37"/>
        <v xml:space="preserve">["ID"] = 1879501175; </v>
      </c>
      <c r="U83" t="str">
        <f t="shared" si="38"/>
        <v xml:space="preserve">["ID"] = 1879501175; </v>
      </c>
      <c r="V83" t="str">
        <f t="shared" si="39"/>
        <v/>
      </c>
      <c r="W83" s="1" t="str">
        <f t="shared" si="40"/>
        <v/>
      </c>
      <c r="X83" t="e">
        <f>VLOOKUP(D83,Type!A$2:B$17,2,FALSE)</f>
        <v>#N/A</v>
      </c>
      <c r="Y83" t="e">
        <f t="shared" si="41"/>
        <v>#N/A</v>
      </c>
      <c r="Z83" t="str">
        <f t="shared" si="42"/>
        <v>0</v>
      </c>
      <c r="AA83" t="str">
        <f t="shared" si="43"/>
        <v xml:space="preserve">["VXP"] = 0; </v>
      </c>
      <c r="AB83" t="str">
        <f t="shared" si="44"/>
        <v>0</v>
      </c>
      <c r="AC83" t="str">
        <f t="shared" si="45"/>
        <v xml:space="preserve">["LP"] = 0; </v>
      </c>
      <c r="AD83" t="str">
        <f t="shared" si="46"/>
        <v>0</v>
      </c>
      <c r="AE83" t="str">
        <f t="shared" si="47"/>
        <v xml:space="preserve">["REP"] = 0; </v>
      </c>
      <c r="AF83" t="e">
        <f>VLOOKUP(I83,Faction!A$2:B$77,2,FALSE)</f>
        <v>#N/A</v>
      </c>
      <c r="AG83" t="e">
        <f t="shared" si="48"/>
        <v>#N/A</v>
      </c>
      <c r="AH83" t="str">
        <f t="shared" si="49"/>
        <v xml:space="preserve">["TIER"] = 1; </v>
      </c>
      <c r="AI83" t="str">
        <f t="shared" si="50"/>
        <v xml:space="preserve">["NAME"] = { ["EN"] = "Birds of Fangorn: Rare"; }; </v>
      </c>
      <c r="AJ83" t="str">
        <f t="shared" si="51"/>
        <v xml:space="preserve">["LORE"] = { ["EN"] = ""; }; </v>
      </c>
      <c r="AK83" t="str">
        <f t="shared" si="52"/>
        <v xml:space="preserve">["SUMMARY"] = { ["EN"] = ""; }; </v>
      </c>
      <c r="AL83" t="str">
        <f t="shared" si="53"/>
        <v/>
      </c>
      <c r="AM83" t="str">
        <f t="shared" si="54"/>
        <v>};</v>
      </c>
    </row>
    <row r="84" spans="1:39" x14ac:dyDescent="0.25">
      <c r="A84">
        <v>1879501177</v>
      </c>
      <c r="C84" t="s">
        <v>250</v>
      </c>
      <c r="L84">
        <v>1</v>
      </c>
      <c r="O84" t="str">
        <f t="shared" si="32"/>
        <v>[1879501177] = 1, // The Rarest Bird in Fangorn</v>
      </c>
      <c r="P84" t="str">
        <f t="shared" si="33"/>
        <v xml:space="preserve"> [83] = {["ID"] = 1879501177; ["TIER"] = 1; }; -- The Rarest Bird in Fangorn</v>
      </c>
      <c r="Q84" s="1" t="e">
        <f t="shared" si="34"/>
        <v>#N/A</v>
      </c>
      <c r="R84">
        <f t="shared" si="35"/>
        <v>83</v>
      </c>
      <c r="S84" t="str">
        <f t="shared" si="36"/>
        <v xml:space="preserve"> [83] = {</v>
      </c>
      <c r="T84" t="str">
        <f t="shared" si="37"/>
        <v xml:space="preserve">["ID"] = 1879501177; </v>
      </c>
      <c r="U84" t="str">
        <f t="shared" si="38"/>
        <v xml:space="preserve">["ID"] = 1879501177; </v>
      </c>
      <c r="V84" t="str">
        <f t="shared" si="39"/>
        <v/>
      </c>
      <c r="W84" s="1" t="str">
        <f t="shared" si="40"/>
        <v/>
      </c>
      <c r="X84" t="e">
        <f>VLOOKUP(D84,Type!A$2:B$17,2,FALSE)</f>
        <v>#N/A</v>
      </c>
      <c r="Y84" t="e">
        <f t="shared" si="41"/>
        <v>#N/A</v>
      </c>
      <c r="Z84" t="str">
        <f t="shared" si="42"/>
        <v>0</v>
      </c>
      <c r="AA84" t="str">
        <f t="shared" si="43"/>
        <v xml:space="preserve">["VXP"] = 0; </v>
      </c>
      <c r="AB84" t="str">
        <f t="shared" si="44"/>
        <v>0</v>
      </c>
      <c r="AC84" t="str">
        <f t="shared" si="45"/>
        <v xml:space="preserve">["LP"] = 0; </v>
      </c>
      <c r="AD84" t="str">
        <f t="shared" si="46"/>
        <v>0</v>
      </c>
      <c r="AE84" t="str">
        <f t="shared" si="47"/>
        <v xml:space="preserve">["REP"] = 0; </v>
      </c>
      <c r="AF84" t="e">
        <f>VLOOKUP(I84,Faction!A$2:B$77,2,FALSE)</f>
        <v>#N/A</v>
      </c>
      <c r="AG84" t="e">
        <f t="shared" si="48"/>
        <v>#N/A</v>
      </c>
      <c r="AH84" t="str">
        <f t="shared" si="49"/>
        <v xml:space="preserve">["TIER"] = 1; </v>
      </c>
      <c r="AI84" t="str">
        <f t="shared" si="50"/>
        <v xml:space="preserve">["NAME"] = { ["EN"] = "The Rarest Bird in Fangorn"; }; </v>
      </c>
      <c r="AJ84" t="str">
        <f t="shared" si="51"/>
        <v xml:space="preserve">["LORE"] = { ["EN"] = ""; }; </v>
      </c>
      <c r="AK84" t="str">
        <f t="shared" si="52"/>
        <v xml:space="preserve">["SUMMARY"] = { ["EN"] = ""; }; </v>
      </c>
      <c r="AL84" t="str">
        <f t="shared" si="53"/>
        <v/>
      </c>
      <c r="AM84" t="str">
        <f t="shared" si="54"/>
        <v>};</v>
      </c>
    </row>
    <row r="85" spans="1:39" x14ac:dyDescent="0.25">
      <c r="A85">
        <v>1879501178</v>
      </c>
      <c r="C85" t="s">
        <v>251</v>
      </c>
      <c r="L85">
        <v>0</v>
      </c>
      <c r="O85" t="str">
        <f t="shared" si="32"/>
        <v/>
      </c>
      <c r="P85" t="str">
        <f t="shared" si="33"/>
        <v xml:space="preserve"> [84] = {["ID"] = 1879501178; }; -- All the Birds of the Croftlands</v>
      </c>
      <c r="Q85" s="1" t="e">
        <f t="shared" si="34"/>
        <v>#N/A</v>
      </c>
      <c r="R85">
        <f t="shared" si="35"/>
        <v>84</v>
      </c>
      <c r="S85" t="str">
        <f t="shared" si="36"/>
        <v xml:space="preserve"> [84] = {</v>
      </c>
      <c r="T85" t="str">
        <f t="shared" si="37"/>
        <v xml:space="preserve">["ID"] = 1879501178; </v>
      </c>
      <c r="U85" t="str">
        <f t="shared" si="38"/>
        <v xml:space="preserve">["ID"] = 1879501178; </v>
      </c>
      <c r="V85" t="str">
        <f t="shared" si="39"/>
        <v/>
      </c>
      <c r="W85" s="1" t="str">
        <f t="shared" si="40"/>
        <v/>
      </c>
      <c r="X85" t="e">
        <f>VLOOKUP(D85,Type!A$2:B$17,2,FALSE)</f>
        <v>#N/A</v>
      </c>
      <c r="Y85" t="e">
        <f t="shared" si="41"/>
        <v>#N/A</v>
      </c>
      <c r="Z85" t="str">
        <f t="shared" si="42"/>
        <v>0</v>
      </c>
      <c r="AA85" t="str">
        <f t="shared" si="43"/>
        <v xml:space="preserve">["VXP"] = 0; </v>
      </c>
      <c r="AB85" t="str">
        <f t="shared" si="44"/>
        <v>0</v>
      </c>
      <c r="AC85" t="str">
        <f t="shared" si="45"/>
        <v xml:space="preserve">["LP"] = 0; </v>
      </c>
      <c r="AD85" t="str">
        <f t="shared" si="46"/>
        <v>0</v>
      </c>
      <c r="AE85" t="str">
        <f t="shared" si="47"/>
        <v xml:space="preserve">["REP"] = 0; </v>
      </c>
      <c r="AF85" t="e">
        <f>VLOOKUP(I85,Faction!A$2:B$77,2,FALSE)</f>
        <v>#N/A</v>
      </c>
      <c r="AG85" t="e">
        <f t="shared" si="48"/>
        <v>#N/A</v>
      </c>
      <c r="AH85" t="str">
        <f t="shared" si="49"/>
        <v/>
      </c>
      <c r="AI85" t="str">
        <f t="shared" si="50"/>
        <v xml:space="preserve">["NAME"] = { ["EN"] = "All the Birds of the Croftlands"; }; </v>
      </c>
      <c r="AJ85" t="str">
        <f t="shared" si="51"/>
        <v xml:space="preserve">["LORE"] = { ["EN"] = ""; }; </v>
      </c>
      <c r="AK85" t="str">
        <f t="shared" si="52"/>
        <v xml:space="preserve">["SUMMARY"] = { ["EN"] = ""; }; </v>
      </c>
      <c r="AL85" t="str">
        <f t="shared" si="53"/>
        <v/>
      </c>
      <c r="AM85" t="str">
        <f t="shared" si="54"/>
        <v>};</v>
      </c>
    </row>
    <row r="86" spans="1:39" x14ac:dyDescent="0.25">
      <c r="A86">
        <v>1879501180</v>
      </c>
      <c r="C86" t="s">
        <v>252</v>
      </c>
      <c r="L86">
        <v>1</v>
      </c>
      <c r="O86" t="str">
        <f t="shared" si="32"/>
        <v>[1879501180] = 1, // Birds of the Croftlands: Common and Uncommon</v>
      </c>
      <c r="P86" t="str">
        <f t="shared" si="33"/>
        <v xml:space="preserve"> [85] = {["ID"] = 1879501180; ["TIER"] = 1; }; -- Birds of the Croftlands: Common and Uncommon</v>
      </c>
      <c r="Q86" s="1" t="e">
        <f t="shared" si="34"/>
        <v>#N/A</v>
      </c>
      <c r="R86">
        <f t="shared" si="35"/>
        <v>85</v>
      </c>
      <c r="S86" t="str">
        <f t="shared" si="36"/>
        <v xml:space="preserve"> [85] = {</v>
      </c>
      <c r="T86" t="str">
        <f t="shared" si="37"/>
        <v xml:space="preserve">["ID"] = 1879501180; </v>
      </c>
      <c r="U86" t="str">
        <f t="shared" si="38"/>
        <v xml:space="preserve">["ID"] = 1879501180; </v>
      </c>
      <c r="V86" t="str">
        <f t="shared" si="39"/>
        <v/>
      </c>
      <c r="W86" s="1" t="str">
        <f t="shared" si="40"/>
        <v/>
      </c>
      <c r="X86" t="e">
        <f>VLOOKUP(D86,Type!A$2:B$17,2,FALSE)</f>
        <v>#N/A</v>
      </c>
      <c r="Y86" t="e">
        <f t="shared" si="41"/>
        <v>#N/A</v>
      </c>
      <c r="Z86" t="str">
        <f t="shared" si="42"/>
        <v>0</v>
      </c>
      <c r="AA86" t="str">
        <f t="shared" si="43"/>
        <v xml:space="preserve">["VXP"] = 0; </v>
      </c>
      <c r="AB86" t="str">
        <f t="shared" si="44"/>
        <v>0</v>
      </c>
      <c r="AC86" t="str">
        <f t="shared" si="45"/>
        <v xml:space="preserve">["LP"] = 0; </v>
      </c>
      <c r="AD86" t="str">
        <f t="shared" si="46"/>
        <v>0</v>
      </c>
      <c r="AE86" t="str">
        <f t="shared" si="47"/>
        <v xml:space="preserve">["REP"] = 0; </v>
      </c>
      <c r="AF86" t="e">
        <f>VLOOKUP(I86,Faction!A$2:B$77,2,FALSE)</f>
        <v>#N/A</v>
      </c>
      <c r="AG86" t="e">
        <f t="shared" si="48"/>
        <v>#N/A</v>
      </c>
      <c r="AH86" t="str">
        <f t="shared" si="49"/>
        <v xml:space="preserve">["TIER"] = 1; </v>
      </c>
      <c r="AI86" t="str">
        <f t="shared" si="50"/>
        <v xml:space="preserve">["NAME"] = { ["EN"] = "Birds of the Croftlands: Common and Uncommon"; }; </v>
      </c>
      <c r="AJ86" t="str">
        <f t="shared" si="51"/>
        <v xml:space="preserve">["LORE"] = { ["EN"] = ""; }; </v>
      </c>
      <c r="AK86" t="str">
        <f t="shared" si="52"/>
        <v xml:space="preserve">["SUMMARY"] = { ["EN"] = ""; }; </v>
      </c>
      <c r="AL86" t="str">
        <f t="shared" si="53"/>
        <v/>
      </c>
      <c r="AM86" t="str">
        <f t="shared" si="54"/>
        <v>};</v>
      </c>
    </row>
    <row r="87" spans="1:39" x14ac:dyDescent="0.25">
      <c r="A87">
        <v>1879501181</v>
      </c>
      <c r="C87" t="s">
        <v>254</v>
      </c>
      <c r="L87">
        <v>1</v>
      </c>
      <c r="O87" t="str">
        <f t="shared" si="32"/>
        <v>[1879501181] = 1, // Birds of the Croftlands: Rare</v>
      </c>
      <c r="P87" t="str">
        <f t="shared" si="33"/>
        <v xml:space="preserve"> [86] = {["ID"] = 1879501181; ["TIER"] = 1; }; -- Birds of the Croftlands: Rare</v>
      </c>
      <c r="Q87" s="1" t="e">
        <f t="shared" si="34"/>
        <v>#N/A</v>
      </c>
      <c r="R87">
        <f t="shared" si="35"/>
        <v>86</v>
      </c>
      <c r="S87" t="str">
        <f t="shared" si="36"/>
        <v xml:space="preserve"> [86] = {</v>
      </c>
      <c r="T87" t="str">
        <f t="shared" si="37"/>
        <v xml:space="preserve">["ID"] = 1879501181; </v>
      </c>
      <c r="U87" t="str">
        <f t="shared" si="38"/>
        <v xml:space="preserve">["ID"] = 1879501181; </v>
      </c>
      <c r="V87" t="str">
        <f t="shared" si="39"/>
        <v/>
      </c>
      <c r="W87" s="1" t="str">
        <f t="shared" si="40"/>
        <v/>
      </c>
      <c r="X87" t="e">
        <f>VLOOKUP(D87,Type!A$2:B$17,2,FALSE)</f>
        <v>#N/A</v>
      </c>
      <c r="Y87" t="e">
        <f t="shared" si="41"/>
        <v>#N/A</v>
      </c>
      <c r="Z87" t="str">
        <f t="shared" si="42"/>
        <v>0</v>
      </c>
      <c r="AA87" t="str">
        <f t="shared" si="43"/>
        <v xml:space="preserve">["VXP"] = 0; </v>
      </c>
      <c r="AB87" t="str">
        <f t="shared" si="44"/>
        <v>0</v>
      </c>
      <c r="AC87" t="str">
        <f t="shared" si="45"/>
        <v xml:space="preserve">["LP"] = 0; </v>
      </c>
      <c r="AD87" t="str">
        <f t="shared" si="46"/>
        <v>0</v>
      </c>
      <c r="AE87" t="str">
        <f t="shared" si="47"/>
        <v xml:space="preserve">["REP"] = 0; </v>
      </c>
      <c r="AF87" t="e">
        <f>VLOOKUP(I87,Faction!A$2:B$77,2,FALSE)</f>
        <v>#N/A</v>
      </c>
      <c r="AG87" t="e">
        <f t="shared" si="48"/>
        <v>#N/A</v>
      </c>
      <c r="AH87" t="str">
        <f t="shared" si="49"/>
        <v xml:space="preserve">["TIER"] = 1; </v>
      </c>
      <c r="AI87" t="str">
        <f t="shared" si="50"/>
        <v xml:space="preserve">["NAME"] = { ["EN"] = "Birds of the Croftlands: Rare"; }; </v>
      </c>
      <c r="AJ87" t="str">
        <f t="shared" si="51"/>
        <v xml:space="preserve">["LORE"] = { ["EN"] = ""; }; </v>
      </c>
      <c r="AK87" t="str">
        <f t="shared" si="52"/>
        <v xml:space="preserve">["SUMMARY"] = { ["EN"] = ""; }; </v>
      </c>
      <c r="AL87" t="str">
        <f t="shared" si="53"/>
        <v/>
      </c>
      <c r="AM87" t="str">
        <f t="shared" si="54"/>
        <v>};</v>
      </c>
    </row>
    <row r="88" spans="1:39" x14ac:dyDescent="0.25">
      <c r="A88">
        <v>1879501179</v>
      </c>
      <c r="C88" t="s">
        <v>253</v>
      </c>
      <c r="L88">
        <v>1</v>
      </c>
      <c r="O88" t="str">
        <f t="shared" si="32"/>
        <v>[1879501179] = 1, // The Rarest Bird of the Croftlands</v>
      </c>
      <c r="P88" t="str">
        <f t="shared" si="33"/>
        <v xml:space="preserve"> [87] = {["ID"] = 1879501179; ["TIER"] = 1; }; -- The Rarest Bird of the Croftlands</v>
      </c>
      <c r="Q88" s="1" t="e">
        <f t="shared" si="34"/>
        <v>#N/A</v>
      </c>
      <c r="R88">
        <f t="shared" si="35"/>
        <v>87</v>
      </c>
      <c r="S88" t="str">
        <f t="shared" si="36"/>
        <v xml:space="preserve"> [87] = {</v>
      </c>
      <c r="T88" t="str">
        <f t="shared" si="37"/>
        <v xml:space="preserve">["ID"] = 1879501179; </v>
      </c>
      <c r="U88" t="str">
        <f t="shared" si="38"/>
        <v xml:space="preserve">["ID"] = 1879501179; </v>
      </c>
      <c r="V88" t="str">
        <f t="shared" si="39"/>
        <v/>
      </c>
      <c r="W88" s="1" t="str">
        <f t="shared" si="40"/>
        <v/>
      </c>
      <c r="X88" t="e">
        <f>VLOOKUP(D88,Type!A$2:B$17,2,FALSE)</f>
        <v>#N/A</v>
      </c>
      <c r="Y88" t="e">
        <f t="shared" si="41"/>
        <v>#N/A</v>
      </c>
      <c r="Z88" t="str">
        <f t="shared" si="42"/>
        <v>0</v>
      </c>
      <c r="AA88" t="str">
        <f t="shared" si="43"/>
        <v xml:space="preserve">["VXP"] = 0; </v>
      </c>
      <c r="AB88" t="str">
        <f t="shared" si="44"/>
        <v>0</v>
      </c>
      <c r="AC88" t="str">
        <f t="shared" si="45"/>
        <v xml:space="preserve">["LP"] = 0; </v>
      </c>
      <c r="AD88" t="str">
        <f t="shared" si="46"/>
        <v>0</v>
      </c>
      <c r="AE88" t="str">
        <f t="shared" si="47"/>
        <v xml:space="preserve">["REP"] = 0; </v>
      </c>
      <c r="AF88" t="e">
        <f>VLOOKUP(I88,Faction!A$2:B$77,2,FALSE)</f>
        <v>#N/A</v>
      </c>
      <c r="AG88" t="e">
        <f t="shared" si="48"/>
        <v>#N/A</v>
      </c>
      <c r="AH88" t="str">
        <f t="shared" si="49"/>
        <v xml:space="preserve">["TIER"] = 1; </v>
      </c>
      <c r="AI88" t="str">
        <f t="shared" si="50"/>
        <v xml:space="preserve">["NAME"] = { ["EN"] = "The Rarest Bird of the Croftlands"; }; </v>
      </c>
      <c r="AJ88" t="str">
        <f t="shared" si="51"/>
        <v xml:space="preserve">["LORE"] = { ["EN"] = ""; }; </v>
      </c>
      <c r="AK88" t="str">
        <f t="shared" si="52"/>
        <v xml:space="preserve">["SUMMARY"] = { ["EN"] = ""; }; </v>
      </c>
      <c r="AL88" t="str">
        <f t="shared" si="53"/>
        <v/>
      </c>
      <c r="AM88" t="str">
        <f t="shared" si="54"/>
        <v>};</v>
      </c>
    </row>
    <row r="89" spans="1:39" x14ac:dyDescent="0.25">
      <c r="A89">
        <v>1879501185</v>
      </c>
      <c r="C89" t="s">
        <v>255</v>
      </c>
      <c r="L89">
        <v>0</v>
      </c>
      <c r="O89" t="str">
        <f t="shared" si="32"/>
        <v/>
      </c>
      <c r="P89" t="str">
        <f t="shared" si="33"/>
        <v xml:space="preserve"> [88] = {["ID"] = 1879501185; }; -- All the Birds of the Entwash</v>
      </c>
      <c r="Q89" s="1" t="e">
        <f t="shared" si="34"/>
        <v>#N/A</v>
      </c>
      <c r="R89">
        <f t="shared" si="35"/>
        <v>88</v>
      </c>
      <c r="S89" t="str">
        <f t="shared" si="36"/>
        <v xml:space="preserve"> [88] = {</v>
      </c>
      <c r="T89" t="str">
        <f t="shared" si="37"/>
        <v xml:space="preserve">["ID"] = 1879501185; </v>
      </c>
      <c r="U89" t="str">
        <f t="shared" si="38"/>
        <v xml:space="preserve">["ID"] = 1879501185; </v>
      </c>
      <c r="V89" t="str">
        <f t="shared" si="39"/>
        <v/>
      </c>
      <c r="W89" s="1" t="str">
        <f t="shared" si="40"/>
        <v/>
      </c>
      <c r="X89" t="e">
        <f>VLOOKUP(D89,Type!A$2:B$17,2,FALSE)</f>
        <v>#N/A</v>
      </c>
      <c r="Y89" t="e">
        <f t="shared" si="41"/>
        <v>#N/A</v>
      </c>
      <c r="Z89" t="str">
        <f t="shared" si="42"/>
        <v>0</v>
      </c>
      <c r="AA89" t="str">
        <f t="shared" si="43"/>
        <v xml:space="preserve">["VXP"] = 0; </v>
      </c>
      <c r="AB89" t="str">
        <f t="shared" si="44"/>
        <v>0</v>
      </c>
      <c r="AC89" t="str">
        <f t="shared" si="45"/>
        <v xml:space="preserve">["LP"] = 0; </v>
      </c>
      <c r="AD89" t="str">
        <f t="shared" si="46"/>
        <v>0</v>
      </c>
      <c r="AE89" t="str">
        <f t="shared" si="47"/>
        <v xml:space="preserve">["REP"] = 0; </v>
      </c>
      <c r="AF89" t="e">
        <f>VLOOKUP(I89,Faction!A$2:B$77,2,FALSE)</f>
        <v>#N/A</v>
      </c>
      <c r="AG89" t="e">
        <f t="shared" si="48"/>
        <v>#N/A</v>
      </c>
      <c r="AH89" t="str">
        <f t="shared" si="49"/>
        <v/>
      </c>
      <c r="AI89" t="str">
        <f t="shared" si="50"/>
        <v xml:space="preserve">["NAME"] = { ["EN"] = "All the Birds of the Entwash"; }; </v>
      </c>
      <c r="AJ89" t="str">
        <f t="shared" si="51"/>
        <v xml:space="preserve">["LORE"] = { ["EN"] = ""; }; </v>
      </c>
      <c r="AK89" t="str">
        <f t="shared" si="52"/>
        <v xml:space="preserve">["SUMMARY"] = { ["EN"] = ""; }; </v>
      </c>
      <c r="AL89" t="str">
        <f t="shared" si="53"/>
        <v/>
      </c>
      <c r="AM89" t="str">
        <f t="shared" si="54"/>
        <v>};</v>
      </c>
    </row>
    <row r="90" spans="1:39" x14ac:dyDescent="0.25">
      <c r="A90">
        <v>1879501182</v>
      </c>
      <c r="C90" t="s">
        <v>256</v>
      </c>
      <c r="L90">
        <v>1</v>
      </c>
      <c r="O90" t="str">
        <f t="shared" si="32"/>
        <v>[1879501182] = 1, // Birds of the Entwash: Common and Uncommon</v>
      </c>
      <c r="P90" t="str">
        <f t="shared" si="33"/>
        <v xml:space="preserve"> [89] = {["ID"] = 1879501182; ["TIER"] = 1; }; -- Birds of the Entwash: Common and Uncommon</v>
      </c>
      <c r="Q90" s="1" t="e">
        <f t="shared" si="34"/>
        <v>#N/A</v>
      </c>
      <c r="R90">
        <f t="shared" si="35"/>
        <v>89</v>
      </c>
      <c r="S90" t="str">
        <f t="shared" si="36"/>
        <v xml:space="preserve"> [89] = {</v>
      </c>
      <c r="T90" t="str">
        <f t="shared" si="37"/>
        <v xml:space="preserve">["ID"] = 1879501182; </v>
      </c>
      <c r="U90" t="str">
        <f t="shared" si="38"/>
        <v xml:space="preserve">["ID"] = 1879501182; </v>
      </c>
      <c r="V90" t="str">
        <f t="shared" si="39"/>
        <v/>
      </c>
      <c r="W90" s="1" t="str">
        <f t="shared" si="40"/>
        <v/>
      </c>
      <c r="X90" t="e">
        <f>VLOOKUP(D90,Type!A$2:B$17,2,FALSE)</f>
        <v>#N/A</v>
      </c>
      <c r="Y90" t="e">
        <f t="shared" si="41"/>
        <v>#N/A</v>
      </c>
      <c r="Z90" t="str">
        <f t="shared" si="42"/>
        <v>0</v>
      </c>
      <c r="AA90" t="str">
        <f t="shared" si="43"/>
        <v xml:space="preserve">["VXP"] = 0; </v>
      </c>
      <c r="AB90" t="str">
        <f t="shared" si="44"/>
        <v>0</v>
      </c>
      <c r="AC90" t="str">
        <f t="shared" si="45"/>
        <v xml:space="preserve">["LP"] = 0; </v>
      </c>
      <c r="AD90" t="str">
        <f t="shared" si="46"/>
        <v>0</v>
      </c>
      <c r="AE90" t="str">
        <f t="shared" si="47"/>
        <v xml:space="preserve">["REP"] = 0; </v>
      </c>
      <c r="AF90" t="e">
        <f>VLOOKUP(I90,Faction!A$2:B$77,2,FALSE)</f>
        <v>#N/A</v>
      </c>
      <c r="AG90" t="e">
        <f t="shared" si="48"/>
        <v>#N/A</v>
      </c>
      <c r="AH90" t="str">
        <f t="shared" si="49"/>
        <v xml:space="preserve">["TIER"] = 1; </v>
      </c>
      <c r="AI90" t="str">
        <f t="shared" si="50"/>
        <v xml:space="preserve">["NAME"] = { ["EN"] = "Birds of the Entwash: Common and Uncommon"; }; </v>
      </c>
      <c r="AJ90" t="str">
        <f t="shared" si="51"/>
        <v xml:space="preserve">["LORE"] = { ["EN"] = ""; }; </v>
      </c>
      <c r="AK90" t="str">
        <f t="shared" si="52"/>
        <v xml:space="preserve">["SUMMARY"] = { ["EN"] = ""; }; </v>
      </c>
      <c r="AL90" t="str">
        <f t="shared" si="53"/>
        <v/>
      </c>
      <c r="AM90" t="str">
        <f t="shared" si="54"/>
        <v>};</v>
      </c>
    </row>
    <row r="91" spans="1:39" x14ac:dyDescent="0.25">
      <c r="A91">
        <v>1879501183</v>
      </c>
      <c r="C91" t="s">
        <v>257</v>
      </c>
      <c r="L91">
        <v>1</v>
      </c>
      <c r="O91" t="str">
        <f t="shared" si="32"/>
        <v>[1879501183] = 1, // Birds of the Entwash: Rare</v>
      </c>
      <c r="P91" t="str">
        <f t="shared" si="33"/>
        <v xml:space="preserve"> [90] = {["ID"] = 1879501183; ["TIER"] = 1; }; -- Birds of the Entwash: Rare</v>
      </c>
      <c r="Q91" s="1" t="e">
        <f t="shared" si="34"/>
        <v>#N/A</v>
      </c>
      <c r="R91">
        <f t="shared" si="35"/>
        <v>90</v>
      </c>
      <c r="S91" t="str">
        <f t="shared" si="36"/>
        <v xml:space="preserve"> [90] = {</v>
      </c>
      <c r="T91" t="str">
        <f t="shared" si="37"/>
        <v xml:space="preserve">["ID"] = 1879501183; </v>
      </c>
      <c r="U91" t="str">
        <f t="shared" si="38"/>
        <v xml:space="preserve">["ID"] = 1879501183; </v>
      </c>
      <c r="V91" t="str">
        <f t="shared" si="39"/>
        <v/>
      </c>
      <c r="W91" s="1" t="str">
        <f t="shared" si="40"/>
        <v/>
      </c>
      <c r="X91" t="e">
        <f>VLOOKUP(D91,Type!A$2:B$17,2,FALSE)</f>
        <v>#N/A</v>
      </c>
      <c r="Y91" t="e">
        <f t="shared" si="41"/>
        <v>#N/A</v>
      </c>
      <c r="Z91" t="str">
        <f t="shared" si="42"/>
        <v>0</v>
      </c>
      <c r="AA91" t="str">
        <f t="shared" si="43"/>
        <v xml:space="preserve">["VXP"] = 0; </v>
      </c>
      <c r="AB91" t="str">
        <f t="shared" si="44"/>
        <v>0</v>
      </c>
      <c r="AC91" t="str">
        <f t="shared" si="45"/>
        <v xml:space="preserve">["LP"] = 0; </v>
      </c>
      <c r="AD91" t="str">
        <f t="shared" si="46"/>
        <v>0</v>
      </c>
      <c r="AE91" t="str">
        <f t="shared" si="47"/>
        <v xml:space="preserve">["REP"] = 0; </v>
      </c>
      <c r="AF91" t="e">
        <f>VLOOKUP(I91,Faction!A$2:B$77,2,FALSE)</f>
        <v>#N/A</v>
      </c>
      <c r="AG91" t="e">
        <f t="shared" si="48"/>
        <v>#N/A</v>
      </c>
      <c r="AH91" t="str">
        <f t="shared" si="49"/>
        <v xml:space="preserve">["TIER"] = 1; </v>
      </c>
      <c r="AI91" t="str">
        <f t="shared" si="50"/>
        <v xml:space="preserve">["NAME"] = { ["EN"] = "Birds of the Entwash: Rare"; }; </v>
      </c>
      <c r="AJ91" t="str">
        <f t="shared" si="51"/>
        <v xml:space="preserve">["LORE"] = { ["EN"] = ""; }; </v>
      </c>
      <c r="AK91" t="str">
        <f t="shared" si="52"/>
        <v xml:space="preserve">["SUMMARY"] = { ["EN"] = ""; }; </v>
      </c>
      <c r="AL91" t="str">
        <f t="shared" si="53"/>
        <v/>
      </c>
      <c r="AM91" t="str">
        <f t="shared" si="54"/>
        <v>};</v>
      </c>
    </row>
    <row r="92" spans="1:39" x14ac:dyDescent="0.25">
      <c r="A92">
        <v>1879501184</v>
      </c>
      <c r="C92" t="s">
        <v>258</v>
      </c>
      <c r="L92">
        <v>1</v>
      </c>
      <c r="O92" t="str">
        <f t="shared" si="32"/>
        <v>[1879501184] = 1, // The Rarest Bird of the Entwash</v>
      </c>
      <c r="P92" t="str">
        <f t="shared" si="33"/>
        <v xml:space="preserve"> [91] = {["ID"] = 1879501184; ["TIER"] = 1; }; -- The Rarest Bird of the Entwash</v>
      </c>
      <c r="Q92" s="1" t="e">
        <f t="shared" si="34"/>
        <v>#N/A</v>
      </c>
      <c r="R92">
        <f t="shared" si="35"/>
        <v>91</v>
      </c>
      <c r="S92" t="str">
        <f t="shared" si="36"/>
        <v xml:space="preserve"> [91] = {</v>
      </c>
      <c r="T92" t="str">
        <f t="shared" si="37"/>
        <v xml:space="preserve">["ID"] = 1879501184; </v>
      </c>
      <c r="U92" t="str">
        <f t="shared" si="38"/>
        <v xml:space="preserve">["ID"] = 1879501184; </v>
      </c>
      <c r="V92" t="str">
        <f t="shared" si="39"/>
        <v/>
      </c>
      <c r="W92" s="1" t="str">
        <f t="shared" si="40"/>
        <v/>
      </c>
      <c r="X92" t="e">
        <f>VLOOKUP(D92,Type!A$2:B$17,2,FALSE)</f>
        <v>#N/A</v>
      </c>
      <c r="Y92" t="e">
        <f t="shared" si="41"/>
        <v>#N/A</v>
      </c>
      <c r="Z92" t="str">
        <f t="shared" si="42"/>
        <v>0</v>
      </c>
      <c r="AA92" t="str">
        <f t="shared" si="43"/>
        <v xml:space="preserve">["VXP"] = 0; </v>
      </c>
      <c r="AB92" t="str">
        <f t="shared" si="44"/>
        <v>0</v>
      </c>
      <c r="AC92" t="str">
        <f t="shared" si="45"/>
        <v xml:space="preserve">["LP"] = 0; </v>
      </c>
      <c r="AD92" t="str">
        <f t="shared" si="46"/>
        <v>0</v>
      </c>
      <c r="AE92" t="str">
        <f t="shared" si="47"/>
        <v xml:space="preserve">["REP"] = 0; </v>
      </c>
      <c r="AF92" t="e">
        <f>VLOOKUP(I92,Faction!A$2:B$77,2,FALSE)</f>
        <v>#N/A</v>
      </c>
      <c r="AG92" t="e">
        <f t="shared" si="48"/>
        <v>#N/A</v>
      </c>
      <c r="AH92" t="str">
        <f t="shared" si="49"/>
        <v xml:space="preserve">["TIER"] = 1; </v>
      </c>
      <c r="AI92" t="str">
        <f t="shared" si="50"/>
        <v xml:space="preserve">["NAME"] = { ["EN"] = "The Rarest Bird of the Entwash"; }; </v>
      </c>
      <c r="AJ92" t="str">
        <f t="shared" si="51"/>
        <v xml:space="preserve">["LORE"] = { ["EN"] = ""; }; </v>
      </c>
      <c r="AK92" t="str">
        <f t="shared" si="52"/>
        <v xml:space="preserve">["SUMMARY"] = { ["EN"] = ""; }; </v>
      </c>
      <c r="AL92" t="str">
        <f t="shared" si="53"/>
        <v/>
      </c>
      <c r="AM92" t="str">
        <f t="shared" si="54"/>
        <v>};</v>
      </c>
    </row>
    <row r="93" spans="1:39" x14ac:dyDescent="0.25">
      <c r="A93">
        <v>1879501188</v>
      </c>
      <c r="C93" t="s">
        <v>259</v>
      </c>
      <c r="L93">
        <v>0</v>
      </c>
      <c r="O93" t="str">
        <f t="shared" si="32"/>
        <v/>
      </c>
      <c r="P93" t="str">
        <f t="shared" si="33"/>
        <v xml:space="preserve"> [92] = {["ID"] = 1879501188; }; -- All the Birds of the Westfold</v>
      </c>
      <c r="Q93" s="1" t="e">
        <f t="shared" si="34"/>
        <v>#N/A</v>
      </c>
      <c r="R93">
        <f t="shared" si="35"/>
        <v>92</v>
      </c>
      <c r="S93" t="str">
        <f t="shared" si="36"/>
        <v xml:space="preserve"> [92] = {</v>
      </c>
      <c r="T93" t="str">
        <f t="shared" si="37"/>
        <v xml:space="preserve">["ID"] = 1879501188; </v>
      </c>
      <c r="U93" t="str">
        <f t="shared" si="38"/>
        <v xml:space="preserve">["ID"] = 1879501188; </v>
      </c>
      <c r="V93" t="str">
        <f t="shared" si="39"/>
        <v/>
      </c>
      <c r="W93" s="1" t="str">
        <f t="shared" si="40"/>
        <v/>
      </c>
      <c r="X93" t="e">
        <f>VLOOKUP(D93,Type!A$2:B$17,2,FALSE)</f>
        <v>#N/A</v>
      </c>
      <c r="Y93" t="e">
        <f t="shared" si="41"/>
        <v>#N/A</v>
      </c>
      <c r="Z93" t="str">
        <f t="shared" si="42"/>
        <v>0</v>
      </c>
      <c r="AA93" t="str">
        <f t="shared" si="43"/>
        <v xml:space="preserve">["VXP"] = 0; </v>
      </c>
      <c r="AB93" t="str">
        <f t="shared" si="44"/>
        <v>0</v>
      </c>
      <c r="AC93" t="str">
        <f t="shared" si="45"/>
        <v xml:space="preserve">["LP"] = 0; </v>
      </c>
      <c r="AD93" t="str">
        <f t="shared" si="46"/>
        <v>0</v>
      </c>
      <c r="AE93" t="str">
        <f t="shared" si="47"/>
        <v xml:space="preserve">["REP"] = 0; </v>
      </c>
      <c r="AF93" t="e">
        <f>VLOOKUP(I93,Faction!A$2:B$77,2,FALSE)</f>
        <v>#N/A</v>
      </c>
      <c r="AG93" t="e">
        <f t="shared" si="48"/>
        <v>#N/A</v>
      </c>
      <c r="AH93" t="str">
        <f t="shared" si="49"/>
        <v/>
      </c>
      <c r="AI93" t="str">
        <f t="shared" si="50"/>
        <v xml:space="preserve">["NAME"] = { ["EN"] = "All the Birds of the Westfold"; }; </v>
      </c>
      <c r="AJ93" t="str">
        <f t="shared" si="51"/>
        <v xml:space="preserve">["LORE"] = { ["EN"] = ""; }; </v>
      </c>
      <c r="AK93" t="str">
        <f t="shared" si="52"/>
        <v xml:space="preserve">["SUMMARY"] = { ["EN"] = ""; }; </v>
      </c>
      <c r="AL93" t="str">
        <f t="shared" si="53"/>
        <v/>
      </c>
      <c r="AM93" t="str">
        <f t="shared" si="54"/>
        <v>};</v>
      </c>
    </row>
    <row r="94" spans="1:39" x14ac:dyDescent="0.25">
      <c r="A94">
        <v>1879501189</v>
      </c>
      <c r="C94" t="s">
        <v>260</v>
      </c>
      <c r="L94">
        <v>1</v>
      </c>
      <c r="O94" t="str">
        <f t="shared" si="32"/>
        <v>[1879501189] = 1, // Birds of the Westfold: Common and Uncommon</v>
      </c>
      <c r="P94" t="str">
        <f t="shared" si="33"/>
        <v xml:space="preserve"> [93] = {["ID"] = 1879501189; ["TIER"] = 1; }; -- Birds of the Westfold: Common and Uncommon</v>
      </c>
      <c r="Q94" s="1" t="e">
        <f t="shared" si="34"/>
        <v>#N/A</v>
      </c>
      <c r="R94">
        <f t="shared" si="35"/>
        <v>93</v>
      </c>
      <c r="S94" t="str">
        <f t="shared" si="36"/>
        <v xml:space="preserve"> [93] = {</v>
      </c>
      <c r="T94" t="str">
        <f t="shared" si="37"/>
        <v xml:space="preserve">["ID"] = 1879501189; </v>
      </c>
      <c r="U94" t="str">
        <f t="shared" si="38"/>
        <v xml:space="preserve">["ID"] = 1879501189; </v>
      </c>
      <c r="V94" t="str">
        <f t="shared" si="39"/>
        <v/>
      </c>
      <c r="W94" s="1" t="str">
        <f t="shared" si="40"/>
        <v/>
      </c>
      <c r="X94" t="e">
        <f>VLOOKUP(D94,Type!A$2:B$17,2,FALSE)</f>
        <v>#N/A</v>
      </c>
      <c r="Y94" t="e">
        <f t="shared" si="41"/>
        <v>#N/A</v>
      </c>
      <c r="Z94" t="str">
        <f t="shared" si="42"/>
        <v>0</v>
      </c>
      <c r="AA94" t="str">
        <f t="shared" si="43"/>
        <v xml:space="preserve">["VXP"] = 0; </v>
      </c>
      <c r="AB94" t="str">
        <f t="shared" si="44"/>
        <v>0</v>
      </c>
      <c r="AC94" t="str">
        <f t="shared" si="45"/>
        <v xml:space="preserve">["LP"] = 0; </v>
      </c>
      <c r="AD94" t="str">
        <f t="shared" si="46"/>
        <v>0</v>
      </c>
      <c r="AE94" t="str">
        <f t="shared" si="47"/>
        <v xml:space="preserve">["REP"] = 0; </v>
      </c>
      <c r="AF94" t="e">
        <f>VLOOKUP(I94,Faction!A$2:B$77,2,FALSE)</f>
        <v>#N/A</v>
      </c>
      <c r="AG94" t="e">
        <f t="shared" si="48"/>
        <v>#N/A</v>
      </c>
      <c r="AH94" t="str">
        <f t="shared" si="49"/>
        <v xml:space="preserve">["TIER"] = 1; </v>
      </c>
      <c r="AI94" t="str">
        <f t="shared" si="50"/>
        <v xml:space="preserve">["NAME"] = { ["EN"] = "Birds of the Westfold: Common and Uncommon"; }; </v>
      </c>
      <c r="AJ94" t="str">
        <f t="shared" si="51"/>
        <v xml:space="preserve">["LORE"] = { ["EN"] = ""; }; </v>
      </c>
      <c r="AK94" t="str">
        <f t="shared" si="52"/>
        <v xml:space="preserve">["SUMMARY"] = { ["EN"] = ""; }; </v>
      </c>
      <c r="AL94" t="str">
        <f t="shared" si="53"/>
        <v/>
      </c>
      <c r="AM94" t="str">
        <f t="shared" si="54"/>
        <v>};</v>
      </c>
    </row>
    <row r="95" spans="1:39" x14ac:dyDescent="0.25">
      <c r="A95">
        <v>1879501186</v>
      </c>
      <c r="C95" t="s">
        <v>261</v>
      </c>
      <c r="L95">
        <v>1</v>
      </c>
      <c r="O95" t="str">
        <f t="shared" si="32"/>
        <v>[1879501186] = 1, // Birds of the Westfold: Rare</v>
      </c>
      <c r="P95" t="str">
        <f t="shared" si="33"/>
        <v xml:space="preserve"> [94] = {["ID"] = 1879501186; ["TIER"] = 1; }; -- Birds of the Westfold: Rare</v>
      </c>
      <c r="Q95" s="1" t="e">
        <f t="shared" si="34"/>
        <v>#N/A</v>
      </c>
      <c r="R95">
        <f t="shared" si="35"/>
        <v>94</v>
      </c>
      <c r="S95" t="str">
        <f t="shared" si="36"/>
        <v xml:space="preserve"> [94] = {</v>
      </c>
      <c r="T95" t="str">
        <f t="shared" si="37"/>
        <v xml:space="preserve">["ID"] = 1879501186; </v>
      </c>
      <c r="U95" t="str">
        <f t="shared" si="38"/>
        <v xml:space="preserve">["ID"] = 1879501186; </v>
      </c>
      <c r="V95" t="str">
        <f t="shared" si="39"/>
        <v/>
      </c>
      <c r="W95" s="1" t="str">
        <f t="shared" si="40"/>
        <v/>
      </c>
      <c r="X95" t="e">
        <f>VLOOKUP(D95,Type!A$2:B$17,2,FALSE)</f>
        <v>#N/A</v>
      </c>
      <c r="Y95" t="e">
        <f t="shared" si="41"/>
        <v>#N/A</v>
      </c>
      <c r="Z95" t="str">
        <f t="shared" si="42"/>
        <v>0</v>
      </c>
      <c r="AA95" t="str">
        <f t="shared" si="43"/>
        <v xml:space="preserve">["VXP"] = 0; </v>
      </c>
      <c r="AB95" t="str">
        <f t="shared" si="44"/>
        <v>0</v>
      </c>
      <c r="AC95" t="str">
        <f t="shared" si="45"/>
        <v xml:space="preserve">["LP"] = 0; </v>
      </c>
      <c r="AD95" t="str">
        <f t="shared" si="46"/>
        <v>0</v>
      </c>
      <c r="AE95" t="str">
        <f t="shared" si="47"/>
        <v xml:space="preserve">["REP"] = 0; </v>
      </c>
      <c r="AF95" t="e">
        <f>VLOOKUP(I95,Faction!A$2:B$77,2,FALSE)</f>
        <v>#N/A</v>
      </c>
      <c r="AG95" t="e">
        <f t="shared" si="48"/>
        <v>#N/A</v>
      </c>
      <c r="AH95" t="str">
        <f t="shared" si="49"/>
        <v xml:space="preserve">["TIER"] = 1; </v>
      </c>
      <c r="AI95" t="str">
        <f t="shared" si="50"/>
        <v xml:space="preserve">["NAME"] = { ["EN"] = "Birds of the Westfold: Rare"; }; </v>
      </c>
      <c r="AJ95" t="str">
        <f t="shared" si="51"/>
        <v xml:space="preserve">["LORE"] = { ["EN"] = ""; }; </v>
      </c>
      <c r="AK95" t="str">
        <f t="shared" si="52"/>
        <v xml:space="preserve">["SUMMARY"] = { ["EN"] = ""; }; </v>
      </c>
      <c r="AL95" t="str">
        <f t="shared" si="53"/>
        <v/>
      </c>
      <c r="AM95" t="str">
        <f t="shared" si="54"/>
        <v>};</v>
      </c>
    </row>
    <row r="96" spans="1:39" x14ac:dyDescent="0.25">
      <c r="A96">
        <v>1879501187</v>
      </c>
      <c r="C96" t="s">
        <v>262</v>
      </c>
      <c r="L96">
        <v>1</v>
      </c>
      <c r="O96" t="str">
        <f t="shared" si="32"/>
        <v>[1879501187] = 1, // The Rarest Bird in the Westfold</v>
      </c>
      <c r="P96" t="str">
        <f t="shared" si="33"/>
        <v xml:space="preserve"> [95] = {["ID"] = 1879501187; ["TIER"] = 1; }; -- The Rarest Bird in the Westfold</v>
      </c>
      <c r="Q96" s="1" t="e">
        <f t="shared" si="34"/>
        <v>#N/A</v>
      </c>
      <c r="R96">
        <f t="shared" si="35"/>
        <v>95</v>
      </c>
      <c r="S96" t="str">
        <f t="shared" si="36"/>
        <v xml:space="preserve"> [95] = {</v>
      </c>
      <c r="T96" t="str">
        <f t="shared" si="37"/>
        <v xml:space="preserve">["ID"] = 1879501187; </v>
      </c>
      <c r="U96" t="str">
        <f t="shared" si="38"/>
        <v xml:space="preserve">["ID"] = 1879501187; </v>
      </c>
      <c r="V96" t="str">
        <f t="shared" si="39"/>
        <v/>
      </c>
      <c r="W96" s="1" t="str">
        <f t="shared" si="40"/>
        <v/>
      </c>
      <c r="X96" t="e">
        <f>VLOOKUP(D96,Type!A$2:B$17,2,FALSE)</f>
        <v>#N/A</v>
      </c>
      <c r="Y96" t="e">
        <f t="shared" si="41"/>
        <v>#N/A</v>
      </c>
      <c r="Z96" t="str">
        <f t="shared" si="42"/>
        <v>0</v>
      </c>
      <c r="AA96" t="str">
        <f t="shared" si="43"/>
        <v xml:space="preserve">["VXP"] = 0; </v>
      </c>
      <c r="AB96" t="str">
        <f t="shared" si="44"/>
        <v>0</v>
      </c>
      <c r="AC96" t="str">
        <f t="shared" si="45"/>
        <v xml:space="preserve">["LP"] = 0; </v>
      </c>
      <c r="AD96" t="str">
        <f t="shared" si="46"/>
        <v>0</v>
      </c>
      <c r="AE96" t="str">
        <f t="shared" si="47"/>
        <v xml:space="preserve">["REP"] = 0; </v>
      </c>
      <c r="AF96" t="e">
        <f>VLOOKUP(I96,Faction!A$2:B$77,2,FALSE)</f>
        <v>#N/A</v>
      </c>
      <c r="AG96" t="e">
        <f t="shared" si="48"/>
        <v>#N/A</v>
      </c>
      <c r="AH96" t="str">
        <f t="shared" si="49"/>
        <v xml:space="preserve">["TIER"] = 1; </v>
      </c>
      <c r="AI96" t="str">
        <f t="shared" si="50"/>
        <v xml:space="preserve">["NAME"] = { ["EN"] = "The Rarest Bird in the Westfold"; }; </v>
      </c>
      <c r="AJ96" t="str">
        <f t="shared" si="51"/>
        <v xml:space="preserve">["LORE"] = { ["EN"] = ""; }; </v>
      </c>
      <c r="AK96" t="str">
        <f t="shared" si="52"/>
        <v xml:space="preserve">["SUMMARY"] = { ["EN"] = ""; }; </v>
      </c>
      <c r="AL96" t="str">
        <f t="shared" si="53"/>
        <v/>
      </c>
      <c r="AM96" t="str">
        <f t="shared" si="54"/>
        <v>};</v>
      </c>
    </row>
    <row r="97" spans="1:39" x14ac:dyDescent="0.25">
      <c r="A97">
        <v>1879501191</v>
      </c>
      <c r="C97" t="s">
        <v>263</v>
      </c>
      <c r="L97">
        <v>0</v>
      </c>
      <c r="O97" t="str">
        <f t="shared" si="32"/>
        <v/>
      </c>
      <c r="P97" t="str">
        <f t="shared" si="33"/>
        <v xml:space="preserve"> [96] = {["ID"] = 1879501191; }; -- All the Birds of the Eastfold</v>
      </c>
      <c r="Q97" s="1" t="e">
        <f t="shared" si="34"/>
        <v>#N/A</v>
      </c>
      <c r="R97">
        <f t="shared" si="35"/>
        <v>96</v>
      </c>
      <c r="S97" t="str">
        <f t="shared" si="36"/>
        <v xml:space="preserve"> [96] = {</v>
      </c>
      <c r="T97" t="str">
        <f t="shared" si="37"/>
        <v xml:space="preserve">["ID"] = 1879501191; </v>
      </c>
      <c r="U97" t="str">
        <f t="shared" si="38"/>
        <v xml:space="preserve">["ID"] = 1879501191; </v>
      </c>
      <c r="V97" t="str">
        <f t="shared" si="39"/>
        <v/>
      </c>
      <c r="W97" s="1" t="str">
        <f t="shared" si="40"/>
        <v/>
      </c>
      <c r="X97" t="e">
        <f>VLOOKUP(D97,Type!A$2:B$17,2,FALSE)</f>
        <v>#N/A</v>
      </c>
      <c r="Y97" t="e">
        <f t="shared" si="41"/>
        <v>#N/A</v>
      </c>
      <c r="Z97" t="str">
        <f t="shared" si="42"/>
        <v>0</v>
      </c>
      <c r="AA97" t="str">
        <f t="shared" si="43"/>
        <v xml:space="preserve">["VXP"] = 0; </v>
      </c>
      <c r="AB97" t="str">
        <f t="shared" si="44"/>
        <v>0</v>
      </c>
      <c r="AC97" t="str">
        <f t="shared" si="45"/>
        <v xml:space="preserve">["LP"] = 0; </v>
      </c>
      <c r="AD97" t="str">
        <f t="shared" si="46"/>
        <v>0</v>
      </c>
      <c r="AE97" t="str">
        <f t="shared" si="47"/>
        <v xml:space="preserve">["REP"] = 0; </v>
      </c>
      <c r="AF97" t="e">
        <f>VLOOKUP(I97,Faction!A$2:B$77,2,FALSE)</f>
        <v>#N/A</v>
      </c>
      <c r="AG97" t="e">
        <f t="shared" si="48"/>
        <v>#N/A</v>
      </c>
      <c r="AH97" t="str">
        <f t="shared" si="49"/>
        <v/>
      </c>
      <c r="AI97" t="str">
        <f t="shared" si="50"/>
        <v xml:space="preserve">["NAME"] = { ["EN"] = "All the Birds of the Eastfold"; }; </v>
      </c>
      <c r="AJ97" t="str">
        <f t="shared" si="51"/>
        <v xml:space="preserve">["LORE"] = { ["EN"] = ""; }; </v>
      </c>
      <c r="AK97" t="str">
        <f t="shared" si="52"/>
        <v xml:space="preserve">["SUMMARY"] = { ["EN"] = ""; }; </v>
      </c>
      <c r="AL97" t="str">
        <f t="shared" si="53"/>
        <v/>
      </c>
      <c r="AM97" t="str">
        <f t="shared" si="54"/>
        <v>};</v>
      </c>
    </row>
    <row r="98" spans="1:39" x14ac:dyDescent="0.25">
      <c r="A98">
        <v>1879501190</v>
      </c>
      <c r="C98" t="s">
        <v>264</v>
      </c>
      <c r="L98">
        <v>1</v>
      </c>
      <c r="O98" t="str">
        <f t="shared" si="32"/>
        <v>[1879501190] = 1, // Birds of the Eastfold: Common and Uncommon</v>
      </c>
      <c r="P98" t="str">
        <f t="shared" si="33"/>
        <v xml:space="preserve"> [97] = {["ID"] = 1879501190; ["TIER"] = 1; }; -- Birds of the Eastfold: Common and Uncommon</v>
      </c>
      <c r="Q98" s="1" t="e">
        <f t="shared" si="34"/>
        <v>#N/A</v>
      </c>
      <c r="R98">
        <f t="shared" si="35"/>
        <v>97</v>
      </c>
      <c r="S98" t="str">
        <f t="shared" si="36"/>
        <v xml:space="preserve"> [97] = {</v>
      </c>
      <c r="T98" t="str">
        <f t="shared" si="37"/>
        <v xml:space="preserve">["ID"] = 1879501190; </v>
      </c>
      <c r="U98" t="str">
        <f t="shared" si="38"/>
        <v xml:space="preserve">["ID"] = 1879501190; </v>
      </c>
      <c r="V98" t="str">
        <f t="shared" si="39"/>
        <v/>
      </c>
      <c r="W98" s="1" t="str">
        <f t="shared" si="40"/>
        <v/>
      </c>
      <c r="X98" t="e">
        <f>VLOOKUP(D98,Type!A$2:B$17,2,FALSE)</f>
        <v>#N/A</v>
      </c>
      <c r="Y98" t="e">
        <f t="shared" si="41"/>
        <v>#N/A</v>
      </c>
      <c r="Z98" t="str">
        <f t="shared" si="42"/>
        <v>0</v>
      </c>
      <c r="AA98" t="str">
        <f t="shared" si="43"/>
        <v xml:space="preserve">["VXP"] = 0; </v>
      </c>
      <c r="AB98" t="str">
        <f t="shared" si="44"/>
        <v>0</v>
      </c>
      <c r="AC98" t="str">
        <f t="shared" si="45"/>
        <v xml:space="preserve">["LP"] = 0; </v>
      </c>
      <c r="AD98" t="str">
        <f t="shared" si="46"/>
        <v>0</v>
      </c>
      <c r="AE98" t="str">
        <f t="shared" si="47"/>
        <v xml:space="preserve">["REP"] = 0; </v>
      </c>
      <c r="AF98" t="e">
        <f>VLOOKUP(I98,Faction!A$2:B$77,2,FALSE)</f>
        <v>#N/A</v>
      </c>
      <c r="AG98" t="e">
        <f t="shared" si="48"/>
        <v>#N/A</v>
      </c>
      <c r="AH98" t="str">
        <f t="shared" si="49"/>
        <v xml:space="preserve">["TIER"] = 1; </v>
      </c>
      <c r="AI98" t="str">
        <f t="shared" si="50"/>
        <v xml:space="preserve">["NAME"] = { ["EN"] = "Birds of the Eastfold: Common and Uncommon"; }; </v>
      </c>
      <c r="AJ98" t="str">
        <f t="shared" si="51"/>
        <v xml:space="preserve">["LORE"] = { ["EN"] = ""; }; </v>
      </c>
      <c r="AK98" t="str">
        <f t="shared" si="52"/>
        <v xml:space="preserve">["SUMMARY"] = { ["EN"] = ""; }; </v>
      </c>
      <c r="AL98" t="str">
        <f t="shared" si="53"/>
        <v/>
      </c>
      <c r="AM98" t="str">
        <f t="shared" si="54"/>
        <v>};</v>
      </c>
    </row>
    <row r="99" spans="1:39" x14ac:dyDescent="0.25">
      <c r="A99">
        <v>1879501193</v>
      </c>
      <c r="C99" t="s">
        <v>265</v>
      </c>
      <c r="L99">
        <v>1</v>
      </c>
      <c r="O99" t="str">
        <f t="shared" si="32"/>
        <v>[1879501193] = 1, // Birds of the Eastfold: Rare</v>
      </c>
      <c r="P99" t="str">
        <f t="shared" si="33"/>
        <v xml:space="preserve"> [98] = {["ID"] = 1879501193; ["TIER"] = 1; }; -- Birds of the Eastfold: Rare</v>
      </c>
      <c r="Q99" s="1" t="e">
        <f t="shared" si="34"/>
        <v>#N/A</v>
      </c>
      <c r="R99">
        <f t="shared" si="35"/>
        <v>98</v>
      </c>
      <c r="S99" t="str">
        <f t="shared" si="36"/>
        <v xml:space="preserve"> [98] = {</v>
      </c>
      <c r="T99" t="str">
        <f t="shared" si="37"/>
        <v xml:space="preserve">["ID"] = 1879501193; </v>
      </c>
      <c r="U99" t="str">
        <f t="shared" si="38"/>
        <v xml:space="preserve">["ID"] = 1879501193; </v>
      </c>
      <c r="V99" t="str">
        <f t="shared" si="39"/>
        <v/>
      </c>
      <c r="W99" s="1" t="str">
        <f t="shared" si="40"/>
        <v/>
      </c>
      <c r="X99" t="e">
        <f>VLOOKUP(D99,Type!A$2:B$17,2,FALSE)</f>
        <v>#N/A</v>
      </c>
      <c r="Y99" t="e">
        <f t="shared" si="41"/>
        <v>#N/A</v>
      </c>
      <c r="Z99" t="str">
        <f t="shared" si="42"/>
        <v>0</v>
      </c>
      <c r="AA99" t="str">
        <f t="shared" si="43"/>
        <v xml:space="preserve">["VXP"] = 0; </v>
      </c>
      <c r="AB99" t="str">
        <f t="shared" si="44"/>
        <v>0</v>
      </c>
      <c r="AC99" t="str">
        <f t="shared" si="45"/>
        <v xml:space="preserve">["LP"] = 0; </v>
      </c>
      <c r="AD99" t="str">
        <f t="shared" si="46"/>
        <v>0</v>
      </c>
      <c r="AE99" t="str">
        <f t="shared" si="47"/>
        <v xml:space="preserve">["REP"] = 0; </v>
      </c>
      <c r="AF99" t="e">
        <f>VLOOKUP(I99,Faction!A$2:B$77,2,FALSE)</f>
        <v>#N/A</v>
      </c>
      <c r="AG99" t="e">
        <f t="shared" si="48"/>
        <v>#N/A</v>
      </c>
      <c r="AH99" t="str">
        <f t="shared" si="49"/>
        <v xml:space="preserve">["TIER"] = 1; </v>
      </c>
      <c r="AI99" t="str">
        <f t="shared" si="50"/>
        <v xml:space="preserve">["NAME"] = { ["EN"] = "Birds of the Eastfold: Rare"; }; </v>
      </c>
      <c r="AJ99" t="str">
        <f t="shared" si="51"/>
        <v xml:space="preserve">["LORE"] = { ["EN"] = ""; }; </v>
      </c>
      <c r="AK99" t="str">
        <f t="shared" si="52"/>
        <v xml:space="preserve">["SUMMARY"] = { ["EN"] = ""; }; </v>
      </c>
      <c r="AL99" t="str">
        <f t="shared" si="53"/>
        <v/>
      </c>
      <c r="AM99" t="str">
        <f t="shared" si="54"/>
        <v>};</v>
      </c>
    </row>
    <row r="100" spans="1:39" x14ac:dyDescent="0.25">
      <c r="A100">
        <v>1879501192</v>
      </c>
      <c r="C100" t="s">
        <v>266</v>
      </c>
      <c r="L100">
        <v>1</v>
      </c>
      <c r="O100" t="str">
        <f t="shared" si="32"/>
        <v>[1879501192] = 1, // The Rarest Bird of the Eastfold</v>
      </c>
      <c r="P100" t="str">
        <f t="shared" si="33"/>
        <v xml:space="preserve"> [99] = {["ID"] = 1879501192; ["TIER"] = 1; }; -- The Rarest Bird of the Eastfold</v>
      </c>
      <c r="Q100" s="1" t="e">
        <f t="shared" si="34"/>
        <v>#N/A</v>
      </c>
      <c r="R100">
        <f t="shared" si="35"/>
        <v>99</v>
      </c>
      <c r="S100" t="str">
        <f t="shared" si="36"/>
        <v xml:space="preserve"> [99] = {</v>
      </c>
      <c r="T100" t="str">
        <f t="shared" si="37"/>
        <v xml:space="preserve">["ID"] = 1879501192; </v>
      </c>
      <c r="U100" t="str">
        <f t="shared" si="38"/>
        <v xml:space="preserve">["ID"] = 1879501192; </v>
      </c>
      <c r="V100" t="str">
        <f t="shared" si="39"/>
        <v/>
      </c>
      <c r="W100" s="1" t="str">
        <f t="shared" si="40"/>
        <v/>
      </c>
      <c r="X100" t="e">
        <f>VLOOKUP(D100,Type!A$2:B$17,2,FALSE)</f>
        <v>#N/A</v>
      </c>
      <c r="Y100" t="e">
        <f t="shared" si="41"/>
        <v>#N/A</v>
      </c>
      <c r="Z100" t="str">
        <f t="shared" si="42"/>
        <v>0</v>
      </c>
      <c r="AA100" t="str">
        <f t="shared" si="43"/>
        <v xml:space="preserve">["VXP"] = 0; </v>
      </c>
      <c r="AB100" t="str">
        <f t="shared" si="44"/>
        <v>0</v>
      </c>
      <c r="AC100" t="str">
        <f t="shared" si="45"/>
        <v xml:space="preserve">["LP"] = 0; </v>
      </c>
      <c r="AD100" t="str">
        <f t="shared" si="46"/>
        <v>0</v>
      </c>
      <c r="AE100" t="str">
        <f t="shared" si="47"/>
        <v xml:space="preserve">["REP"] = 0; </v>
      </c>
      <c r="AF100" t="e">
        <f>VLOOKUP(I100,Faction!A$2:B$77,2,FALSE)</f>
        <v>#N/A</v>
      </c>
      <c r="AG100" t="e">
        <f t="shared" si="48"/>
        <v>#N/A</v>
      </c>
      <c r="AH100" t="str">
        <f t="shared" si="49"/>
        <v xml:space="preserve">["TIER"] = 1; </v>
      </c>
      <c r="AI100" t="str">
        <f t="shared" si="50"/>
        <v xml:space="preserve">["NAME"] = { ["EN"] = "The Rarest Bird of the Eastfold"; }; </v>
      </c>
      <c r="AJ100" t="str">
        <f t="shared" si="51"/>
        <v xml:space="preserve">["LORE"] = { ["EN"] = ""; }; </v>
      </c>
      <c r="AK100" t="str">
        <f t="shared" si="52"/>
        <v xml:space="preserve">["SUMMARY"] = { ["EN"] = ""; }; </v>
      </c>
      <c r="AL100" t="str">
        <f t="shared" si="53"/>
        <v/>
      </c>
      <c r="AM100" t="str">
        <f t="shared" si="54"/>
        <v>};</v>
      </c>
    </row>
    <row r="101" spans="1:39" x14ac:dyDescent="0.25">
      <c r="A101">
        <v>1879501776</v>
      </c>
      <c r="C101" t="s">
        <v>267</v>
      </c>
      <c r="L101">
        <v>0</v>
      </c>
      <c r="O101" t="str">
        <f t="shared" si="32"/>
        <v/>
      </c>
      <c r="P101" t="str">
        <f t="shared" si="33"/>
        <v>[100] = {["ID"] = 1879501776; }; -- The Rarest of Birds in Rohan and the Great River</v>
      </c>
      <c r="Q101" s="1" t="e">
        <f t="shared" si="34"/>
        <v>#N/A</v>
      </c>
      <c r="R101">
        <f t="shared" si="35"/>
        <v>100</v>
      </c>
      <c r="S101" t="str">
        <f t="shared" si="36"/>
        <v>[100] = {</v>
      </c>
      <c r="T101" t="str">
        <f t="shared" si="37"/>
        <v xml:space="preserve">["ID"] = 1879501776; </v>
      </c>
      <c r="U101" t="str">
        <f t="shared" si="38"/>
        <v xml:space="preserve">["ID"] = 1879501776; </v>
      </c>
      <c r="V101" t="str">
        <f t="shared" si="39"/>
        <v/>
      </c>
      <c r="W101" s="1" t="str">
        <f t="shared" si="40"/>
        <v/>
      </c>
      <c r="X101" t="e">
        <f>VLOOKUP(D101,Type!A$2:B$17,2,FALSE)</f>
        <v>#N/A</v>
      </c>
      <c r="Y101" t="e">
        <f t="shared" si="41"/>
        <v>#N/A</v>
      </c>
      <c r="Z101" t="str">
        <f t="shared" si="42"/>
        <v>0</v>
      </c>
      <c r="AA101" t="str">
        <f t="shared" si="43"/>
        <v xml:space="preserve">["VXP"] = 0; </v>
      </c>
      <c r="AB101" t="str">
        <f t="shared" si="44"/>
        <v>0</v>
      </c>
      <c r="AC101" t="str">
        <f t="shared" si="45"/>
        <v xml:space="preserve">["LP"] = 0; </v>
      </c>
      <c r="AD101" t="str">
        <f t="shared" si="46"/>
        <v>0</v>
      </c>
      <c r="AE101" t="str">
        <f t="shared" si="47"/>
        <v xml:space="preserve">["REP"] = 0; </v>
      </c>
      <c r="AF101" t="e">
        <f>VLOOKUP(I101,Faction!A$2:B$77,2,FALSE)</f>
        <v>#N/A</v>
      </c>
      <c r="AG101" t="e">
        <f t="shared" si="48"/>
        <v>#N/A</v>
      </c>
      <c r="AH101" t="str">
        <f t="shared" si="49"/>
        <v/>
      </c>
      <c r="AI101" t="str">
        <f t="shared" si="50"/>
        <v xml:space="preserve">["NAME"] = { ["EN"] = "The Rarest of Birds in Rohan and the Great River"; }; </v>
      </c>
      <c r="AJ101" t="str">
        <f t="shared" si="51"/>
        <v xml:space="preserve">["LORE"] = { ["EN"] = ""; }; </v>
      </c>
      <c r="AK101" t="str">
        <f t="shared" si="52"/>
        <v xml:space="preserve">["SUMMARY"] = { ["EN"] = ""; }; </v>
      </c>
      <c r="AL101" t="str">
        <f t="shared" si="53"/>
        <v/>
      </c>
      <c r="AM101" t="str">
        <f t="shared" si="54"/>
        <v>};</v>
      </c>
    </row>
    <row r="102" spans="1:39" x14ac:dyDescent="0.25">
      <c r="C102" s="2" t="s">
        <v>270</v>
      </c>
      <c r="D102" s="2" t="s">
        <v>138</v>
      </c>
      <c r="M102">
        <v>326</v>
      </c>
      <c r="O102" t="str">
        <f t="shared" si="32"/>
        <v/>
      </c>
      <c r="P102" t="str">
        <f t="shared" si="33"/>
        <v>[101] = {["CAT_ID"] = 326; }; -- Gondor and Mordor</v>
      </c>
      <c r="Q102" s="1" t="e">
        <f t="shared" ref="Q102:Q140" si="55">CONCATENATE(S102,T102,W102,Y102,AA102,AC102,AE102,AG102,AH102,AI102,AJ102,AK102,AL102,AM102)</f>
        <v>#N/A</v>
      </c>
      <c r="R102">
        <f t="shared" si="35"/>
        <v>101</v>
      </c>
      <c r="S102" t="str">
        <f t="shared" ref="S102:S140" si="56">CONCATENATE(REPT(" ",3-LEN(R102)),"[",R102,"] = {")</f>
        <v>[101] = {</v>
      </c>
      <c r="T102" t="str">
        <f t="shared" ref="T102:T140" si="57">IF(LEN(A102)&gt;0,CONCATENATE("[""ID""] = ",A102,"; "),"                     ")</f>
        <v xml:space="preserve">                     </v>
      </c>
      <c r="U102" t="str">
        <f t="shared" ref="U102:U140" si="58">IF(LEN(A102)&gt;0,CONCATENATE("[""ID""] = ",A102,"; "),"")</f>
        <v/>
      </c>
      <c r="V102" t="str">
        <f t="shared" ref="V102:V140" si="59">IF(LEN(M102)&gt;0,CONCATENATE("[""CAT_ID""] = ",M102,"; "),"")</f>
        <v xml:space="preserve">["CAT_ID"] = 326; </v>
      </c>
      <c r="W102" s="1" t="str">
        <f t="shared" ref="W102:W140" si="60">IF(LEN(B102)&gt;0,CONCATENATE("[""SAVE_INDEX""] = ",REPT(" ",1-LEN(B102)),B102,"; "),"")</f>
        <v/>
      </c>
      <c r="X102">
        <f>VLOOKUP(D102,Type!A$2:B$17,2,FALSE)</f>
        <v>14</v>
      </c>
      <c r="Y102" t="str">
        <f t="shared" ref="Y102:Y140" si="61">CONCATENATE("[""TYPE""] = ",REPT(" ",2-LEN(X102)),X102,"; ")</f>
        <v xml:space="preserve">["TYPE"] = 14; </v>
      </c>
      <c r="Z102" t="str">
        <f t="shared" ref="Z102:Z140" si="62">TEXT(E102,0)</f>
        <v>0</v>
      </c>
      <c r="AA102" t="str">
        <f t="shared" ref="AA102:AA140" si="63">CONCATENATE("[""VXP""] = ",REPT(" ",1-LEN(Z102)),TEXT(Z102,"0"),"; ")</f>
        <v xml:space="preserve">["VXP"] = 0; </v>
      </c>
      <c r="AB102" t="str">
        <f t="shared" ref="AB102:AB140" si="64">TEXT(G102,0)</f>
        <v>0</v>
      </c>
      <c r="AC102" t="str">
        <f t="shared" ref="AC102:AC140" si="65">CONCATENATE("[""LP""] = ",REPT(" ",1-LEN(AB102)),TEXT(AB102,"0"),"; ")</f>
        <v xml:space="preserve">["LP"] = 0; </v>
      </c>
      <c r="AD102" t="str">
        <f t="shared" ref="AD102:AD140" si="66">TEXT(H102,0)</f>
        <v>0</v>
      </c>
      <c r="AE102" t="str">
        <f t="shared" ref="AE102:AE140" si="67">CONCATENATE("[""REP""] = ",REPT(" ",1-LEN(AD102)),TEXT(AD102,"0"),"; ")</f>
        <v xml:space="preserve">["REP"] = 0; </v>
      </c>
      <c r="AF102" t="e">
        <f>VLOOKUP(I102,Faction!A$2:B$77,2,FALSE)</f>
        <v>#N/A</v>
      </c>
      <c r="AG102" t="e">
        <f t="shared" ref="AG102:AG140" si="68">CONCATENATE("[""FACTION""] = ",TEXT(AF102,"0"),"; ")</f>
        <v>#N/A</v>
      </c>
      <c r="AH102" t="str">
        <f t="shared" si="49"/>
        <v/>
      </c>
      <c r="AI102" t="str">
        <f t="shared" ref="AI102:AI140" si="69">CONCATENATE("[""NAME""] = { [""EN""] = """,C102,"""; }; ")</f>
        <v xml:space="preserve">["NAME"] = { ["EN"] = "Gondor and Mordor"; }; </v>
      </c>
      <c r="AJ102" t="str">
        <f t="shared" ref="AJ102:AJ140" si="70">CONCATENATE("[""LORE""] = { [""EN""] = """,K102,"""; }; ")</f>
        <v xml:space="preserve">["LORE"] = { ["EN"] = ""; }; </v>
      </c>
      <c r="AK102" t="str">
        <f t="shared" ref="AK102:AK140" si="71">CONCATENATE("[""SUMMARY""] = { [""EN""] = """,J102,"""; }; ")</f>
        <v xml:space="preserve">["SUMMARY"] = { ["EN"] = ""; }; </v>
      </c>
      <c r="AL102" t="str">
        <f t="shared" ref="AL102:AL140" si="72">IF(LEN(F102)&gt;0,CONCATENATE("[""TITLE""] = { [""EN""] = """,F102,"""; }; "),"")</f>
        <v/>
      </c>
      <c r="AM102" t="str">
        <f t="shared" si="54"/>
        <v>};</v>
      </c>
    </row>
    <row r="103" spans="1:39" x14ac:dyDescent="0.25">
      <c r="A103">
        <v>1879507928</v>
      </c>
      <c r="C103" t="s">
        <v>271</v>
      </c>
      <c r="L103">
        <v>0</v>
      </c>
      <c r="O103" t="str">
        <f t="shared" si="32"/>
        <v/>
      </c>
      <c r="P103" t="str">
        <f t="shared" si="33"/>
        <v>[102] = {["ID"] = 1879507928; }; -- All the Birds of Lamedon</v>
      </c>
      <c r="Q103" s="1" t="e">
        <f t="shared" si="55"/>
        <v>#N/A</v>
      </c>
      <c r="R103">
        <f t="shared" si="35"/>
        <v>102</v>
      </c>
      <c r="S103" t="str">
        <f t="shared" si="56"/>
        <v>[102] = {</v>
      </c>
      <c r="T103" t="str">
        <f t="shared" si="57"/>
        <v xml:space="preserve">["ID"] = 1879507928; </v>
      </c>
      <c r="U103" t="str">
        <f t="shared" si="58"/>
        <v xml:space="preserve">["ID"] = 1879507928; </v>
      </c>
      <c r="V103" t="str">
        <f t="shared" si="59"/>
        <v/>
      </c>
      <c r="W103" s="1" t="str">
        <f t="shared" si="60"/>
        <v/>
      </c>
      <c r="X103" t="e">
        <f>VLOOKUP(D103,Type!A$2:B$17,2,FALSE)</f>
        <v>#N/A</v>
      </c>
      <c r="Y103" t="e">
        <f t="shared" si="61"/>
        <v>#N/A</v>
      </c>
      <c r="Z103" t="str">
        <f t="shared" si="62"/>
        <v>0</v>
      </c>
      <c r="AA103" t="str">
        <f t="shared" si="63"/>
        <v xml:space="preserve">["VXP"] = 0; </v>
      </c>
      <c r="AB103" t="str">
        <f t="shared" si="64"/>
        <v>0</v>
      </c>
      <c r="AC103" t="str">
        <f t="shared" si="65"/>
        <v xml:space="preserve">["LP"] = 0; </v>
      </c>
      <c r="AD103" t="str">
        <f t="shared" si="66"/>
        <v>0</v>
      </c>
      <c r="AE103" t="str">
        <f t="shared" si="67"/>
        <v xml:space="preserve">["REP"] = 0; </v>
      </c>
      <c r="AF103" t="e">
        <f>VLOOKUP(I103,Faction!A$2:B$77,2,FALSE)</f>
        <v>#N/A</v>
      </c>
      <c r="AG103" t="e">
        <f t="shared" si="68"/>
        <v>#N/A</v>
      </c>
      <c r="AH103" t="str">
        <f t="shared" si="49"/>
        <v/>
      </c>
      <c r="AI103" t="str">
        <f t="shared" si="69"/>
        <v xml:space="preserve">["NAME"] = { ["EN"] = "All the Birds of Lamedon"; }; </v>
      </c>
      <c r="AJ103" t="str">
        <f t="shared" si="70"/>
        <v xml:space="preserve">["LORE"] = { ["EN"] = ""; }; </v>
      </c>
      <c r="AK103" t="str">
        <f t="shared" si="71"/>
        <v xml:space="preserve">["SUMMARY"] = { ["EN"] = ""; }; </v>
      </c>
      <c r="AL103" t="str">
        <f t="shared" si="72"/>
        <v/>
      </c>
      <c r="AM103" t="str">
        <f t="shared" si="54"/>
        <v>};</v>
      </c>
    </row>
    <row r="104" spans="1:39" x14ac:dyDescent="0.25">
      <c r="A104">
        <v>1879507930</v>
      </c>
      <c r="C104" t="s">
        <v>272</v>
      </c>
      <c r="L104">
        <v>1</v>
      </c>
      <c r="O104" t="str">
        <f t="shared" si="32"/>
        <v>[1879507930] = 1, // Birds of Lamedon: Common and Uncommon</v>
      </c>
      <c r="P104" t="str">
        <f t="shared" si="33"/>
        <v>[103] = {["ID"] = 1879507930; ["TIER"] = 1; }; -- Birds of Lamedon: Common and Uncommon</v>
      </c>
      <c r="Q104" s="1" t="e">
        <f t="shared" si="55"/>
        <v>#N/A</v>
      </c>
      <c r="R104">
        <f t="shared" si="35"/>
        <v>103</v>
      </c>
      <c r="S104" t="str">
        <f t="shared" si="56"/>
        <v>[103] = {</v>
      </c>
      <c r="T104" t="str">
        <f t="shared" si="57"/>
        <v xml:space="preserve">["ID"] = 1879507930; </v>
      </c>
      <c r="U104" t="str">
        <f t="shared" si="58"/>
        <v xml:space="preserve">["ID"] = 1879507930; </v>
      </c>
      <c r="V104" t="str">
        <f t="shared" si="59"/>
        <v/>
      </c>
      <c r="W104" s="1" t="str">
        <f t="shared" si="60"/>
        <v/>
      </c>
      <c r="X104" t="e">
        <f>VLOOKUP(D104,Type!A$2:B$17,2,FALSE)</f>
        <v>#N/A</v>
      </c>
      <c r="Y104" t="e">
        <f t="shared" si="61"/>
        <v>#N/A</v>
      </c>
      <c r="Z104" t="str">
        <f t="shared" si="62"/>
        <v>0</v>
      </c>
      <c r="AA104" t="str">
        <f t="shared" si="63"/>
        <v xml:space="preserve">["VXP"] = 0; </v>
      </c>
      <c r="AB104" t="str">
        <f t="shared" si="64"/>
        <v>0</v>
      </c>
      <c r="AC104" t="str">
        <f t="shared" si="65"/>
        <v xml:space="preserve">["LP"] = 0; </v>
      </c>
      <c r="AD104" t="str">
        <f t="shared" si="66"/>
        <v>0</v>
      </c>
      <c r="AE104" t="str">
        <f t="shared" si="67"/>
        <v xml:space="preserve">["REP"] = 0; </v>
      </c>
      <c r="AF104" t="e">
        <f>VLOOKUP(I104,Faction!A$2:B$77,2,FALSE)</f>
        <v>#N/A</v>
      </c>
      <c r="AG104" t="e">
        <f t="shared" si="68"/>
        <v>#N/A</v>
      </c>
      <c r="AH104" t="str">
        <f t="shared" si="49"/>
        <v xml:space="preserve">["TIER"] = 1; </v>
      </c>
      <c r="AI104" t="str">
        <f t="shared" si="69"/>
        <v xml:space="preserve">["NAME"] = { ["EN"] = "Birds of Lamedon: Common and Uncommon"; }; </v>
      </c>
      <c r="AJ104" t="str">
        <f t="shared" si="70"/>
        <v xml:space="preserve">["LORE"] = { ["EN"] = ""; }; </v>
      </c>
      <c r="AK104" t="str">
        <f t="shared" si="71"/>
        <v xml:space="preserve">["SUMMARY"] = { ["EN"] = ""; }; </v>
      </c>
      <c r="AL104" t="str">
        <f t="shared" si="72"/>
        <v/>
      </c>
      <c r="AM104" t="str">
        <f t="shared" si="54"/>
        <v>};</v>
      </c>
    </row>
    <row r="105" spans="1:39" x14ac:dyDescent="0.25">
      <c r="A105">
        <v>1879507929</v>
      </c>
      <c r="C105" t="s">
        <v>273</v>
      </c>
      <c r="L105">
        <v>1</v>
      </c>
      <c r="O105" t="str">
        <f t="shared" si="32"/>
        <v>[1879507929] = 1, // Birds of Lamedon: Rare</v>
      </c>
      <c r="P105" t="str">
        <f t="shared" si="33"/>
        <v>[104] = {["ID"] = 1879507929; ["TIER"] = 1; }; -- Birds of Lamedon: Rare</v>
      </c>
      <c r="Q105" s="1" t="e">
        <f t="shared" si="55"/>
        <v>#N/A</v>
      </c>
      <c r="R105">
        <f t="shared" si="35"/>
        <v>104</v>
      </c>
      <c r="S105" t="str">
        <f t="shared" si="56"/>
        <v>[104] = {</v>
      </c>
      <c r="T105" t="str">
        <f t="shared" si="57"/>
        <v xml:space="preserve">["ID"] = 1879507929; </v>
      </c>
      <c r="U105" t="str">
        <f t="shared" si="58"/>
        <v xml:space="preserve">["ID"] = 1879507929; </v>
      </c>
      <c r="V105" t="str">
        <f t="shared" si="59"/>
        <v/>
      </c>
      <c r="W105" s="1" t="str">
        <f t="shared" si="60"/>
        <v/>
      </c>
      <c r="X105" t="e">
        <f>VLOOKUP(D105,Type!A$2:B$17,2,FALSE)</f>
        <v>#N/A</v>
      </c>
      <c r="Y105" t="e">
        <f t="shared" si="61"/>
        <v>#N/A</v>
      </c>
      <c r="Z105" t="str">
        <f t="shared" si="62"/>
        <v>0</v>
      </c>
      <c r="AA105" t="str">
        <f t="shared" si="63"/>
        <v xml:space="preserve">["VXP"] = 0; </v>
      </c>
      <c r="AB105" t="str">
        <f t="shared" si="64"/>
        <v>0</v>
      </c>
      <c r="AC105" t="str">
        <f t="shared" si="65"/>
        <v xml:space="preserve">["LP"] = 0; </v>
      </c>
      <c r="AD105" t="str">
        <f t="shared" si="66"/>
        <v>0</v>
      </c>
      <c r="AE105" t="str">
        <f t="shared" si="67"/>
        <v xml:space="preserve">["REP"] = 0; </v>
      </c>
      <c r="AF105" t="e">
        <f>VLOOKUP(I105,Faction!A$2:B$77,2,FALSE)</f>
        <v>#N/A</v>
      </c>
      <c r="AG105" t="e">
        <f t="shared" si="68"/>
        <v>#N/A</v>
      </c>
      <c r="AH105" t="str">
        <f t="shared" si="49"/>
        <v xml:space="preserve">["TIER"] = 1; </v>
      </c>
      <c r="AI105" t="str">
        <f t="shared" si="69"/>
        <v xml:space="preserve">["NAME"] = { ["EN"] = "Birds of Lamedon: Rare"; }; </v>
      </c>
      <c r="AJ105" t="str">
        <f t="shared" si="70"/>
        <v xml:space="preserve">["LORE"] = { ["EN"] = ""; }; </v>
      </c>
      <c r="AK105" t="str">
        <f t="shared" si="71"/>
        <v xml:space="preserve">["SUMMARY"] = { ["EN"] = ""; }; </v>
      </c>
      <c r="AL105" t="str">
        <f t="shared" si="72"/>
        <v/>
      </c>
      <c r="AM105" t="str">
        <f t="shared" si="54"/>
        <v>};</v>
      </c>
    </row>
    <row r="106" spans="1:39" x14ac:dyDescent="0.25">
      <c r="A106">
        <v>1879507926</v>
      </c>
      <c r="C106" t="s">
        <v>274</v>
      </c>
      <c r="L106">
        <v>1</v>
      </c>
      <c r="O106" t="str">
        <f t="shared" si="32"/>
        <v>[1879507926] = 1, // The Rarest Bird in Lamedon</v>
      </c>
      <c r="P106" t="str">
        <f t="shared" si="33"/>
        <v>[105] = {["ID"] = 1879507926; ["TIER"] = 1; }; -- The Rarest Bird in Lamedon</v>
      </c>
      <c r="Q106" s="1" t="e">
        <f t="shared" si="55"/>
        <v>#N/A</v>
      </c>
      <c r="R106">
        <f t="shared" si="35"/>
        <v>105</v>
      </c>
      <c r="S106" t="str">
        <f t="shared" si="56"/>
        <v>[105] = {</v>
      </c>
      <c r="T106" t="str">
        <f t="shared" si="57"/>
        <v xml:space="preserve">["ID"] = 1879507926; </v>
      </c>
      <c r="U106" t="str">
        <f t="shared" si="58"/>
        <v xml:space="preserve">["ID"] = 1879507926; </v>
      </c>
      <c r="V106" t="str">
        <f t="shared" si="59"/>
        <v/>
      </c>
      <c r="W106" s="1" t="str">
        <f t="shared" si="60"/>
        <v/>
      </c>
      <c r="X106" t="e">
        <f>VLOOKUP(D106,Type!A$2:B$17,2,FALSE)</f>
        <v>#N/A</v>
      </c>
      <c r="Y106" t="e">
        <f t="shared" si="61"/>
        <v>#N/A</v>
      </c>
      <c r="Z106" t="str">
        <f t="shared" si="62"/>
        <v>0</v>
      </c>
      <c r="AA106" t="str">
        <f t="shared" si="63"/>
        <v xml:space="preserve">["VXP"] = 0; </v>
      </c>
      <c r="AB106" t="str">
        <f t="shared" si="64"/>
        <v>0</v>
      </c>
      <c r="AC106" t="str">
        <f t="shared" si="65"/>
        <v xml:space="preserve">["LP"] = 0; </v>
      </c>
      <c r="AD106" t="str">
        <f t="shared" si="66"/>
        <v>0</v>
      </c>
      <c r="AE106" t="str">
        <f t="shared" si="67"/>
        <v xml:space="preserve">["REP"] = 0; </v>
      </c>
      <c r="AF106" t="e">
        <f>VLOOKUP(I106,Faction!A$2:B$77,2,FALSE)</f>
        <v>#N/A</v>
      </c>
      <c r="AG106" t="e">
        <f t="shared" si="68"/>
        <v>#N/A</v>
      </c>
      <c r="AH106" t="str">
        <f t="shared" si="49"/>
        <v xml:space="preserve">["TIER"] = 1; </v>
      </c>
      <c r="AI106" t="str">
        <f t="shared" si="69"/>
        <v xml:space="preserve">["NAME"] = { ["EN"] = "The Rarest Bird in Lamedon"; }; </v>
      </c>
      <c r="AJ106" t="str">
        <f t="shared" si="70"/>
        <v xml:space="preserve">["LORE"] = { ["EN"] = ""; }; </v>
      </c>
      <c r="AK106" t="str">
        <f t="shared" si="71"/>
        <v xml:space="preserve">["SUMMARY"] = { ["EN"] = ""; }; </v>
      </c>
      <c r="AL106" t="str">
        <f t="shared" si="72"/>
        <v/>
      </c>
      <c r="AM106" t="str">
        <f t="shared" si="54"/>
        <v>};</v>
      </c>
    </row>
    <row r="107" spans="1:39" x14ac:dyDescent="0.25">
      <c r="A107">
        <v>1879507927</v>
      </c>
      <c r="C107" t="s">
        <v>275</v>
      </c>
      <c r="L107">
        <v>0</v>
      </c>
      <c r="O107" t="str">
        <f t="shared" si="32"/>
        <v/>
      </c>
      <c r="P107" t="str">
        <f t="shared" si="33"/>
        <v>[106] = {["ID"] = 1879507927; }; -- All the Birds of Belfalas</v>
      </c>
      <c r="Q107" s="1" t="e">
        <f t="shared" si="55"/>
        <v>#N/A</v>
      </c>
      <c r="R107">
        <f t="shared" si="35"/>
        <v>106</v>
      </c>
      <c r="S107" t="str">
        <f t="shared" si="56"/>
        <v>[106] = {</v>
      </c>
      <c r="T107" t="str">
        <f t="shared" si="57"/>
        <v xml:space="preserve">["ID"] = 1879507927; </v>
      </c>
      <c r="U107" t="str">
        <f t="shared" si="58"/>
        <v xml:space="preserve">["ID"] = 1879507927; </v>
      </c>
      <c r="V107" t="str">
        <f t="shared" si="59"/>
        <v/>
      </c>
      <c r="W107" s="1" t="str">
        <f t="shared" si="60"/>
        <v/>
      </c>
      <c r="X107" t="e">
        <f>VLOOKUP(D107,Type!A$2:B$17,2,FALSE)</f>
        <v>#N/A</v>
      </c>
      <c r="Y107" t="e">
        <f t="shared" si="61"/>
        <v>#N/A</v>
      </c>
      <c r="Z107" t="str">
        <f t="shared" si="62"/>
        <v>0</v>
      </c>
      <c r="AA107" t="str">
        <f t="shared" si="63"/>
        <v xml:space="preserve">["VXP"] = 0; </v>
      </c>
      <c r="AB107" t="str">
        <f t="shared" si="64"/>
        <v>0</v>
      </c>
      <c r="AC107" t="str">
        <f t="shared" si="65"/>
        <v xml:space="preserve">["LP"] = 0; </v>
      </c>
      <c r="AD107" t="str">
        <f t="shared" si="66"/>
        <v>0</v>
      </c>
      <c r="AE107" t="str">
        <f t="shared" si="67"/>
        <v xml:space="preserve">["REP"] = 0; </v>
      </c>
      <c r="AF107" t="e">
        <f>VLOOKUP(I107,Faction!A$2:B$77,2,FALSE)</f>
        <v>#N/A</v>
      </c>
      <c r="AG107" t="e">
        <f t="shared" si="68"/>
        <v>#N/A</v>
      </c>
      <c r="AH107" t="str">
        <f t="shared" si="49"/>
        <v/>
      </c>
      <c r="AI107" t="str">
        <f t="shared" si="69"/>
        <v xml:space="preserve">["NAME"] = { ["EN"] = "All the Birds of Belfalas"; }; </v>
      </c>
      <c r="AJ107" t="str">
        <f t="shared" si="70"/>
        <v xml:space="preserve">["LORE"] = { ["EN"] = ""; }; </v>
      </c>
      <c r="AK107" t="str">
        <f t="shared" si="71"/>
        <v xml:space="preserve">["SUMMARY"] = { ["EN"] = ""; }; </v>
      </c>
      <c r="AL107" t="str">
        <f t="shared" si="72"/>
        <v/>
      </c>
      <c r="AM107" t="str">
        <f t="shared" si="54"/>
        <v>};</v>
      </c>
    </row>
    <row r="108" spans="1:39" x14ac:dyDescent="0.25">
      <c r="A108">
        <v>1879507924</v>
      </c>
      <c r="C108" t="s">
        <v>276</v>
      </c>
      <c r="L108">
        <v>1</v>
      </c>
      <c r="O108" t="str">
        <f t="shared" si="32"/>
        <v>[1879507924] = 1, // Birds of Belfalas: Common and Uncommon</v>
      </c>
      <c r="P108" t="str">
        <f t="shared" si="33"/>
        <v>[107] = {["ID"] = 1879507924; ["TIER"] = 1; }; -- Birds of Belfalas: Common and Uncommon</v>
      </c>
      <c r="Q108" s="1" t="e">
        <f t="shared" si="55"/>
        <v>#N/A</v>
      </c>
      <c r="R108">
        <f t="shared" si="35"/>
        <v>107</v>
      </c>
      <c r="S108" t="str">
        <f t="shared" si="56"/>
        <v>[107] = {</v>
      </c>
      <c r="T108" t="str">
        <f t="shared" si="57"/>
        <v xml:space="preserve">["ID"] = 1879507924; </v>
      </c>
      <c r="U108" t="str">
        <f t="shared" si="58"/>
        <v xml:space="preserve">["ID"] = 1879507924; </v>
      </c>
      <c r="V108" t="str">
        <f t="shared" si="59"/>
        <v/>
      </c>
      <c r="W108" s="1" t="str">
        <f t="shared" si="60"/>
        <v/>
      </c>
      <c r="X108" t="e">
        <f>VLOOKUP(D108,Type!A$2:B$17,2,FALSE)</f>
        <v>#N/A</v>
      </c>
      <c r="Y108" t="e">
        <f t="shared" si="61"/>
        <v>#N/A</v>
      </c>
      <c r="Z108" t="str">
        <f t="shared" si="62"/>
        <v>0</v>
      </c>
      <c r="AA108" t="str">
        <f t="shared" si="63"/>
        <v xml:space="preserve">["VXP"] = 0; </v>
      </c>
      <c r="AB108" t="str">
        <f t="shared" si="64"/>
        <v>0</v>
      </c>
      <c r="AC108" t="str">
        <f t="shared" si="65"/>
        <v xml:space="preserve">["LP"] = 0; </v>
      </c>
      <c r="AD108" t="str">
        <f t="shared" si="66"/>
        <v>0</v>
      </c>
      <c r="AE108" t="str">
        <f t="shared" si="67"/>
        <v xml:space="preserve">["REP"] = 0; </v>
      </c>
      <c r="AF108" t="e">
        <f>VLOOKUP(I108,Faction!A$2:B$77,2,FALSE)</f>
        <v>#N/A</v>
      </c>
      <c r="AG108" t="e">
        <f t="shared" si="68"/>
        <v>#N/A</v>
      </c>
      <c r="AH108" t="str">
        <f t="shared" si="49"/>
        <v xml:space="preserve">["TIER"] = 1; </v>
      </c>
      <c r="AI108" t="str">
        <f t="shared" si="69"/>
        <v xml:space="preserve">["NAME"] = { ["EN"] = "Birds of Belfalas: Common and Uncommon"; }; </v>
      </c>
      <c r="AJ108" t="str">
        <f t="shared" si="70"/>
        <v xml:space="preserve">["LORE"] = { ["EN"] = ""; }; </v>
      </c>
      <c r="AK108" t="str">
        <f t="shared" si="71"/>
        <v xml:space="preserve">["SUMMARY"] = { ["EN"] = ""; }; </v>
      </c>
      <c r="AL108" t="str">
        <f t="shared" si="72"/>
        <v/>
      </c>
      <c r="AM108" t="str">
        <f t="shared" si="54"/>
        <v>};</v>
      </c>
    </row>
    <row r="109" spans="1:39" x14ac:dyDescent="0.25">
      <c r="A109">
        <v>1879507923</v>
      </c>
      <c r="C109" t="s">
        <v>277</v>
      </c>
      <c r="L109">
        <v>1</v>
      </c>
      <c r="O109" t="str">
        <f t="shared" si="32"/>
        <v>[1879507923] = 1, // Birds of Belfalas: Rare</v>
      </c>
      <c r="P109" t="str">
        <f t="shared" si="33"/>
        <v>[108] = {["ID"] = 1879507923; ["TIER"] = 1; }; -- Birds of Belfalas: Rare</v>
      </c>
      <c r="Q109" s="1" t="e">
        <f t="shared" si="55"/>
        <v>#N/A</v>
      </c>
      <c r="R109">
        <f t="shared" si="35"/>
        <v>108</v>
      </c>
      <c r="S109" t="str">
        <f t="shared" si="56"/>
        <v>[108] = {</v>
      </c>
      <c r="T109" t="str">
        <f t="shared" si="57"/>
        <v xml:space="preserve">["ID"] = 1879507923; </v>
      </c>
      <c r="U109" t="str">
        <f t="shared" si="58"/>
        <v xml:space="preserve">["ID"] = 1879507923; </v>
      </c>
      <c r="V109" t="str">
        <f t="shared" si="59"/>
        <v/>
      </c>
      <c r="W109" s="1" t="str">
        <f t="shared" si="60"/>
        <v/>
      </c>
      <c r="X109" t="e">
        <f>VLOOKUP(D109,Type!A$2:B$17,2,FALSE)</f>
        <v>#N/A</v>
      </c>
      <c r="Y109" t="e">
        <f t="shared" si="61"/>
        <v>#N/A</v>
      </c>
      <c r="Z109" t="str">
        <f t="shared" si="62"/>
        <v>0</v>
      </c>
      <c r="AA109" t="str">
        <f t="shared" si="63"/>
        <v xml:space="preserve">["VXP"] = 0; </v>
      </c>
      <c r="AB109" t="str">
        <f t="shared" si="64"/>
        <v>0</v>
      </c>
      <c r="AC109" t="str">
        <f t="shared" si="65"/>
        <v xml:space="preserve">["LP"] = 0; </v>
      </c>
      <c r="AD109" t="str">
        <f t="shared" si="66"/>
        <v>0</v>
      </c>
      <c r="AE109" t="str">
        <f t="shared" si="67"/>
        <v xml:space="preserve">["REP"] = 0; </v>
      </c>
      <c r="AF109" t="e">
        <f>VLOOKUP(I109,Faction!A$2:B$77,2,FALSE)</f>
        <v>#N/A</v>
      </c>
      <c r="AG109" t="e">
        <f t="shared" si="68"/>
        <v>#N/A</v>
      </c>
      <c r="AH109" t="str">
        <f t="shared" si="49"/>
        <v xml:space="preserve">["TIER"] = 1; </v>
      </c>
      <c r="AI109" t="str">
        <f t="shared" si="69"/>
        <v xml:space="preserve">["NAME"] = { ["EN"] = "Birds of Belfalas: Rare"; }; </v>
      </c>
      <c r="AJ109" t="str">
        <f t="shared" si="70"/>
        <v xml:space="preserve">["LORE"] = { ["EN"] = ""; }; </v>
      </c>
      <c r="AK109" t="str">
        <f t="shared" si="71"/>
        <v xml:space="preserve">["SUMMARY"] = { ["EN"] = ""; }; </v>
      </c>
      <c r="AL109" t="str">
        <f t="shared" si="72"/>
        <v/>
      </c>
      <c r="AM109" t="str">
        <f t="shared" si="54"/>
        <v>};</v>
      </c>
    </row>
    <row r="110" spans="1:39" x14ac:dyDescent="0.25">
      <c r="A110">
        <v>1879507925</v>
      </c>
      <c r="C110" t="s">
        <v>278</v>
      </c>
      <c r="L110">
        <v>1</v>
      </c>
      <c r="O110" t="str">
        <f t="shared" si="32"/>
        <v>[1879507925] = 1, // The Rarest Bird in Belfalas</v>
      </c>
      <c r="P110" t="str">
        <f t="shared" si="33"/>
        <v>[109] = {["ID"] = 1879507925; ["TIER"] = 1; }; -- The Rarest Bird in Belfalas</v>
      </c>
      <c r="Q110" s="1" t="e">
        <f t="shared" si="55"/>
        <v>#N/A</v>
      </c>
      <c r="R110">
        <f t="shared" si="35"/>
        <v>109</v>
      </c>
      <c r="S110" t="str">
        <f t="shared" si="56"/>
        <v>[109] = {</v>
      </c>
      <c r="T110" t="str">
        <f t="shared" si="57"/>
        <v xml:space="preserve">["ID"] = 1879507925; </v>
      </c>
      <c r="U110" t="str">
        <f t="shared" si="58"/>
        <v xml:space="preserve">["ID"] = 1879507925; </v>
      </c>
      <c r="V110" t="str">
        <f t="shared" si="59"/>
        <v/>
      </c>
      <c r="W110" s="1" t="str">
        <f t="shared" si="60"/>
        <v/>
      </c>
      <c r="X110" t="e">
        <f>VLOOKUP(D110,Type!A$2:B$17,2,FALSE)</f>
        <v>#N/A</v>
      </c>
      <c r="Y110" t="e">
        <f t="shared" si="61"/>
        <v>#N/A</v>
      </c>
      <c r="Z110" t="str">
        <f t="shared" si="62"/>
        <v>0</v>
      </c>
      <c r="AA110" t="str">
        <f t="shared" si="63"/>
        <v xml:space="preserve">["VXP"] = 0; </v>
      </c>
      <c r="AB110" t="str">
        <f t="shared" si="64"/>
        <v>0</v>
      </c>
      <c r="AC110" t="str">
        <f t="shared" si="65"/>
        <v xml:space="preserve">["LP"] = 0; </v>
      </c>
      <c r="AD110" t="str">
        <f t="shared" si="66"/>
        <v>0</v>
      </c>
      <c r="AE110" t="str">
        <f t="shared" si="67"/>
        <v xml:space="preserve">["REP"] = 0; </v>
      </c>
      <c r="AF110" t="e">
        <f>VLOOKUP(I110,Faction!A$2:B$77,2,FALSE)</f>
        <v>#N/A</v>
      </c>
      <c r="AG110" t="e">
        <f t="shared" si="68"/>
        <v>#N/A</v>
      </c>
      <c r="AH110" t="str">
        <f t="shared" si="49"/>
        <v xml:space="preserve">["TIER"] = 1; </v>
      </c>
      <c r="AI110" t="str">
        <f t="shared" si="69"/>
        <v xml:space="preserve">["NAME"] = { ["EN"] = "The Rarest Bird in Belfalas"; }; </v>
      </c>
      <c r="AJ110" t="str">
        <f t="shared" si="70"/>
        <v xml:space="preserve">["LORE"] = { ["EN"] = ""; }; </v>
      </c>
      <c r="AK110" t="str">
        <f t="shared" si="71"/>
        <v xml:space="preserve">["SUMMARY"] = { ["EN"] = ""; }; </v>
      </c>
      <c r="AL110" t="str">
        <f t="shared" si="72"/>
        <v/>
      </c>
      <c r="AM110" t="str">
        <f t="shared" si="54"/>
        <v>};</v>
      </c>
    </row>
    <row r="111" spans="1:39" x14ac:dyDescent="0.25">
      <c r="A111">
        <v>1879507885</v>
      </c>
      <c r="C111" t="s">
        <v>279</v>
      </c>
      <c r="L111">
        <v>0</v>
      </c>
      <c r="O111" t="str">
        <f t="shared" si="32"/>
        <v/>
      </c>
      <c r="P111" t="str">
        <f t="shared" si="33"/>
        <v>[110] = {["ID"] = 1879507885; }; -- All the Birds of Lebennin</v>
      </c>
      <c r="Q111" s="1" t="e">
        <f t="shared" si="55"/>
        <v>#N/A</v>
      </c>
      <c r="R111">
        <f t="shared" si="35"/>
        <v>110</v>
      </c>
      <c r="S111" t="str">
        <f t="shared" si="56"/>
        <v>[110] = {</v>
      </c>
      <c r="T111" t="str">
        <f t="shared" si="57"/>
        <v xml:space="preserve">["ID"] = 1879507885; </v>
      </c>
      <c r="U111" t="str">
        <f t="shared" si="58"/>
        <v xml:space="preserve">["ID"] = 1879507885; </v>
      </c>
      <c r="V111" t="str">
        <f t="shared" si="59"/>
        <v/>
      </c>
      <c r="W111" s="1" t="str">
        <f t="shared" si="60"/>
        <v/>
      </c>
      <c r="X111" t="e">
        <f>VLOOKUP(D111,Type!A$2:B$17,2,FALSE)</f>
        <v>#N/A</v>
      </c>
      <c r="Y111" t="e">
        <f t="shared" si="61"/>
        <v>#N/A</v>
      </c>
      <c r="Z111" t="str">
        <f t="shared" si="62"/>
        <v>0</v>
      </c>
      <c r="AA111" t="str">
        <f t="shared" si="63"/>
        <v xml:space="preserve">["VXP"] = 0; </v>
      </c>
      <c r="AB111" t="str">
        <f t="shared" si="64"/>
        <v>0</v>
      </c>
      <c r="AC111" t="str">
        <f t="shared" si="65"/>
        <v xml:space="preserve">["LP"] = 0; </v>
      </c>
      <c r="AD111" t="str">
        <f t="shared" si="66"/>
        <v>0</v>
      </c>
      <c r="AE111" t="str">
        <f t="shared" si="67"/>
        <v xml:space="preserve">["REP"] = 0; </v>
      </c>
      <c r="AF111" t="e">
        <f>VLOOKUP(I111,Faction!A$2:B$77,2,FALSE)</f>
        <v>#N/A</v>
      </c>
      <c r="AG111" t="e">
        <f t="shared" si="68"/>
        <v>#N/A</v>
      </c>
      <c r="AH111" t="str">
        <f t="shared" si="49"/>
        <v/>
      </c>
      <c r="AI111" t="str">
        <f t="shared" si="69"/>
        <v xml:space="preserve">["NAME"] = { ["EN"] = "All the Birds of Lebennin"; }; </v>
      </c>
      <c r="AJ111" t="str">
        <f t="shared" si="70"/>
        <v xml:space="preserve">["LORE"] = { ["EN"] = ""; }; </v>
      </c>
      <c r="AK111" t="str">
        <f t="shared" si="71"/>
        <v xml:space="preserve">["SUMMARY"] = { ["EN"] = ""; }; </v>
      </c>
      <c r="AL111" t="str">
        <f t="shared" si="72"/>
        <v/>
      </c>
      <c r="AM111" t="str">
        <f t="shared" si="54"/>
        <v>};</v>
      </c>
    </row>
    <row r="112" spans="1:39" x14ac:dyDescent="0.25">
      <c r="A112">
        <v>1879507884</v>
      </c>
      <c r="C112" t="s">
        <v>280</v>
      </c>
      <c r="L112">
        <v>1</v>
      </c>
      <c r="O112" t="str">
        <f t="shared" si="32"/>
        <v>[1879507884] = 1, // Birds of Lebennin: Common and Uncommon</v>
      </c>
      <c r="P112" t="str">
        <f t="shared" si="33"/>
        <v>[111] = {["ID"] = 1879507884; ["TIER"] = 1; }; -- Birds of Lebennin: Common and Uncommon</v>
      </c>
      <c r="Q112" s="1" t="e">
        <f t="shared" si="55"/>
        <v>#N/A</v>
      </c>
      <c r="R112">
        <f t="shared" si="35"/>
        <v>111</v>
      </c>
      <c r="S112" t="str">
        <f t="shared" si="56"/>
        <v>[111] = {</v>
      </c>
      <c r="T112" t="str">
        <f t="shared" si="57"/>
        <v xml:space="preserve">["ID"] = 1879507884; </v>
      </c>
      <c r="U112" t="str">
        <f t="shared" si="58"/>
        <v xml:space="preserve">["ID"] = 1879507884; </v>
      </c>
      <c r="V112" t="str">
        <f t="shared" si="59"/>
        <v/>
      </c>
      <c r="W112" s="1" t="str">
        <f t="shared" si="60"/>
        <v/>
      </c>
      <c r="X112" t="e">
        <f>VLOOKUP(D112,Type!A$2:B$17,2,FALSE)</f>
        <v>#N/A</v>
      </c>
      <c r="Y112" t="e">
        <f t="shared" si="61"/>
        <v>#N/A</v>
      </c>
      <c r="Z112" t="str">
        <f t="shared" si="62"/>
        <v>0</v>
      </c>
      <c r="AA112" t="str">
        <f t="shared" si="63"/>
        <v xml:space="preserve">["VXP"] = 0; </v>
      </c>
      <c r="AB112" t="str">
        <f t="shared" si="64"/>
        <v>0</v>
      </c>
      <c r="AC112" t="str">
        <f t="shared" si="65"/>
        <v xml:space="preserve">["LP"] = 0; </v>
      </c>
      <c r="AD112" t="str">
        <f t="shared" si="66"/>
        <v>0</v>
      </c>
      <c r="AE112" t="str">
        <f t="shared" si="67"/>
        <v xml:space="preserve">["REP"] = 0; </v>
      </c>
      <c r="AF112" t="e">
        <f>VLOOKUP(I112,Faction!A$2:B$77,2,FALSE)</f>
        <v>#N/A</v>
      </c>
      <c r="AG112" t="e">
        <f t="shared" si="68"/>
        <v>#N/A</v>
      </c>
      <c r="AH112" t="str">
        <f t="shared" si="49"/>
        <v xml:space="preserve">["TIER"] = 1; </v>
      </c>
      <c r="AI112" t="str">
        <f t="shared" si="69"/>
        <v xml:space="preserve">["NAME"] = { ["EN"] = "Birds of Lebennin: Common and Uncommon"; }; </v>
      </c>
      <c r="AJ112" t="str">
        <f t="shared" si="70"/>
        <v xml:space="preserve">["LORE"] = { ["EN"] = ""; }; </v>
      </c>
      <c r="AK112" t="str">
        <f t="shared" si="71"/>
        <v xml:space="preserve">["SUMMARY"] = { ["EN"] = ""; }; </v>
      </c>
      <c r="AL112" t="str">
        <f t="shared" si="72"/>
        <v/>
      </c>
      <c r="AM112" t="str">
        <f t="shared" si="54"/>
        <v>};</v>
      </c>
    </row>
    <row r="113" spans="1:39" x14ac:dyDescent="0.25">
      <c r="A113">
        <v>1879507880</v>
      </c>
      <c r="C113" t="s">
        <v>281</v>
      </c>
      <c r="L113">
        <v>1</v>
      </c>
      <c r="O113" t="str">
        <f t="shared" si="32"/>
        <v>[1879507880] = 1, // Birds of Lebennin: Rare</v>
      </c>
      <c r="P113" t="str">
        <f t="shared" si="33"/>
        <v>[112] = {["ID"] = 1879507880; ["TIER"] = 1; }; -- Birds of Lebennin: Rare</v>
      </c>
      <c r="Q113" s="1" t="e">
        <f t="shared" si="55"/>
        <v>#N/A</v>
      </c>
      <c r="R113">
        <f t="shared" si="35"/>
        <v>112</v>
      </c>
      <c r="S113" t="str">
        <f t="shared" si="56"/>
        <v>[112] = {</v>
      </c>
      <c r="T113" t="str">
        <f t="shared" si="57"/>
        <v xml:space="preserve">["ID"] = 1879507880; </v>
      </c>
      <c r="U113" t="str">
        <f t="shared" si="58"/>
        <v xml:space="preserve">["ID"] = 1879507880; </v>
      </c>
      <c r="V113" t="str">
        <f t="shared" si="59"/>
        <v/>
      </c>
      <c r="W113" s="1" t="str">
        <f t="shared" si="60"/>
        <v/>
      </c>
      <c r="X113" t="e">
        <f>VLOOKUP(D113,Type!A$2:B$17,2,FALSE)</f>
        <v>#N/A</v>
      </c>
      <c r="Y113" t="e">
        <f t="shared" si="61"/>
        <v>#N/A</v>
      </c>
      <c r="Z113" t="str">
        <f t="shared" si="62"/>
        <v>0</v>
      </c>
      <c r="AA113" t="str">
        <f t="shared" si="63"/>
        <v xml:space="preserve">["VXP"] = 0; </v>
      </c>
      <c r="AB113" t="str">
        <f t="shared" si="64"/>
        <v>0</v>
      </c>
      <c r="AC113" t="str">
        <f t="shared" si="65"/>
        <v xml:space="preserve">["LP"] = 0; </v>
      </c>
      <c r="AD113" t="str">
        <f t="shared" si="66"/>
        <v>0</v>
      </c>
      <c r="AE113" t="str">
        <f t="shared" si="67"/>
        <v xml:space="preserve">["REP"] = 0; </v>
      </c>
      <c r="AF113" t="e">
        <f>VLOOKUP(I113,Faction!A$2:B$77,2,FALSE)</f>
        <v>#N/A</v>
      </c>
      <c r="AG113" t="e">
        <f t="shared" si="68"/>
        <v>#N/A</v>
      </c>
      <c r="AH113" t="str">
        <f t="shared" si="49"/>
        <v xml:space="preserve">["TIER"] = 1; </v>
      </c>
      <c r="AI113" t="str">
        <f t="shared" si="69"/>
        <v xml:space="preserve">["NAME"] = { ["EN"] = "Birds of Lebennin: Rare"; }; </v>
      </c>
      <c r="AJ113" t="str">
        <f t="shared" si="70"/>
        <v xml:space="preserve">["LORE"] = { ["EN"] = ""; }; </v>
      </c>
      <c r="AK113" t="str">
        <f t="shared" si="71"/>
        <v xml:space="preserve">["SUMMARY"] = { ["EN"] = ""; }; </v>
      </c>
      <c r="AL113" t="str">
        <f t="shared" si="72"/>
        <v/>
      </c>
      <c r="AM113" t="str">
        <f t="shared" si="54"/>
        <v>};</v>
      </c>
    </row>
    <row r="114" spans="1:39" x14ac:dyDescent="0.25">
      <c r="A114">
        <v>1879507883</v>
      </c>
      <c r="C114" t="s">
        <v>282</v>
      </c>
      <c r="L114">
        <v>1</v>
      </c>
      <c r="O114" t="str">
        <f t="shared" si="32"/>
        <v>[1879507883] = 1, // The Rarest Bird in Lebennin</v>
      </c>
      <c r="P114" t="str">
        <f t="shared" si="33"/>
        <v>[113] = {["ID"] = 1879507883; ["TIER"] = 1; }; -- The Rarest Bird in Lebennin</v>
      </c>
      <c r="Q114" s="1" t="e">
        <f t="shared" si="55"/>
        <v>#N/A</v>
      </c>
      <c r="R114">
        <f t="shared" si="35"/>
        <v>113</v>
      </c>
      <c r="S114" t="str">
        <f t="shared" si="56"/>
        <v>[113] = {</v>
      </c>
      <c r="T114" t="str">
        <f t="shared" si="57"/>
        <v xml:space="preserve">["ID"] = 1879507883; </v>
      </c>
      <c r="U114" t="str">
        <f t="shared" si="58"/>
        <v xml:space="preserve">["ID"] = 1879507883; </v>
      </c>
      <c r="V114" t="str">
        <f t="shared" si="59"/>
        <v/>
      </c>
      <c r="W114" s="1" t="str">
        <f t="shared" si="60"/>
        <v/>
      </c>
      <c r="X114" t="e">
        <f>VLOOKUP(D114,Type!A$2:B$17,2,FALSE)</f>
        <v>#N/A</v>
      </c>
      <c r="Y114" t="e">
        <f t="shared" si="61"/>
        <v>#N/A</v>
      </c>
      <c r="Z114" t="str">
        <f t="shared" si="62"/>
        <v>0</v>
      </c>
      <c r="AA114" t="str">
        <f t="shared" si="63"/>
        <v xml:space="preserve">["VXP"] = 0; </v>
      </c>
      <c r="AB114" t="str">
        <f t="shared" si="64"/>
        <v>0</v>
      </c>
      <c r="AC114" t="str">
        <f t="shared" si="65"/>
        <v xml:space="preserve">["LP"] = 0; </v>
      </c>
      <c r="AD114" t="str">
        <f t="shared" si="66"/>
        <v>0</v>
      </c>
      <c r="AE114" t="str">
        <f t="shared" si="67"/>
        <v xml:space="preserve">["REP"] = 0; </v>
      </c>
      <c r="AF114" t="e">
        <f>VLOOKUP(I114,Faction!A$2:B$77,2,FALSE)</f>
        <v>#N/A</v>
      </c>
      <c r="AG114" t="e">
        <f t="shared" si="68"/>
        <v>#N/A</v>
      </c>
      <c r="AH114" t="str">
        <f t="shared" si="49"/>
        <v xml:space="preserve">["TIER"] = 1; </v>
      </c>
      <c r="AI114" t="str">
        <f t="shared" si="69"/>
        <v xml:space="preserve">["NAME"] = { ["EN"] = "The Rarest Bird in Lebennin"; }; </v>
      </c>
      <c r="AJ114" t="str">
        <f t="shared" si="70"/>
        <v xml:space="preserve">["LORE"] = { ["EN"] = ""; }; </v>
      </c>
      <c r="AK114" t="str">
        <f t="shared" si="71"/>
        <v xml:space="preserve">["SUMMARY"] = { ["EN"] = ""; }; </v>
      </c>
      <c r="AL114" t="str">
        <f t="shared" si="72"/>
        <v/>
      </c>
      <c r="AM114" t="str">
        <f t="shared" si="54"/>
        <v>};</v>
      </c>
    </row>
    <row r="115" spans="1:39" x14ac:dyDescent="0.25">
      <c r="A115">
        <v>1879507881</v>
      </c>
      <c r="C115" t="s">
        <v>283</v>
      </c>
      <c r="L115">
        <v>0</v>
      </c>
      <c r="O115" t="str">
        <f t="shared" si="32"/>
        <v/>
      </c>
      <c r="P115" t="str">
        <f t="shared" si="33"/>
        <v>[114] = {["ID"] = 1879507881; }; -- All the Birds of Lossarnach</v>
      </c>
      <c r="Q115" s="1" t="e">
        <f t="shared" si="55"/>
        <v>#N/A</v>
      </c>
      <c r="R115">
        <f t="shared" si="35"/>
        <v>114</v>
      </c>
      <c r="S115" t="str">
        <f t="shared" si="56"/>
        <v>[114] = {</v>
      </c>
      <c r="T115" t="str">
        <f t="shared" si="57"/>
        <v xml:space="preserve">["ID"] = 1879507881; </v>
      </c>
      <c r="U115" t="str">
        <f t="shared" si="58"/>
        <v xml:space="preserve">["ID"] = 1879507881; </v>
      </c>
      <c r="V115" t="str">
        <f t="shared" si="59"/>
        <v/>
      </c>
      <c r="W115" s="1" t="str">
        <f t="shared" si="60"/>
        <v/>
      </c>
      <c r="X115" t="e">
        <f>VLOOKUP(D115,Type!A$2:B$17,2,FALSE)</f>
        <v>#N/A</v>
      </c>
      <c r="Y115" t="e">
        <f t="shared" si="61"/>
        <v>#N/A</v>
      </c>
      <c r="Z115" t="str">
        <f t="shared" si="62"/>
        <v>0</v>
      </c>
      <c r="AA115" t="str">
        <f t="shared" si="63"/>
        <v xml:space="preserve">["VXP"] = 0; </v>
      </c>
      <c r="AB115" t="str">
        <f t="shared" si="64"/>
        <v>0</v>
      </c>
      <c r="AC115" t="str">
        <f t="shared" si="65"/>
        <v xml:space="preserve">["LP"] = 0; </v>
      </c>
      <c r="AD115" t="str">
        <f t="shared" si="66"/>
        <v>0</v>
      </c>
      <c r="AE115" t="str">
        <f t="shared" si="67"/>
        <v xml:space="preserve">["REP"] = 0; </v>
      </c>
      <c r="AF115" t="e">
        <f>VLOOKUP(I115,Faction!A$2:B$77,2,FALSE)</f>
        <v>#N/A</v>
      </c>
      <c r="AG115" t="e">
        <f t="shared" si="68"/>
        <v>#N/A</v>
      </c>
      <c r="AH115" t="str">
        <f t="shared" si="49"/>
        <v/>
      </c>
      <c r="AI115" t="str">
        <f t="shared" si="69"/>
        <v xml:space="preserve">["NAME"] = { ["EN"] = "All the Birds of Lossarnach"; }; </v>
      </c>
      <c r="AJ115" t="str">
        <f t="shared" si="70"/>
        <v xml:space="preserve">["LORE"] = { ["EN"] = ""; }; </v>
      </c>
      <c r="AK115" t="str">
        <f t="shared" si="71"/>
        <v xml:space="preserve">["SUMMARY"] = { ["EN"] = ""; }; </v>
      </c>
      <c r="AL115" t="str">
        <f t="shared" si="72"/>
        <v/>
      </c>
      <c r="AM115" t="str">
        <f t="shared" si="54"/>
        <v>};</v>
      </c>
    </row>
    <row r="116" spans="1:39" x14ac:dyDescent="0.25">
      <c r="A116">
        <v>1879507879</v>
      </c>
      <c r="C116" t="s">
        <v>284</v>
      </c>
      <c r="L116">
        <v>1</v>
      </c>
      <c r="O116" t="str">
        <f t="shared" si="32"/>
        <v>[1879507879] = 1, // Birds of Lossarnach: Common and Uncommon</v>
      </c>
      <c r="P116" t="str">
        <f t="shared" si="33"/>
        <v>[115] = {["ID"] = 1879507879; ["TIER"] = 1; }; -- Birds of Lossarnach: Common and Uncommon</v>
      </c>
      <c r="Q116" s="1" t="e">
        <f t="shared" si="55"/>
        <v>#N/A</v>
      </c>
      <c r="R116">
        <f t="shared" si="35"/>
        <v>115</v>
      </c>
      <c r="S116" t="str">
        <f t="shared" si="56"/>
        <v>[115] = {</v>
      </c>
      <c r="T116" t="str">
        <f t="shared" si="57"/>
        <v xml:space="preserve">["ID"] = 1879507879; </v>
      </c>
      <c r="U116" t="str">
        <f t="shared" si="58"/>
        <v xml:space="preserve">["ID"] = 1879507879; </v>
      </c>
      <c r="V116" t="str">
        <f t="shared" si="59"/>
        <v/>
      </c>
      <c r="W116" s="1" t="str">
        <f t="shared" si="60"/>
        <v/>
      </c>
      <c r="X116" t="e">
        <f>VLOOKUP(D116,Type!A$2:B$17,2,FALSE)</f>
        <v>#N/A</v>
      </c>
      <c r="Y116" t="e">
        <f t="shared" si="61"/>
        <v>#N/A</v>
      </c>
      <c r="Z116" t="str">
        <f t="shared" si="62"/>
        <v>0</v>
      </c>
      <c r="AA116" t="str">
        <f t="shared" si="63"/>
        <v xml:space="preserve">["VXP"] = 0; </v>
      </c>
      <c r="AB116" t="str">
        <f t="shared" si="64"/>
        <v>0</v>
      </c>
      <c r="AC116" t="str">
        <f t="shared" si="65"/>
        <v xml:space="preserve">["LP"] = 0; </v>
      </c>
      <c r="AD116" t="str">
        <f t="shared" si="66"/>
        <v>0</v>
      </c>
      <c r="AE116" t="str">
        <f t="shared" si="67"/>
        <v xml:space="preserve">["REP"] = 0; </v>
      </c>
      <c r="AF116" t="e">
        <f>VLOOKUP(I116,Faction!A$2:B$77,2,FALSE)</f>
        <v>#N/A</v>
      </c>
      <c r="AG116" t="e">
        <f t="shared" si="68"/>
        <v>#N/A</v>
      </c>
      <c r="AH116" t="str">
        <f t="shared" si="49"/>
        <v xml:space="preserve">["TIER"] = 1; </v>
      </c>
      <c r="AI116" t="str">
        <f t="shared" si="69"/>
        <v xml:space="preserve">["NAME"] = { ["EN"] = "Birds of Lossarnach: Common and Uncommon"; }; </v>
      </c>
      <c r="AJ116" t="str">
        <f t="shared" si="70"/>
        <v xml:space="preserve">["LORE"] = { ["EN"] = ""; }; </v>
      </c>
      <c r="AK116" t="str">
        <f t="shared" si="71"/>
        <v xml:space="preserve">["SUMMARY"] = { ["EN"] = ""; }; </v>
      </c>
      <c r="AL116" t="str">
        <f t="shared" si="72"/>
        <v/>
      </c>
      <c r="AM116" t="str">
        <f t="shared" si="54"/>
        <v>};</v>
      </c>
    </row>
    <row r="117" spans="1:39" x14ac:dyDescent="0.25">
      <c r="A117">
        <v>1879507882</v>
      </c>
      <c r="C117" t="s">
        <v>285</v>
      </c>
      <c r="L117">
        <v>1</v>
      </c>
      <c r="O117" t="str">
        <f t="shared" si="32"/>
        <v>[1879507882] = 1, // Birds of Lossarnach: Rare</v>
      </c>
      <c r="P117" t="str">
        <f t="shared" si="33"/>
        <v>[116] = {["ID"] = 1879507882; ["TIER"] = 1; }; -- Birds of Lossarnach: Rare</v>
      </c>
      <c r="Q117" s="1" t="e">
        <f t="shared" si="55"/>
        <v>#N/A</v>
      </c>
      <c r="R117">
        <f t="shared" si="35"/>
        <v>116</v>
      </c>
      <c r="S117" t="str">
        <f t="shared" si="56"/>
        <v>[116] = {</v>
      </c>
      <c r="T117" t="str">
        <f t="shared" si="57"/>
        <v xml:space="preserve">["ID"] = 1879507882; </v>
      </c>
      <c r="U117" t="str">
        <f t="shared" si="58"/>
        <v xml:space="preserve">["ID"] = 1879507882; </v>
      </c>
      <c r="V117" t="str">
        <f t="shared" si="59"/>
        <v/>
      </c>
      <c r="W117" s="1" t="str">
        <f t="shared" si="60"/>
        <v/>
      </c>
      <c r="X117" t="e">
        <f>VLOOKUP(D117,Type!A$2:B$17,2,FALSE)</f>
        <v>#N/A</v>
      </c>
      <c r="Y117" t="e">
        <f t="shared" si="61"/>
        <v>#N/A</v>
      </c>
      <c r="Z117" t="str">
        <f t="shared" si="62"/>
        <v>0</v>
      </c>
      <c r="AA117" t="str">
        <f t="shared" si="63"/>
        <v xml:space="preserve">["VXP"] = 0; </v>
      </c>
      <c r="AB117" t="str">
        <f t="shared" si="64"/>
        <v>0</v>
      </c>
      <c r="AC117" t="str">
        <f t="shared" si="65"/>
        <v xml:space="preserve">["LP"] = 0; </v>
      </c>
      <c r="AD117" t="str">
        <f t="shared" si="66"/>
        <v>0</v>
      </c>
      <c r="AE117" t="str">
        <f t="shared" si="67"/>
        <v xml:space="preserve">["REP"] = 0; </v>
      </c>
      <c r="AF117" t="e">
        <f>VLOOKUP(I117,Faction!A$2:B$77,2,FALSE)</f>
        <v>#N/A</v>
      </c>
      <c r="AG117" t="e">
        <f t="shared" si="68"/>
        <v>#N/A</v>
      </c>
      <c r="AH117" t="str">
        <f t="shared" si="49"/>
        <v xml:space="preserve">["TIER"] = 1; </v>
      </c>
      <c r="AI117" t="str">
        <f t="shared" si="69"/>
        <v xml:space="preserve">["NAME"] = { ["EN"] = "Birds of Lossarnach: Rare"; }; </v>
      </c>
      <c r="AJ117" t="str">
        <f t="shared" si="70"/>
        <v xml:space="preserve">["LORE"] = { ["EN"] = ""; }; </v>
      </c>
      <c r="AK117" t="str">
        <f t="shared" si="71"/>
        <v xml:space="preserve">["SUMMARY"] = { ["EN"] = ""; }; </v>
      </c>
      <c r="AL117" t="str">
        <f t="shared" si="72"/>
        <v/>
      </c>
      <c r="AM117" t="str">
        <f t="shared" si="54"/>
        <v>};</v>
      </c>
    </row>
    <row r="118" spans="1:39" x14ac:dyDescent="0.25">
      <c r="A118">
        <v>1879507886</v>
      </c>
      <c r="C118" t="s">
        <v>286</v>
      </c>
      <c r="L118">
        <v>1</v>
      </c>
      <c r="O118" t="str">
        <f t="shared" si="32"/>
        <v>[1879507886] = 1, // The Rarest Bird in Lossarnach</v>
      </c>
      <c r="P118" t="str">
        <f t="shared" si="33"/>
        <v>[117] = {["ID"] = 1879507886; ["TIER"] = 1; }; -- The Rarest Bird in Lossarnach</v>
      </c>
      <c r="Q118" s="1" t="e">
        <f t="shared" si="55"/>
        <v>#N/A</v>
      </c>
      <c r="R118">
        <f t="shared" si="35"/>
        <v>117</v>
      </c>
      <c r="S118" t="str">
        <f t="shared" si="56"/>
        <v>[117] = {</v>
      </c>
      <c r="T118" t="str">
        <f t="shared" si="57"/>
        <v xml:space="preserve">["ID"] = 1879507886; </v>
      </c>
      <c r="U118" t="str">
        <f t="shared" si="58"/>
        <v xml:space="preserve">["ID"] = 1879507886; </v>
      </c>
      <c r="V118" t="str">
        <f t="shared" si="59"/>
        <v/>
      </c>
      <c r="W118" s="1" t="str">
        <f t="shared" si="60"/>
        <v/>
      </c>
      <c r="X118" t="e">
        <f>VLOOKUP(D118,Type!A$2:B$17,2,FALSE)</f>
        <v>#N/A</v>
      </c>
      <c r="Y118" t="e">
        <f t="shared" si="61"/>
        <v>#N/A</v>
      </c>
      <c r="Z118" t="str">
        <f t="shared" si="62"/>
        <v>0</v>
      </c>
      <c r="AA118" t="str">
        <f t="shared" si="63"/>
        <v xml:space="preserve">["VXP"] = 0; </v>
      </c>
      <c r="AB118" t="str">
        <f t="shared" si="64"/>
        <v>0</v>
      </c>
      <c r="AC118" t="str">
        <f t="shared" si="65"/>
        <v xml:space="preserve">["LP"] = 0; </v>
      </c>
      <c r="AD118" t="str">
        <f t="shared" si="66"/>
        <v>0</v>
      </c>
      <c r="AE118" t="str">
        <f t="shared" si="67"/>
        <v xml:space="preserve">["REP"] = 0; </v>
      </c>
      <c r="AF118" t="e">
        <f>VLOOKUP(I118,Faction!A$2:B$77,2,FALSE)</f>
        <v>#N/A</v>
      </c>
      <c r="AG118" t="e">
        <f t="shared" si="68"/>
        <v>#N/A</v>
      </c>
      <c r="AH118" t="str">
        <f t="shared" si="49"/>
        <v xml:space="preserve">["TIER"] = 1; </v>
      </c>
      <c r="AI118" t="str">
        <f t="shared" si="69"/>
        <v xml:space="preserve">["NAME"] = { ["EN"] = "The Rarest Bird in Lossarnach"; }; </v>
      </c>
      <c r="AJ118" t="str">
        <f t="shared" si="70"/>
        <v xml:space="preserve">["LORE"] = { ["EN"] = ""; }; </v>
      </c>
      <c r="AK118" t="str">
        <f t="shared" si="71"/>
        <v xml:space="preserve">["SUMMARY"] = { ["EN"] = ""; }; </v>
      </c>
      <c r="AL118" t="str">
        <f t="shared" si="72"/>
        <v/>
      </c>
      <c r="AM118" t="str">
        <f t="shared" si="54"/>
        <v>};</v>
      </c>
    </row>
    <row r="119" spans="1:39" x14ac:dyDescent="0.25">
      <c r="A119">
        <v>1879507873</v>
      </c>
      <c r="C119" t="s">
        <v>287</v>
      </c>
      <c r="L119">
        <v>0</v>
      </c>
      <c r="O119" t="str">
        <f t="shared" si="32"/>
        <v/>
      </c>
      <c r="P119" t="str">
        <f t="shared" si="33"/>
        <v>[118] = {["ID"] = 1879507873; }; -- All the Birds of Ithilien</v>
      </c>
      <c r="Q119" s="1" t="e">
        <f t="shared" si="55"/>
        <v>#N/A</v>
      </c>
      <c r="R119">
        <f t="shared" si="35"/>
        <v>118</v>
      </c>
      <c r="S119" t="str">
        <f t="shared" si="56"/>
        <v>[118] = {</v>
      </c>
      <c r="T119" t="str">
        <f t="shared" si="57"/>
        <v xml:space="preserve">["ID"] = 1879507873; </v>
      </c>
      <c r="U119" t="str">
        <f t="shared" si="58"/>
        <v xml:space="preserve">["ID"] = 1879507873; </v>
      </c>
      <c r="V119" t="str">
        <f t="shared" si="59"/>
        <v/>
      </c>
      <c r="W119" s="1" t="str">
        <f t="shared" si="60"/>
        <v/>
      </c>
      <c r="X119" t="e">
        <f>VLOOKUP(D119,Type!A$2:B$17,2,FALSE)</f>
        <v>#N/A</v>
      </c>
      <c r="Y119" t="e">
        <f t="shared" si="61"/>
        <v>#N/A</v>
      </c>
      <c r="Z119" t="str">
        <f t="shared" si="62"/>
        <v>0</v>
      </c>
      <c r="AA119" t="str">
        <f t="shared" si="63"/>
        <v xml:space="preserve">["VXP"] = 0; </v>
      </c>
      <c r="AB119" t="str">
        <f t="shared" si="64"/>
        <v>0</v>
      </c>
      <c r="AC119" t="str">
        <f t="shared" si="65"/>
        <v xml:space="preserve">["LP"] = 0; </v>
      </c>
      <c r="AD119" t="str">
        <f t="shared" si="66"/>
        <v>0</v>
      </c>
      <c r="AE119" t="str">
        <f t="shared" si="67"/>
        <v xml:space="preserve">["REP"] = 0; </v>
      </c>
      <c r="AF119" t="e">
        <f>VLOOKUP(I119,Faction!A$2:B$77,2,FALSE)</f>
        <v>#N/A</v>
      </c>
      <c r="AG119" t="e">
        <f t="shared" si="68"/>
        <v>#N/A</v>
      </c>
      <c r="AH119" t="str">
        <f t="shared" si="49"/>
        <v/>
      </c>
      <c r="AI119" t="str">
        <f t="shared" si="69"/>
        <v xml:space="preserve">["NAME"] = { ["EN"] = "All the Birds of Ithilien"; }; </v>
      </c>
      <c r="AJ119" t="str">
        <f t="shared" si="70"/>
        <v xml:space="preserve">["LORE"] = { ["EN"] = ""; }; </v>
      </c>
      <c r="AK119" t="str">
        <f t="shared" si="71"/>
        <v xml:space="preserve">["SUMMARY"] = { ["EN"] = ""; }; </v>
      </c>
      <c r="AL119" t="str">
        <f t="shared" si="72"/>
        <v/>
      </c>
      <c r="AM119" t="str">
        <f t="shared" si="54"/>
        <v>};</v>
      </c>
    </row>
    <row r="120" spans="1:39" x14ac:dyDescent="0.25">
      <c r="A120">
        <v>1879507872</v>
      </c>
      <c r="C120" t="s">
        <v>288</v>
      </c>
      <c r="L120">
        <v>1</v>
      </c>
      <c r="O120" t="str">
        <f t="shared" si="32"/>
        <v>[1879507872] = 1, // Birds of Ithilien: Common and Uncommon</v>
      </c>
      <c r="P120" t="str">
        <f t="shared" si="33"/>
        <v>[119] = {["ID"] = 1879507872; ["TIER"] = 1; }; -- Birds of Ithilien: Common and Uncommon</v>
      </c>
      <c r="Q120" s="1" t="e">
        <f t="shared" si="55"/>
        <v>#N/A</v>
      </c>
      <c r="R120">
        <f t="shared" si="35"/>
        <v>119</v>
      </c>
      <c r="S120" t="str">
        <f t="shared" si="56"/>
        <v>[119] = {</v>
      </c>
      <c r="T120" t="str">
        <f t="shared" si="57"/>
        <v xml:space="preserve">["ID"] = 1879507872; </v>
      </c>
      <c r="U120" t="str">
        <f t="shared" si="58"/>
        <v xml:space="preserve">["ID"] = 1879507872; </v>
      </c>
      <c r="V120" t="str">
        <f t="shared" si="59"/>
        <v/>
      </c>
      <c r="W120" s="1" t="str">
        <f t="shared" si="60"/>
        <v/>
      </c>
      <c r="X120" t="e">
        <f>VLOOKUP(D120,Type!A$2:B$17,2,FALSE)</f>
        <v>#N/A</v>
      </c>
      <c r="Y120" t="e">
        <f t="shared" si="61"/>
        <v>#N/A</v>
      </c>
      <c r="Z120" t="str">
        <f t="shared" si="62"/>
        <v>0</v>
      </c>
      <c r="AA120" t="str">
        <f t="shared" si="63"/>
        <v xml:space="preserve">["VXP"] = 0; </v>
      </c>
      <c r="AB120" t="str">
        <f t="shared" si="64"/>
        <v>0</v>
      </c>
      <c r="AC120" t="str">
        <f t="shared" si="65"/>
        <v xml:space="preserve">["LP"] = 0; </v>
      </c>
      <c r="AD120" t="str">
        <f t="shared" si="66"/>
        <v>0</v>
      </c>
      <c r="AE120" t="str">
        <f t="shared" si="67"/>
        <v xml:space="preserve">["REP"] = 0; </v>
      </c>
      <c r="AF120" t="e">
        <f>VLOOKUP(I120,Faction!A$2:B$77,2,FALSE)</f>
        <v>#N/A</v>
      </c>
      <c r="AG120" t="e">
        <f t="shared" si="68"/>
        <v>#N/A</v>
      </c>
      <c r="AH120" t="str">
        <f t="shared" si="49"/>
        <v xml:space="preserve">["TIER"] = 1; </v>
      </c>
      <c r="AI120" t="str">
        <f t="shared" si="69"/>
        <v xml:space="preserve">["NAME"] = { ["EN"] = "Birds of Ithilien: Common and Uncommon"; }; </v>
      </c>
      <c r="AJ120" t="str">
        <f t="shared" si="70"/>
        <v xml:space="preserve">["LORE"] = { ["EN"] = ""; }; </v>
      </c>
      <c r="AK120" t="str">
        <f t="shared" si="71"/>
        <v xml:space="preserve">["SUMMARY"] = { ["EN"] = ""; }; </v>
      </c>
      <c r="AL120" t="str">
        <f t="shared" si="72"/>
        <v/>
      </c>
      <c r="AM120" t="str">
        <f t="shared" si="54"/>
        <v>};</v>
      </c>
    </row>
    <row r="121" spans="1:39" x14ac:dyDescent="0.25">
      <c r="A121">
        <v>1879507877</v>
      </c>
      <c r="C121" t="s">
        <v>290</v>
      </c>
      <c r="L121">
        <v>1</v>
      </c>
      <c r="O121" t="str">
        <f t="shared" si="32"/>
        <v>[1879507877] = 1, // Birds of Ithilien: Rare</v>
      </c>
      <c r="P121" t="str">
        <f t="shared" si="33"/>
        <v>[120] = {["ID"] = 1879507877; ["TIER"] = 1; }; -- Birds of Ithilien: Rare</v>
      </c>
      <c r="Q121" s="1" t="e">
        <f t="shared" si="55"/>
        <v>#N/A</v>
      </c>
      <c r="R121">
        <f t="shared" si="35"/>
        <v>120</v>
      </c>
      <c r="S121" t="str">
        <f t="shared" si="56"/>
        <v>[120] = {</v>
      </c>
      <c r="T121" t="str">
        <f t="shared" si="57"/>
        <v xml:space="preserve">["ID"] = 1879507877; </v>
      </c>
      <c r="U121" t="str">
        <f t="shared" si="58"/>
        <v xml:space="preserve">["ID"] = 1879507877; </v>
      </c>
      <c r="V121" t="str">
        <f t="shared" si="59"/>
        <v/>
      </c>
      <c r="W121" s="1" t="str">
        <f t="shared" si="60"/>
        <v/>
      </c>
      <c r="X121" t="e">
        <f>VLOOKUP(D121,Type!A$2:B$17,2,FALSE)</f>
        <v>#N/A</v>
      </c>
      <c r="Y121" t="e">
        <f t="shared" si="61"/>
        <v>#N/A</v>
      </c>
      <c r="Z121" t="str">
        <f t="shared" si="62"/>
        <v>0</v>
      </c>
      <c r="AA121" t="str">
        <f t="shared" si="63"/>
        <v xml:space="preserve">["VXP"] = 0; </v>
      </c>
      <c r="AB121" t="str">
        <f t="shared" si="64"/>
        <v>0</v>
      </c>
      <c r="AC121" t="str">
        <f t="shared" si="65"/>
        <v xml:space="preserve">["LP"] = 0; </v>
      </c>
      <c r="AD121" t="str">
        <f t="shared" si="66"/>
        <v>0</v>
      </c>
      <c r="AE121" t="str">
        <f t="shared" si="67"/>
        <v xml:space="preserve">["REP"] = 0; </v>
      </c>
      <c r="AF121" t="e">
        <f>VLOOKUP(I121,Faction!A$2:B$77,2,FALSE)</f>
        <v>#N/A</v>
      </c>
      <c r="AG121" t="e">
        <f t="shared" si="68"/>
        <v>#N/A</v>
      </c>
      <c r="AH121" t="str">
        <f t="shared" si="49"/>
        <v xml:space="preserve">["TIER"] = 1; </v>
      </c>
      <c r="AI121" t="str">
        <f t="shared" si="69"/>
        <v xml:space="preserve">["NAME"] = { ["EN"] = "Birds of Ithilien: Rare"; }; </v>
      </c>
      <c r="AJ121" t="str">
        <f t="shared" si="70"/>
        <v xml:space="preserve">["LORE"] = { ["EN"] = ""; }; </v>
      </c>
      <c r="AK121" t="str">
        <f t="shared" si="71"/>
        <v xml:space="preserve">["SUMMARY"] = { ["EN"] = ""; }; </v>
      </c>
      <c r="AL121" t="str">
        <f t="shared" si="72"/>
        <v/>
      </c>
      <c r="AM121" t="str">
        <f t="shared" si="54"/>
        <v>};</v>
      </c>
    </row>
    <row r="122" spans="1:39" x14ac:dyDescent="0.25">
      <c r="A122">
        <v>1879507871</v>
      </c>
      <c r="C122" t="s">
        <v>289</v>
      </c>
      <c r="L122">
        <v>1</v>
      </c>
      <c r="O122" t="str">
        <f t="shared" si="32"/>
        <v>[1879507871] = 1, // The Rarest Bird in Ithilien</v>
      </c>
      <c r="P122" t="str">
        <f t="shared" si="33"/>
        <v>[121] = {["ID"] = 1879507871; ["TIER"] = 1; }; -- The Rarest Bird in Ithilien</v>
      </c>
      <c r="Q122" s="1" t="e">
        <f t="shared" si="55"/>
        <v>#N/A</v>
      </c>
      <c r="R122">
        <f t="shared" si="35"/>
        <v>121</v>
      </c>
      <c r="S122" t="str">
        <f t="shared" si="56"/>
        <v>[121] = {</v>
      </c>
      <c r="T122" t="str">
        <f t="shared" si="57"/>
        <v xml:space="preserve">["ID"] = 1879507871; </v>
      </c>
      <c r="U122" t="str">
        <f t="shared" si="58"/>
        <v xml:space="preserve">["ID"] = 1879507871; </v>
      </c>
      <c r="V122" t="str">
        <f t="shared" si="59"/>
        <v/>
      </c>
      <c r="W122" s="1" t="str">
        <f t="shared" si="60"/>
        <v/>
      </c>
      <c r="X122" t="e">
        <f>VLOOKUP(D122,Type!A$2:B$17,2,FALSE)</f>
        <v>#N/A</v>
      </c>
      <c r="Y122" t="e">
        <f t="shared" si="61"/>
        <v>#N/A</v>
      </c>
      <c r="Z122" t="str">
        <f t="shared" si="62"/>
        <v>0</v>
      </c>
      <c r="AA122" t="str">
        <f t="shared" si="63"/>
        <v xml:space="preserve">["VXP"] = 0; </v>
      </c>
      <c r="AB122" t="str">
        <f t="shared" si="64"/>
        <v>0</v>
      </c>
      <c r="AC122" t="str">
        <f t="shared" si="65"/>
        <v xml:space="preserve">["LP"] = 0; </v>
      </c>
      <c r="AD122" t="str">
        <f t="shared" si="66"/>
        <v>0</v>
      </c>
      <c r="AE122" t="str">
        <f t="shared" si="67"/>
        <v xml:space="preserve">["REP"] = 0; </v>
      </c>
      <c r="AF122" t="e">
        <f>VLOOKUP(I122,Faction!A$2:B$77,2,FALSE)</f>
        <v>#N/A</v>
      </c>
      <c r="AG122" t="e">
        <f t="shared" si="68"/>
        <v>#N/A</v>
      </c>
      <c r="AH122" t="str">
        <f t="shared" si="49"/>
        <v xml:space="preserve">["TIER"] = 1; </v>
      </c>
      <c r="AI122" t="str">
        <f t="shared" si="69"/>
        <v xml:space="preserve">["NAME"] = { ["EN"] = "The Rarest Bird in Ithilien"; }; </v>
      </c>
      <c r="AJ122" t="str">
        <f t="shared" si="70"/>
        <v xml:space="preserve">["LORE"] = { ["EN"] = ""; }; </v>
      </c>
      <c r="AK122" t="str">
        <f t="shared" si="71"/>
        <v xml:space="preserve">["SUMMARY"] = { ["EN"] = ""; }; </v>
      </c>
      <c r="AL122" t="str">
        <f t="shared" si="72"/>
        <v/>
      </c>
      <c r="AM122" t="str">
        <f t="shared" si="54"/>
        <v>};</v>
      </c>
    </row>
    <row r="123" spans="1:39" x14ac:dyDescent="0.25">
      <c r="A123">
        <v>1879507875</v>
      </c>
      <c r="C123" t="s">
        <v>291</v>
      </c>
      <c r="L123">
        <v>0</v>
      </c>
      <c r="O123" t="str">
        <f t="shared" si="32"/>
        <v/>
      </c>
      <c r="P123" t="str">
        <f t="shared" si="33"/>
        <v>[122] = {["ID"] = 1879507875; }; -- All the Birds of Anórien</v>
      </c>
      <c r="Q123" s="1" t="e">
        <f t="shared" si="55"/>
        <v>#N/A</v>
      </c>
      <c r="R123">
        <f t="shared" si="35"/>
        <v>122</v>
      </c>
      <c r="S123" t="str">
        <f t="shared" si="56"/>
        <v>[122] = {</v>
      </c>
      <c r="T123" t="str">
        <f t="shared" si="57"/>
        <v xml:space="preserve">["ID"] = 1879507875; </v>
      </c>
      <c r="U123" t="str">
        <f t="shared" si="58"/>
        <v xml:space="preserve">["ID"] = 1879507875; </v>
      </c>
      <c r="V123" t="str">
        <f t="shared" si="59"/>
        <v/>
      </c>
      <c r="W123" s="1" t="str">
        <f t="shared" si="60"/>
        <v/>
      </c>
      <c r="X123" t="e">
        <f>VLOOKUP(D123,Type!A$2:B$17,2,FALSE)</f>
        <v>#N/A</v>
      </c>
      <c r="Y123" t="e">
        <f t="shared" si="61"/>
        <v>#N/A</v>
      </c>
      <c r="Z123" t="str">
        <f t="shared" si="62"/>
        <v>0</v>
      </c>
      <c r="AA123" t="str">
        <f t="shared" si="63"/>
        <v xml:space="preserve">["VXP"] = 0; </v>
      </c>
      <c r="AB123" t="str">
        <f t="shared" si="64"/>
        <v>0</v>
      </c>
      <c r="AC123" t="str">
        <f t="shared" si="65"/>
        <v xml:space="preserve">["LP"] = 0; </v>
      </c>
      <c r="AD123" t="str">
        <f t="shared" si="66"/>
        <v>0</v>
      </c>
      <c r="AE123" t="str">
        <f t="shared" si="67"/>
        <v xml:space="preserve">["REP"] = 0; </v>
      </c>
      <c r="AF123" t="e">
        <f>VLOOKUP(I123,Faction!A$2:B$77,2,FALSE)</f>
        <v>#N/A</v>
      </c>
      <c r="AG123" t="e">
        <f t="shared" si="68"/>
        <v>#N/A</v>
      </c>
      <c r="AH123" t="str">
        <f t="shared" si="49"/>
        <v/>
      </c>
      <c r="AI123" t="str">
        <f t="shared" si="69"/>
        <v xml:space="preserve">["NAME"] = { ["EN"] = "All the Birds of Anórien"; }; </v>
      </c>
      <c r="AJ123" t="str">
        <f t="shared" si="70"/>
        <v xml:space="preserve">["LORE"] = { ["EN"] = ""; }; </v>
      </c>
      <c r="AK123" t="str">
        <f t="shared" si="71"/>
        <v xml:space="preserve">["SUMMARY"] = { ["EN"] = ""; }; </v>
      </c>
      <c r="AL123" t="str">
        <f t="shared" si="72"/>
        <v/>
      </c>
      <c r="AM123" t="str">
        <f t="shared" si="54"/>
        <v>};</v>
      </c>
    </row>
    <row r="124" spans="1:39" x14ac:dyDescent="0.25">
      <c r="A124">
        <v>1879507874</v>
      </c>
      <c r="C124" t="s">
        <v>292</v>
      </c>
      <c r="L124">
        <v>1</v>
      </c>
      <c r="O124" t="str">
        <f t="shared" si="32"/>
        <v>[1879507874] = 1, // Birds of Anórien: Common and Uncommon</v>
      </c>
      <c r="P124" t="str">
        <f t="shared" si="33"/>
        <v>[123] = {["ID"] = 1879507874; ["TIER"] = 1; }; -- Birds of Anórien: Common and Uncommon</v>
      </c>
      <c r="Q124" s="1" t="e">
        <f t="shared" si="55"/>
        <v>#N/A</v>
      </c>
      <c r="R124">
        <f t="shared" si="35"/>
        <v>123</v>
      </c>
      <c r="S124" t="str">
        <f t="shared" si="56"/>
        <v>[123] = {</v>
      </c>
      <c r="T124" t="str">
        <f t="shared" si="57"/>
        <v xml:space="preserve">["ID"] = 1879507874; </v>
      </c>
      <c r="U124" t="str">
        <f t="shared" si="58"/>
        <v xml:space="preserve">["ID"] = 1879507874; </v>
      </c>
      <c r="V124" t="str">
        <f t="shared" si="59"/>
        <v/>
      </c>
      <c r="W124" s="1" t="str">
        <f t="shared" si="60"/>
        <v/>
      </c>
      <c r="X124" t="e">
        <f>VLOOKUP(D124,Type!A$2:B$17,2,FALSE)</f>
        <v>#N/A</v>
      </c>
      <c r="Y124" t="e">
        <f t="shared" si="61"/>
        <v>#N/A</v>
      </c>
      <c r="Z124" t="str">
        <f t="shared" si="62"/>
        <v>0</v>
      </c>
      <c r="AA124" t="str">
        <f t="shared" si="63"/>
        <v xml:space="preserve">["VXP"] = 0; </v>
      </c>
      <c r="AB124" t="str">
        <f t="shared" si="64"/>
        <v>0</v>
      </c>
      <c r="AC124" t="str">
        <f t="shared" si="65"/>
        <v xml:space="preserve">["LP"] = 0; </v>
      </c>
      <c r="AD124" t="str">
        <f t="shared" si="66"/>
        <v>0</v>
      </c>
      <c r="AE124" t="str">
        <f t="shared" si="67"/>
        <v xml:space="preserve">["REP"] = 0; </v>
      </c>
      <c r="AF124" t="e">
        <f>VLOOKUP(I124,Faction!A$2:B$77,2,FALSE)</f>
        <v>#N/A</v>
      </c>
      <c r="AG124" t="e">
        <f t="shared" si="68"/>
        <v>#N/A</v>
      </c>
      <c r="AH124" t="str">
        <f t="shared" si="49"/>
        <v xml:space="preserve">["TIER"] = 1; </v>
      </c>
      <c r="AI124" t="str">
        <f t="shared" si="69"/>
        <v xml:space="preserve">["NAME"] = { ["EN"] = "Birds of Anórien: Common and Uncommon"; }; </v>
      </c>
      <c r="AJ124" t="str">
        <f t="shared" si="70"/>
        <v xml:space="preserve">["LORE"] = { ["EN"] = ""; }; </v>
      </c>
      <c r="AK124" t="str">
        <f t="shared" si="71"/>
        <v xml:space="preserve">["SUMMARY"] = { ["EN"] = ""; }; </v>
      </c>
      <c r="AL124" t="str">
        <f t="shared" si="72"/>
        <v/>
      </c>
      <c r="AM124" t="str">
        <f t="shared" si="54"/>
        <v>};</v>
      </c>
    </row>
    <row r="125" spans="1:39" x14ac:dyDescent="0.25">
      <c r="A125">
        <v>1879507878</v>
      </c>
      <c r="C125" t="s">
        <v>294</v>
      </c>
      <c r="L125">
        <v>1</v>
      </c>
      <c r="O125" t="str">
        <f t="shared" si="32"/>
        <v>[1879507878] = 1, // Birds of Anórien: Rare</v>
      </c>
      <c r="P125" t="str">
        <f t="shared" si="33"/>
        <v>[124] = {["ID"] = 1879507878; ["TIER"] = 1; }; -- Birds of Anórien: Rare</v>
      </c>
      <c r="Q125" s="1" t="e">
        <f t="shared" si="55"/>
        <v>#N/A</v>
      </c>
      <c r="R125">
        <f t="shared" si="35"/>
        <v>124</v>
      </c>
      <c r="S125" t="str">
        <f t="shared" si="56"/>
        <v>[124] = {</v>
      </c>
      <c r="T125" t="str">
        <f t="shared" si="57"/>
        <v xml:space="preserve">["ID"] = 1879507878; </v>
      </c>
      <c r="U125" t="str">
        <f t="shared" si="58"/>
        <v xml:space="preserve">["ID"] = 1879507878; </v>
      </c>
      <c r="V125" t="str">
        <f t="shared" si="59"/>
        <v/>
      </c>
      <c r="W125" s="1" t="str">
        <f t="shared" si="60"/>
        <v/>
      </c>
      <c r="X125" t="e">
        <f>VLOOKUP(D125,Type!A$2:B$17,2,FALSE)</f>
        <v>#N/A</v>
      </c>
      <c r="Y125" t="e">
        <f t="shared" si="61"/>
        <v>#N/A</v>
      </c>
      <c r="Z125" t="str">
        <f t="shared" si="62"/>
        <v>0</v>
      </c>
      <c r="AA125" t="str">
        <f t="shared" si="63"/>
        <v xml:space="preserve">["VXP"] = 0; </v>
      </c>
      <c r="AB125" t="str">
        <f t="shared" si="64"/>
        <v>0</v>
      </c>
      <c r="AC125" t="str">
        <f t="shared" si="65"/>
        <v xml:space="preserve">["LP"] = 0; </v>
      </c>
      <c r="AD125" t="str">
        <f t="shared" si="66"/>
        <v>0</v>
      </c>
      <c r="AE125" t="str">
        <f t="shared" si="67"/>
        <v xml:space="preserve">["REP"] = 0; </v>
      </c>
      <c r="AF125" t="e">
        <f>VLOOKUP(I125,Faction!A$2:B$77,2,FALSE)</f>
        <v>#N/A</v>
      </c>
      <c r="AG125" t="e">
        <f t="shared" si="68"/>
        <v>#N/A</v>
      </c>
      <c r="AH125" t="str">
        <f t="shared" si="49"/>
        <v xml:space="preserve">["TIER"] = 1; </v>
      </c>
      <c r="AI125" t="str">
        <f t="shared" si="69"/>
        <v xml:space="preserve">["NAME"] = { ["EN"] = "Birds of Anórien: Rare"; }; </v>
      </c>
      <c r="AJ125" t="str">
        <f t="shared" si="70"/>
        <v xml:space="preserve">["LORE"] = { ["EN"] = ""; }; </v>
      </c>
      <c r="AK125" t="str">
        <f t="shared" si="71"/>
        <v xml:space="preserve">["SUMMARY"] = { ["EN"] = ""; }; </v>
      </c>
      <c r="AL125" t="str">
        <f t="shared" si="72"/>
        <v/>
      </c>
      <c r="AM125" t="str">
        <f t="shared" si="54"/>
        <v>};</v>
      </c>
    </row>
    <row r="126" spans="1:39" x14ac:dyDescent="0.25">
      <c r="A126">
        <v>1879507876</v>
      </c>
      <c r="C126" t="s">
        <v>293</v>
      </c>
      <c r="L126">
        <v>1</v>
      </c>
      <c r="O126" t="str">
        <f t="shared" si="32"/>
        <v>[1879507876] = 1, // The Rarest Bird in Anórien</v>
      </c>
      <c r="P126" t="str">
        <f t="shared" si="33"/>
        <v>[125] = {["ID"] = 1879507876; ["TIER"] = 1; }; -- The Rarest Bird in Anórien</v>
      </c>
      <c r="Q126" s="1" t="e">
        <f t="shared" si="55"/>
        <v>#N/A</v>
      </c>
      <c r="R126">
        <f t="shared" si="35"/>
        <v>125</v>
      </c>
      <c r="S126" t="str">
        <f t="shared" si="56"/>
        <v>[125] = {</v>
      </c>
      <c r="T126" t="str">
        <f t="shared" si="57"/>
        <v xml:space="preserve">["ID"] = 1879507876; </v>
      </c>
      <c r="U126" t="str">
        <f t="shared" si="58"/>
        <v xml:space="preserve">["ID"] = 1879507876; </v>
      </c>
      <c r="V126" t="str">
        <f t="shared" si="59"/>
        <v/>
      </c>
      <c r="W126" s="1" t="str">
        <f t="shared" si="60"/>
        <v/>
      </c>
      <c r="X126" t="e">
        <f>VLOOKUP(D126,Type!A$2:B$17,2,FALSE)</f>
        <v>#N/A</v>
      </c>
      <c r="Y126" t="e">
        <f t="shared" si="61"/>
        <v>#N/A</v>
      </c>
      <c r="Z126" t="str">
        <f t="shared" si="62"/>
        <v>0</v>
      </c>
      <c r="AA126" t="str">
        <f t="shared" si="63"/>
        <v xml:space="preserve">["VXP"] = 0; </v>
      </c>
      <c r="AB126" t="str">
        <f t="shared" si="64"/>
        <v>0</v>
      </c>
      <c r="AC126" t="str">
        <f t="shared" si="65"/>
        <v xml:space="preserve">["LP"] = 0; </v>
      </c>
      <c r="AD126" t="str">
        <f t="shared" si="66"/>
        <v>0</v>
      </c>
      <c r="AE126" t="str">
        <f t="shared" si="67"/>
        <v xml:space="preserve">["REP"] = 0; </v>
      </c>
      <c r="AF126" t="e">
        <f>VLOOKUP(I126,Faction!A$2:B$77,2,FALSE)</f>
        <v>#N/A</v>
      </c>
      <c r="AG126" t="e">
        <f t="shared" si="68"/>
        <v>#N/A</v>
      </c>
      <c r="AH126" t="str">
        <f t="shared" si="49"/>
        <v xml:space="preserve">["TIER"] = 1; </v>
      </c>
      <c r="AI126" t="str">
        <f t="shared" si="69"/>
        <v xml:space="preserve">["NAME"] = { ["EN"] = "The Rarest Bird in Anórien"; }; </v>
      </c>
      <c r="AJ126" t="str">
        <f t="shared" si="70"/>
        <v xml:space="preserve">["LORE"] = { ["EN"] = ""; }; </v>
      </c>
      <c r="AK126" t="str">
        <f t="shared" si="71"/>
        <v xml:space="preserve">["SUMMARY"] = { ["EN"] = ""; }; </v>
      </c>
      <c r="AL126" t="str">
        <f t="shared" si="72"/>
        <v/>
      </c>
      <c r="AM126" t="str">
        <f t="shared" si="54"/>
        <v>};</v>
      </c>
    </row>
    <row r="127" spans="1:39" x14ac:dyDescent="0.25">
      <c r="A127">
        <v>1879507932</v>
      </c>
      <c r="C127" t="s">
        <v>295</v>
      </c>
      <c r="L127">
        <v>0</v>
      </c>
      <c r="O127" t="str">
        <f t="shared" si="32"/>
        <v/>
      </c>
      <c r="P127" t="str">
        <f t="shared" si="33"/>
        <v>[126] = {["ID"] = 1879507932; }; -- All the Birds of the Wastes</v>
      </c>
      <c r="Q127" s="1" t="e">
        <f t="shared" si="55"/>
        <v>#N/A</v>
      </c>
      <c r="R127">
        <f t="shared" si="35"/>
        <v>126</v>
      </c>
      <c r="S127" t="str">
        <f t="shared" si="56"/>
        <v>[126] = {</v>
      </c>
      <c r="T127" t="str">
        <f t="shared" si="57"/>
        <v xml:space="preserve">["ID"] = 1879507932; </v>
      </c>
      <c r="U127" t="str">
        <f t="shared" si="58"/>
        <v xml:space="preserve">["ID"] = 1879507932; </v>
      </c>
      <c r="V127" t="str">
        <f t="shared" si="59"/>
        <v/>
      </c>
      <c r="W127" s="1" t="str">
        <f t="shared" si="60"/>
        <v/>
      </c>
      <c r="X127" t="e">
        <f>VLOOKUP(D127,Type!A$2:B$17,2,FALSE)</f>
        <v>#N/A</v>
      </c>
      <c r="Y127" t="e">
        <f t="shared" si="61"/>
        <v>#N/A</v>
      </c>
      <c r="Z127" t="str">
        <f t="shared" si="62"/>
        <v>0</v>
      </c>
      <c r="AA127" t="str">
        <f t="shared" si="63"/>
        <v xml:space="preserve">["VXP"] = 0; </v>
      </c>
      <c r="AB127" t="str">
        <f t="shared" si="64"/>
        <v>0</v>
      </c>
      <c r="AC127" t="str">
        <f t="shared" si="65"/>
        <v xml:space="preserve">["LP"] = 0; </v>
      </c>
      <c r="AD127" t="str">
        <f t="shared" si="66"/>
        <v>0</v>
      </c>
      <c r="AE127" t="str">
        <f t="shared" si="67"/>
        <v xml:space="preserve">["REP"] = 0; </v>
      </c>
      <c r="AF127" t="e">
        <f>VLOOKUP(I127,Faction!A$2:B$77,2,FALSE)</f>
        <v>#N/A</v>
      </c>
      <c r="AG127" t="e">
        <f t="shared" si="68"/>
        <v>#N/A</v>
      </c>
      <c r="AH127" t="str">
        <f t="shared" si="49"/>
        <v/>
      </c>
      <c r="AI127" t="str">
        <f t="shared" si="69"/>
        <v xml:space="preserve">["NAME"] = { ["EN"] = "All the Birds of the Wastes"; }; </v>
      </c>
      <c r="AJ127" t="str">
        <f t="shared" si="70"/>
        <v xml:space="preserve">["LORE"] = { ["EN"] = ""; }; </v>
      </c>
      <c r="AK127" t="str">
        <f t="shared" si="71"/>
        <v xml:space="preserve">["SUMMARY"] = { ["EN"] = ""; }; </v>
      </c>
      <c r="AL127" t="str">
        <f t="shared" si="72"/>
        <v/>
      </c>
      <c r="AM127" t="str">
        <f t="shared" si="54"/>
        <v>};</v>
      </c>
    </row>
    <row r="128" spans="1:39" x14ac:dyDescent="0.25">
      <c r="A128">
        <v>1879507937</v>
      </c>
      <c r="C128" t="s">
        <v>296</v>
      </c>
      <c r="L128">
        <v>1</v>
      </c>
      <c r="O128" t="str">
        <f t="shared" si="32"/>
        <v>[1879507937] = 1, // Birds of the Wastes: Common and Uncommon</v>
      </c>
      <c r="P128" t="str">
        <f t="shared" si="33"/>
        <v>[127] = {["ID"] = 1879507937; ["TIER"] = 1; }; -- Birds of the Wastes: Common and Uncommon</v>
      </c>
      <c r="Q128" s="1" t="e">
        <f t="shared" si="55"/>
        <v>#N/A</v>
      </c>
      <c r="R128">
        <f t="shared" si="35"/>
        <v>127</v>
      </c>
      <c r="S128" t="str">
        <f t="shared" si="56"/>
        <v>[127] = {</v>
      </c>
      <c r="T128" t="str">
        <f t="shared" si="57"/>
        <v xml:space="preserve">["ID"] = 1879507937; </v>
      </c>
      <c r="U128" t="str">
        <f t="shared" si="58"/>
        <v xml:space="preserve">["ID"] = 1879507937; </v>
      </c>
      <c r="V128" t="str">
        <f t="shared" si="59"/>
        <v/>
      </c>
      <c r="W128" s="1" t="str">
        <f t="shared" si="60"/>
        <v/>
      </c>
      <c r="X128" t="e">
        <f>VLOOKUP(D128,Type!A$2:B$17,2,FALSE)</f>
        <v>#N/A</v>
      </c>
      <c r="Y128" t="e">
        <f t="shared" si="61"/>
        <v>#N/A</v>
      </c>
      <c r="Z128" t="str">
        <f t="shared" si="62"/>
        <v>0</v>
      </c>
      <c r="AA128" t="str">
        <f t="shared" si="63"/>
        <v xml:space="preserve">["VXP"] = 0; </v>
      </c>
      <c r="AB128" t="str">
        <f t="shared" si="64"/>
        <v>0</v>
      </c>
      <c r="AC128" t="str">
        <f t="shared" si="65"/>
        <v xml:space="preserve">["LP"] = 0; </v>
      </c>
      <c r="AD128" t="str">
        <f t="shared" si="66"/>
        <v>0</v>
      </c>
      <c r="AE128" t="str">
        <f t="shared" si="67"/>
        <v xml:space="preserve">["REP"] = 0; </v>
      </c>
      <c r="AF128" t="e">
        <f>VLOOKUP(I128,Faction!A$2:B$77,2,FALSE)</f>
        <v>#N/A</v>
      </c>
      <c r="AG128" t="e">
        <f t="shared" si="68"/>
        <v>#N/A</v>
      </c>
      <c r="AH128" t="str">
        <f t="shared" si="49"/>
        <v xml:space="preserve">["TIER"] = 1; </v>
      </c>
      <c r="AI128" t="str">
        <f t="shared" si="69"/>
        <v xml:space="preserve">["NAME"] = { ["EN"] = "Birds of the Wastes: Common and Uncommon"; }; </v>
      </c>
      <c r="AJ128" t="str">
        <f t="shared" si="70"/>
        <v xml:space="preserve">["LORE"] = { ["EN"] = ""; }; </v>
      </c>
      <c r="AK128" t="str">
        <f t="shared" si="71"/>
        <v xml:space="preserve">["SUMMARY"] = { ["EN"] = ""; }; </v>
      </c>
      <c r="AL128" t="str">
        <f t="shared" si="72"/>
        <v/>
      </c>
      <c r="AM128" t="str">
        <f t="shared" si="54"/>
        <v>};</v>
      </c>
    </row>
    <row r="129" spans="1:39" x14ac:dyDescent="0.25">
      <c r="A129">
        <v>1879507935</v>
      </c>
      <c r="C129" t="s">
        <v>297</v>
      </c>
      <c r="L129">
        <v>1</v>
      </c>
      <c r="O129" t="str">
        <f t="shared" si="32"/>
        <v>[1879507935] = 1, // Birds of the Wastes: Rare</v>
      </c>
      <c r="P129" t="str">
        <f t="shared" si="33"/>
        <v>[128] = {["ID"] = 1879507935; ["TIER"] = 1; }; -- Birds of the Wastes: Rare</v>
      </c>
      <c r="Q129" s="1" t="e">
        <f t="shared" si="55"/>
        <v>#N/A</v>
      </c>
      <c r="R129">
        <f t="shared" si="35"/>
        <v>128</v>
      </c>
      <c r="S129" t="str">
        <f t="shared" si="56"/>
        <v>[128] = {</v>
      </c>
      <c r="T129" t="str">
        <f t="shared" si="57"/>
        <v xml:space="preserve">["ID"] = 1879507935; </v>
      </c>
      <c r="U129" t="str">
        <f t="shared" si="58"/>
        <v xml:space="preserve">["ID"] = 1879507935; </v>
      </c>
      <c r="V129" t="str">
        <f t="shared" si="59"/>
        <v/>
      </c>
      <c r="W129" s="1" t="str">
        <f t="shared" si="60"/>
        <v/>
      </c>
      <c r="X129" t="e">
        <f>VLOOKUP(D129,Type!A$2:B$17,2,FALSE)</f>
        <v>#N/A</v>
      </c>
      <c r="Y129" t="e">
        <f t="shared" si="61"/>
        <v>#N/A</v>
      </c>
      <c r="Z129" t="str">
        <f t="shared" si="62"/>
        <v>0</v>
      </c>
      <c r="AA129" t="str">
        <f t="shared" si="63"/>
        <v xml:space="preserve">["VXP"] = 0; </v>
      </c>
      <c r="AB129" t="str">
        <f t="shared" si="64"/>
        <v>0</v>
      </c>
      <c r="AC129" t="str">
        <f t="shared" si="65"/>
        <v xml:space="preserve">["LP"] = 0; </v>
      </c>
      <c r="AD129" t="str">
        <f t="shared" si="66"/>
        <v>0</v>
      </c>
      <c r="AE129" t="str">
        <f t="shared" si="67"/>
        <v xml:space="preserve">["REP"] = 0; </v>
      </c>
      <c r="AF129" t="e">
        <f>VLOOKUP(I129,Faction!A$2:B$77,2,FALSE)</f>
        <v>#N/A</v>
      </c>
      <c r="AG129" t="e">
        <f t="shared" si="68"/>
        <v>#N/A</v>
      </c>
      <c r="AH129" t="str">
        <f t="shared" si="49"/>
        <v xml:space="preserve">["TIER"] = 1; </v>
      </c>
      <c r="AI129" t="str">
        <f t="shared" si="69"/>
        <v xml:space="preserve">["NAME"] = { ["EN"] = "Birds of the Wastes: Rare"; }; </v>
      </c>
      <c r="AJ129" t="str">
        <f t="shared" si="70"/>
        <v xml:space="preserve">["LORE"] = { ["EN"] = ""; }; </v>
      </c>
      <c r="AK129" t="str">
        <f t="shared" si="71"/>
        <v xml:space="preserve">["SUMMARY"] = { ["EN"] = ""; }; </v>
      </c>
      <c r="AL129" t="str">
        <f t="shared" si="72"/>
        <v/>
      </c>
      <c r="AM129" t="str">
        <f t="shared" si="54"/>
        <v>};</v>
      </c>
    </row>
    <row r="130" spans="1:39" x14ac:dyDescent="0.25">
      <c r="A130">
        <v>1879507933</v>
      </c>
      <c r="C130" t="s">
        <v>298</v>
      </c>
      <c r="L130">
        <v>1</v>
      </c>
      <c r="O130" t="str">
        <f t="shared" si="32"/>
        <v>[1879507933] = 1, // The Rarest Bird in the Wastes</v>
      </c>
      <c r="P130" t="str">
        <f t="shared" si="33"/>
        <v>[129] = {["ID"] = 1879507933; ["TIER"] = 1; }; -- The Rarest Bird in the Wastes</v>
      </c>
      <c r="Q130" s="1" t="e">
        <f t="shared" si="55"/>
        <v>#N/A</v>
      </c>
      <c r="R130">
        <f t="shared" si="35"/>
        <v>129</v>
      </c>
      <c r="S130" t="str">
        <f t="shared" si="56"/>
        <v>[129] = {</v>
      </c>
      <c r="T130" t="str">
        <f t="shared" si="57"/>
        <v xml:space="preserve">["ID"] = 1879507933; </v>
      </c>
      <c r="U130" t="str">
        <f t="shared" si="58"/>
        <v xml:space="preserve">["ID"] = 1879507933; </v>
      </c>
      <c r="V130" t="str">
        <f t="shared" si="59"/>
        <v/>
      </c>
      <c r="W130" s="1" t="str">
        <f t="shared" si="60"/>
        <v/>
      </c>
      <c r="X130" t="e">
        <f>VLOOKUP(D130,Type!A$2:B$17,2,FALSE)</f>
        <v>#N/A</v>
      </c>
      <c r="Y130" t="e">
        <f t="shared" si="61"/>
        <v>#N/A</v>
      </c>
      <c r="Z130" t="str">
        <f t="shared" si="62"/>
        <v>0</v>
      </c>
      <c r="AA130" t="str">
        <f t="shared" si="63"/>
        <v xml:space="preserve">["VXP"] = 0; </v>
      </c>
      <c r="AB130" t="str">
        <f t="shared" si="64"/>
        <v>0</v>
      </c>
      <c r="AC130" t="str">
        <f t="shared" si="65"/>
        <v xml:space="preserve">["LP"] = 0; </v>
      </c>
      <c r="AD130" t="str">
        <f t="shared" si="66"/>
        <v>0</v>
      </c>
      <c r="AE130" t="str">
        <f t="shared" si="67"/>
        <v xml:space="preserve">["REP"] = 0; </v>
      </c>
      <c r="AF130" t="e">
        <f>VLOOKUP(I130,Faction!A$2:B$77,2,FALSE)</f>
        <v>#N/A</v>
      </c>
      <c r="AG130" t="e">
        <f t="shared" si="68"/>
        <v>#N/A</v>
      </c>
      <c r="AH130" t="str">
        <f t="shared" si="49"/>
        <v xml:space="preserve">["TIER"] = 1; </v>
      </c>
      <c r="AI130" t="str">
        <f t="shared" si="69"/>
        <v xml:space="preserve">["NAME"] = { ["EN"] = "The Rarest Bird in the Wastes"; }; </v>
      </c>
      <c r="AJ130" t="str">
        <f t="shared" si="70"/>
        <v xml:space="preserve">["LORE"] = { ["EN"] = ""; }; </v>
      </c>
      <c r="AK130" t="str">
        <f t="shared" si="71"/>
        <v xml:space="preserve">["SUMMARY"] = { ["EN"] = ""; }; </v>
      </c>
      <c r="AL130" t="str">
        <f t="shared" si="72"/>
        <v/>
      </c>
      <c r="AM130" t="str">
        <f t="shared" si="54"/>
        <v>};</v>
      </c>
    </row>
    <row r="131" spans="1:39" x14ac:dyDescent="0.25">
      <c r="A131">
        <v>1879507931</v>
      </c>
      <c r="C131" t="s">
        <v>299</v>
      </c>
      <c r="L131">
        <v>0</v>
      </c>
      <c r="O131" t="str">
        <f t="shared" ref="O131:O140" si="73">IF(AND(A131&gt;0,L131&gt;0),CONCATENATE("[",A131,"] = ",L131,", // ",C131),"")</f>
        <v/>
      </c>
      <c r="P131" t="str">
        <f t="shared" ref="P131:P140" si="74">CONCATENATE(S131,U131,V131,AH131,AM131," -- ",C131)</f>
        <v>[130] = {["ID"] = 1879507931; }; -- All the Birds of Lhingris</v>
      </c>
      <c r="Q131" s="1" t="e">
        <f t="shared" si="55"/>
        <v>#N/A</v>
      </c>
      <c r="R131">
        <f t="shared" ref="R131:R140" si="75">ROW()-1</f>
        <v>130</v>
      </c>
      <c r="S131" t="str">
        <f t="shared" si="56"/>
        <v>[130] = {</v>
      </c>
      <c r="T131" t="str">
        <f t="shared" si="57"/>
        <v xml:space="preserve">["ID"] = 1879507931; </v>
      </c>
      <c r="U131" t="str">
        <f t="shared" si="58"/>
        <v xml:space="preserve">["ID"] = 1879507931; </v>
      </c>
      <c r="V131" t="str">
        <f t="shared" si="59"/>
        <v/>
      </c>
      <c r="W131" s="1" t="str">
        <f t="shared" si="60"/>
        <v/>
      </c>
      <c r="X131" t="e">
        <f>VLOOKUP(D131,Type!A$2:B$17,2,FALSE)</f>
        <v>#N/A</v>
      </c>
      <c r="Y131" t="e">
        <f t="shared" si="61"/>
        <v>#N/A</v>
      </c>
      <c r="Z131" t="str">
        <f t="shared" si="62"/>
        <v>0</v>
      </c>
      <c r="AA131" t="str">
        <f t="shared" si="63"/>
        <v xml:space="preserve">["VXP"] = 0; </v>
      </c>
      <c r="AB131" t="str">
        <f t="shared" si="64"/>
        <v>0</v>
      </c>
      <c r="AC131" t="str">
        <f t="shared" si="65"/>
        <v xml:space="preserve">["LP"] = 0; </v>
      </c>
      <c r="AD131" t="str">
        <f t="shared" si="66"/>
        <v>0</v>
      </c>
      <c r="AE131" t="str">
        <f t="shared" si="67"/>
        <v xml:space="preserve">["REP"] = 0; </v>
      </c>
      <c r="AF131" t="e">
        <f>VLOOKUP(I131,Faction!A$2:B$77,2,FALSE)</f>
        <v>#N/A</v>
      </c>
      <c r="AG131" t="e">
        <f t="shared" si="68"/>
        <v>#N/A</v>
      </c>
      <c r="AH131" t="str">
        <f t="shared" ref="AH131:AH140" si="76">IF(L131&gt;0,CONCATENATE("[""TIER""] = ",TEXT(L131,"0"),"; "),"")</f>
        <v/>
      </c>
      <c r="AI131" t="str">
        <f t="shared" si="69"/>
        <v xml:space="preserve">["NAME"] = { ["EN"] = "All the Birds of Lhingris"; }; </v>
      </c>
      <c r="AJ131" t="str">
        <f t="shared" si="70"/>
        <v xml:space="preserve">["LORE"] = { ["EN"] = ""; }; </v>
      </c>
      <c r="AK131" t="str">
        <f t="shared" si="71"/>
        <v xml:space="preserve">["SUMMARY"] = { ["EN"] = ""; }; </v>
      </c>
      <c r="AL131" t="str">
        <f t="shared" si="72"/>
        <v/>
      </c>
      <c r="AM131" t="str">
        <f t="shared" ref="AM131:AM140" si="77">CONCATENATE("};")</f>
        <v>};</v>
      </c>
    </row>
    <row r="132" spans="1:39" x14ac:dyDescent="0.25">
      <c r="A132">
        <v>1879507936</v>
      </c>
      <c r="C132" t="s">
        <v>300</v>
      </c>
      <c r="L132">
        <v>1</v>
      </c>
      <c r="O132" t="str">
        <f t="shared" si="73"/>
        <v>[1879507936] = 1, // Birds of Lhingris: Common and Uncommon</v>
      </c>
      <c r="P132" t="str">
        <f t="shared" si="74"/>
        <v>[131] = {["ID"] = 1879507936; ["TIER"] = 1; }; -- Birds of Lhingris: Common and Uncommon</v>
      </c>
      <c r="Q132" s="1" t="e">
        <f t="shared" si="55"/>
        <v>#N/A</v>
      </c>
      <c r="R132">
        <f t="shared" si="75"/>
        <v>131</v>
      </c>
      <c r="S132" t="str">
        <f t="shared" si="56"/>
        <v>[131] = {</v>
      </c>
      <c r="T132" t="str">
        <f t="shared" si="57"/>
        <v xml:space="preserve">["ID"] = 1879507936; </v>
      </c>
      <c r="U132" t="str">
        <f t="shared" si="58"/>
        <v xml:space="preserve">["ID"] = 1879507936; </v>
      </c>
      <c r="V132" t="str">
        <f t="shared" si="59"/>
        <v/>
      </c>
      <c r="W132" s="1" t="str">
        <f t="shared" si="60"/>
        <v/>
      </c>
      <c r="X132" t="e">
        <f>VLOOKUP(D132,Type!A$2:B$17,2,FALSE)</f>
        <v>#N/A</v>
      </c>
      <c r="Y132" t="e">
        <f t="shared" si="61"/>
        <v>#N/A</v>
      </c>
      <c r="Z132" t="str">
        <f t="shared" si="62"/>
        <v>0</v>
      </c>
      <c r="AA132" t="str">
        <f t="shared" si="63"/>
        <v xml:space="preserve">["VXP"] = 0; </v>
      </c>
      <c r="AB132" t="str">
        <f t="shared" si="64"/>
        <v>0</v>
      </c>
      <c r="AC132" t="str">
        <f t="shared" si="65"/>
        <v xml:space="preserve">["LP"] = 0; </v>
      </c>
      <c r="AD132" t="str">
        <f t="shared" si="66"/>
        <v>0</v>
      </c>
      <c r="AE132" t="str">
        <f t="shared" si="67"/>
        <v xml:space="preserve">["REP"] = 0; </v>
      </c>
      <c r="AF132" t="e">
        <f>VLOOKUP(I132,Faction!A$2:B$77,2,FALSE)</f>
        <v>#N/A</v>
      </c>
      <c r="AG132" t="e">
        <f t="shared" si="68"/>
        <v>#N/A</v>
      </c>
      <c r="AH132" t="str">
        <f t="shared" si="76"/>
        <v xml:space="preserve">["TIER"] = 1; </v>
      </c>
      <c r="AI132" t="str">
        <f t="shared" si="69"/>
        <v xml:space="preserve">["NAME"] = { ["EN"] = "Birds of Lhingris: Common and Uncommon"; }; </v>
      </c>
      <c r="AJ132" t="str">
        <f t="shared" si="70"/>
        <v xml:space="preserve">["LORE"] = { ["EN"] = ""; }; </v>
      </c>
      <c r="AK132" t="str">
        <f t="shared" si="71"/>
        <v xml:space="preserve">["SUMMARY"] = { ["EN"] = ""; }; </v>
      </c>
      <c r="AL132" t="str">
        <f t="shared" si="72"/>
        <v/>
      </c>
      <c r="AM132" t="str">
        <f t="shared" si="77"/>
        <v>};</v>
      </c>
    </row>
    <row r="133" spans="1:39" x14ac:dyDescent="0.25">
      <c r="A133">
        <v>1879507934</v>
      </c>
      <c r="C133" t="s">
        <v>301</v>
      </c>
      <c r="L133">
        <v>1</v>
      </c>
      <c r="O133" t="str">
        <f t="shared" si="73"/>
        <v>[1879507934] = 1, // Birds of Lhingris: Rare</v>
      </c>
      <c r="P133" t="str">
        <f t="shared" si="74"/>
        <v>[132] = {["ID"] = 1879507934; ["TIER"] = 1; }; -- Birds of Lhingris: Rare</v>
      </c>
      <c r="Q133" s="1" t="e">
        <f t="shared" si="55"/>
        <v>#N/A</v>
      </c>
      <c r="R133">
        <f t="shared" si="75"/>
        <v>132</v>
      </c>
      <c r="S133" t="str">
        <f t="shared" si="56"/>
        <v>[132] = {</v>
      </c>
      <c r="T133" t="str">
        <f t="shared" si="57"/>
        <v xml:space="preserve">["ID"] = 1879507934; </v>
      </c>
      <c r="U133" t="str">
        <f t="shared" si="58"/>
        <v xml:space="preserve">["ID"] = 1879507934; </v>
      </c>
      <c r="V133" t="str">
        <f t="shared" si="59"/>
        <v/>
      </c>
      <c r="W133" s="1" t="str">
        <f t="shared" si="60"/>
        <v/>
      </c>
      <c r="X133" t="e">
        <f>VLOOKUP(D133,Type!A$2:B$17,2,FALSE)</f>
        <v>#N/A</v>
      </c>
      <c r="Y133" t="e">
        <f t="shared" si="61"/>
        <v>#N/A</v>
      </c>
      <c r="Z133" t="str">
        <f t="shared" si="62"/>
        <v>0</v>
      </c>
      <c r="AA133" t="str">
        <f t="shared" si="63"/>
        <v xml:space="preserve">["VXP"] = 0; </v>
      </c>
      <c r="AB133" t="str">
        <f t="shared" si="64"/>
        <v>0</v>
      </c>
      <c r="AC133" t="str">
        <f t="shared" si="65"/>
        <v xml:space="preserve">["LP"] = 0; </v>
      </c>
      <c r="AD133" t="str">
        <f t="shared" si="66"/>
        <v>0</v>
      </c>
      <c r="AE133" t="str">
        <f t="shared" si="67"/>
        <v xml:space="preserve">["REP"] = 0; </v>
      </c>
      <c r="AF133" t="e">
        <f>VLOOKUP(I133,Faction!A$2:B$77,2,FALSE)</f>
        <v>#N/A</v>
      </c>
      <c r="AG133" t="e">
        <f t="shared" si="68"/>
        <v>#N/A</v>
      </c>
      <c r="AH133" t="str">
        <f t="shared" si="76"/>
        <v xml:space="preserve">["TIER"] = 1; </v>
      </c>
      <c r="AI133" t="str">
        <f t="shared" si="69"/>
        <v xml:space="preserve">["NAME"] = { ["EN"] = "Birds of Lhingris: Rare"; }; </v>
      </c>
      <c r="AJ133" t="str">
        <f t="shared" si="70"/>
        <v xml:space="preserve">["LORE"] = { ["EN"] = ""; }; </v>
      </c>
      <c r="AK133" t="str">
        <f t="shared" si="71"/>
        <v xml:space="preserve">["SUMMARY"] = { ["EN"] = ""; }; </v>
      </c>
      <c r="AL133" t="str">
        <f t="shared" si="72"/>
        <v/>
      </c>
      <c r="AM133" t="str">
        <f t="shared" si="77"/>
        <v>};</v>
      </c>
    </row>
    <row r="134" spans="1:39" x14ac:dyDescent="0.25">
      <c r="A134">
        <v>1879507938</v>
      </c>
      <c r="C134" t="s">
        <v>302</v>
      </c>
      <c r="L134">
        <v>1</v>
      </c>
      <c r="O134" t="str">
        <f t="shared" si="73"/>
        <v>[1879507938] = 1, // The Rarest Bird in Lhingris</v>
      </c>
      <c r="P134" t="str">
        <f t="shared" si="74"/>
        <v>[133] = {["ID"] = 1879507938; ["TIER"] = 1; }; -- The Rarest Bird in Lhingris</v>
      </c>
      <c r="Q134" s="1" t="e">
        <f t="shared" si="55"/>
        <v>#N/A</v>
      </c>
      <c r="R134">
        <f t="shared" si="75"/>
        <v>133</v>
      </c>
      <c r="S134" t="str">
        <f t="shared" si="56"/>
        <v>[133] = {</v>
      </c>
      <c r="T134" t="str">
        <f t="shared" si="57"/>
        <v xml:space="preserve">["ID"] = 1879507938; </v>
      </c>
      <c r="U134" t="str">
        <f t="shared" si="58"/>
        <v xml:space="preserve">["ID"] = 1879507938; </v>
      </c>
      <c r="V134" t="str">
        <f t="shared" si="59"/>
        <v/>
      </c>
      <c r="W134" s="1" t="str">
        <f t="shared" si="60"/>
        <v/>
      </c>
      <c r="X134" t="e">
        <f>VLOOKUP(D134,Type!A$2:B$17,2,FALSE)</f>
        <v>#N/A</v>
      </c>
      <c r="Y134" t="e">
        <f t="shared" si="61"/>
        <v>#N/A</v>
      </c>
      <c r="Z134" t="str">
        <f t="shared" si="62"/>
        <v>0</v>
      </c>
      <c r="AA134" t="str">
        <f t="shared" si="63"/>
        <v xml:space="preserve">["VXP"] = 0; </v>
      </c>
      <c r="AB134" t="str">
        <f t="shared" si="64"/>
        <v>0</v>
      </c>
      <c r="AC134" t="str">
        <f t="shared" si="65"/>
        <v xml:space="preserve">["LP"] = 0; </v>
      </c>
      <c r="AD134" t="str">
        <f t="shared" si="66"/>
        <v>0</v>
      </c>
      <c r="AE134" t="str">
        <f t="shared" si="67"/>
        <v xml:space="preserve">["REP"] = 0; </v>
      </c>
      <c r="AF134" t="e">
        <f>VLOOKUP(I134,Faction!A$2:B$77,2,FALSE)</f>
        <v>#N/A</v>
      </c>
      <c r="AG134" t="e">
        <f t="shared" si="68"/>
        <v>#N/A</v>
      </c>
      <c r="AH134" t="str">
        <f t="shared" si="76"/>
        <v xml:space="preserve">["TIER"] = 1; </v>
      </c>
      <c r="AI134" t="str">
        <f t="shared" si="69"/>
        <v xml:space="preserve">["NAME"] = { ["EN"] = "The Rarest Bird in Lhingris"; }; </v>
      </c>
      <c r="AJ134" t="str">
        <f t="shared" si="70"/>
        <v xml:space="preserve">["LORE"] = { ["EN"] = ""; }; </v>
      </c>
      <c r="AK134" t="str">
        <f t="shared" si="71"/>
        <v xml:space="preserve">["SUMMARY"] = { ["EN"] = ""; }; </v>
      </c>
      <c r="AL134" t="str">
        <f t="shared" si="72"/>
        <v/>
      </c>
      <c r="AM134" t="str">
        <f t="shared" si="77"/>
        <v>};</v>
      </c>
    </row>
    <row r="135" spans="1:39" x14ac:dyDescent="0.25">
      <c r="A135">
        <v>1879507939</v>
      </c>
      <c r="C135" t="s">
        <v>303</v>
      </c>
      <c r="L135">
        <v>0</v>
      </c>
      <c r="O135" t="str">
        <f t="shared" si="73"/>
        <v/>
      </c>
      <c r="P135" t="str">
        <f t="shared" si="74"/>
        <v>[134] = {["ID"] = 1879507939; }; -- All the Birds of Agarnaith</v>
      </c>
      <c r="Q135" s="1" t="e">
        <f t="shared" si="55"/>
        <v>#N/A</v>
      </c>
      <c r="R135">
        <f t="shared" si="75"/>
        <v>134</v>
      </c>
      <c r="S135" t="str">
        <f t="shared" si="56"/>
        <v>[134] = {</v>
      </c>
      <c r="T135" t="str">
        <f t="shared" si="57"/>
        <v xml:space="preserve">["ID"] = 1879507939; </v>
      </c>
      <c r="U135" t="str">
        <f t="shared" si="58"/>
        <v xml:space="preserve">["ID"] = 1879507939; </v>
      </c>
      <c r="V135" t="str">
        <f t="shared" si="59"/>
        <v/>
      </c>
      <c r="W135" s="1" t="str">
        <f t="shared" si="60"/>
        <v/>
      </c>
      <c r="X135" t="e">
        <f>VLOOKUP(D135,Type!A$2:B$17,2,FALSE)</f>
        <v>#N/A</v>
      </c>
      <c r="Y135" t="e">
        <f t="shared" si="61"/>
        <v>#N/A</v>
      </c>
      <c r="Z135" t="str">
        <f t="shared" si="62"/>
        <v>0</v>
      </c>
      <c r="AA135" t="str">
        <f t="shared" si="63"/>
        <v xml:space="preserve">["VXP"] = 0; </v>
      </c>
      <c r="AB135" t="str">
        <f t="shared" si="64"/>
        <v>0</v>
      </c>
      <c r="AC135" t="str">
        <f t="shared" si="65"/>
        <v xml:space="preserve">["LP"] = 0; </v>
      </c>
      <c r="AD135" t="str">
        <f t="shared" si="66"/>
        <v>0</v>
      </c>
      <c r="AE135" t="str">
        <f t="shared" si="67"/>
        <v xml:space="preserve">["REP"] = 0; </v>
      </c>
      <c r="AF135" t="e">
        <f>VLOOKUP(I135,Faction!A$2:B$77,2,FALSE)</f>
        <v>#N/A</v>
      </c>
      <c r="AG135" t="e">
        <f t="shared" si="68"/>
        <v>#N/A</v>
      </c>
      <c r="AH135" t="str">
        <f t="shared" si="76"/>
        <v/>
      </c>
      <c r="AI135" t="str">
        <f t="shared" si="69"/>
        <v xml:space="preserve">["NAME"] = { ["EN"] = "All the Birds of Agarnaith"; }; </v>
      </c>
      <c r="AJ135" t="str">
        <f t="shared" si="70"/>
        <v xml:space="preserve">["LORE"] = { ["EN"] = ""; }; </v>
      </c>
      <c r="AK135" t="str">
        <f t="shared" si="71"/>
        <v xml:space="preserve">["SUMMARY"] = { ["EN"] = ""; }; </v>
      </c>
      <c r="AL135" t="str">
        <f t="shared" si="72"/>
        <v/>
      </c>
      <c r="AM135" t="str">
        <f t="shared" si="77"/>
        <v>};</v>
      </c>
    </row>
    <row r="136" spans="1:39" x14ac:dyDescent="0.25">
      <c r="A136">
        <v>1879507940</v>
      </c>
      <c r="C136" t="s">
        <v>304</v>
      </c>
      <c r="L136">
        <v>1</v>
      </c>
      <c r="O136" t="str">
        <f t="shared" si="73"/>
        <v>[1879507940] = 1, // Birds of Agarnaith: Common and Uncommon</v>
      </c>
      <c r="P136" t="str">
        <f t="shared" si="74"/>
        <v>[135] = {["ID"] = 1879507940; ["TIER"] = 1; }; -- Birds of Agarnaith: Common and Uncommon</v>
      </c>
      <c r="Q136" s="1" t="e">
        <f t="shared" si="55"/>
        <v>#N/A</v>
      </c>
      <c r="R136">
        <f t="shared" si="75"/>
        <v>135</v>
      </c>
      <c r="S136" t="str">
        <f t="shared" si="56"/>
        <v>[135] = {</v>
      </c>
      <c r="T136" t="str">
        <f t="shared" si="57"/>
        <v xml:space="preserve">["ID"] = 1879507940; </v>
      </c>
      <c r="U136" t="str">
        <f t="shared" si="58"/>
        <v xml:space="preserve">["ID"] = 1879507940; </v>
      </c>
      <c r="V136" t="str">
        <f t="shared" si="59"/>
        <v/>
      </c>
      <c r="W136" s="1" t="str">
        <f t="shared" si="60"/>
        <v/>
      </c>
      <c r="X136" t="e">
        <f>VLOOKUP(D136,Type!A$2:B$17,2,FALSE)</f>
        <v>#N/A</v>
      </c>
      <c r="Y136" t="e">
        <f t="shared" si="61"/>
        <v>#N/A</v>
      </c>
      <c r="Z136" t="str">
        <f t="shared" si="62"/>
        <v>0</v>
      </c>
      <c r="AA136" t="str">
        <f t="shared" si="63"/>
        <v xml:space="preserve">["VXP"] = 0; </v>
      </c>
      <c r="AB136" t="str">
        <f t="shared" si="64"/>
        <v>0</v>
      </c>
      <c r="AC136" t="str">
        <f t="shared" si="65"/>
        <v xml:space="preserve">["LP"] = 0; </v>
      </c>
      <c r="AD136" t="str">
        <f t="shared" si="66"/>
        <v>0</v>
      </c>
      <c r="AE136" t="str">
        <f t="shared" si="67"/>
        <v xml:space="preserve">["REP"] = 0; </v>
      </c>
      <c r="AF136" t="e">
        <f>VLOOKUP(I136,Faction!A$2:B$77,2,FALSE)</f>
        <v>#N/A</v>
      </c>
      <c r="AG136" t="e">
        <f t="shared" si="68"/>
        <v>#N/A</v>
      </c>
      <c r="AH136" t="str">
        <f t="shared" si="76"/>
        <v xml:space="preserve">["TIER"] = 1; </v>
      </c>
      <c r="AI136" t="str">
        <f t="shared" si="69"/>
        <v xml:space="preserve">["NAME"] = { ["EN"] = "Birds of Agarnaith: Common and Uncommon"; }; </v>
      </c>
      <c r="AJ136" t="str">
        <f t="shared" si="70"/>
        <v xml:space="preserve">["LORE"] = { ["EN"] = ""; }; </v>
      </c>
      <c r="AK136" t="str">
        <f t="shared" si="71"/>
        <v xml:space="preserve">["SUMMARY"] = { ["EN"] = ""; }; </v>
      </c>
      <c r="AL136" t="str">
        <f t="shared" si="72"/>
        <v/>
      </c>
      <c r="AM136" t="str">
        <f t="shared" si="77"/>
        <v>};</v>
      </c>
    </row>
    <row r="137" spans="1:39" x14ac:dyDescent="0.25">
      <c r="A137">
        <v>1879507942</v>
      </c>
      <c r="C137" t="s">
        <v>306</v>
      </c>
      <c r="L137">
        <v>1</v>
      </c>
      <c r="O137" t="str">
        <f t="shared" si="73"/>
        <v>[1879507942] = 1, // Birds of Agarnaith: Rare</v>
      </c>
      <c r="P137" t="str">
        <f t="shared" si="74"/>
        <v>[136] = {["ID"] = 1879507942; ["TIER"] = 1; }; -- Birds of Agarnaith: Rare</v>
      </c>
      <c r="Q137" s="1" t="e">
        <f t="shared" si="55"/>
        <v>#N/A</v>
      </c>
      <c r="R137">
        <f t="shared" si="75"/>
        <v>136</v>
      </c>
      <c r="S137" t="str">
        <f t="shared" si="56"/>
        <v>[136] = {</v>
      </c>
      <c r="T137" t="str">
        <f t="shared" si="57"/>
        <v xml:space="preserve">["ID"] = 1879507942; </v>
      </c>
      <c r="U137" t="str">
        <f t="shared" si="58"/>
        <v xml:space="preserve">["ID"] = 1879507942; </v>
      </c>
      <c r="V137" t="str">
        <f t="shared" si="59"/>
        <v/>
      </c>
      <c r="W137" s="1" t="str">
        <f t="shared" si="60"/>
        <v/>
      </c>
      <c r="X137" t="e">
        <f>VLOOKUP(D137,Type!A$2:B$17,2,FALSE)</f>
        <v>#N/A</v>
      </c>
      <c r="Y137" t="e">
        <f t="shared" si="61"/>
        <v>#N/A</v>
      </c>
      <c r="Z137" t="str">
        <f t="shared" si="62"/>
        <v>0</v>
      </c>
      <c r="AA137" t="str">
        <f t="shared" si="63"/>
        <v xml:space="preserve">["VXP"] = 0; </v>
      </c>
      <c r="AB137" t="str">
        <f t="shared" si="64"/>
        <v>0</v>
      </c>
      <c r="AC137" t="str">
        <f t="shared" si="65"/>
        <v xml:space="preserve">["LP"] = 0; </v>
      </c>
      <c r="AD137" t="str">
        <f t="shared" si="66"/>
        <v>0</v>
      </c>
      <c r="AE137" t="str">
        <f t="shared" si="67"/>
        <v xml:space="preserve">["REP"] = 0; </v>
      </c>
      <c r="AF137" t="e">
        <f>VLOOKUP(I137,Faction!A$2:B$77,2,FALSE)</f>
        <v>#N/A</v>
      </c>
      <c r="AG137" t="e">
        <f t="shared" si="68"/>
        <v>#N/A</v>
      </c>
      <c r="AH137" t="str">
        <f t="shared" si="76"/>
        <v xml:space="preserve">["TIER"] = 1; </v>
      </c>
      <c r="AI137" t="str">
        <f t="shared" si="69"/>
        <v xml:space="preserve">["NAME"] = { ["EN"] = "Birds of Agarnaith: Rare"; }; </v>
      </c>
      <c r="AJ137" t="str">
        <f t="shared" si="70"/>
        <v xml:space="preserve">["LORE"] = { ["EN"] = ""; }; </v>
      </c>
      <c r="AK137" t="str">
        <f t="shared" si="71"/>
        <v xml:space="preserve">["SUMMARY"] = { ["EN"] = ""; }; </v>
      </c>
      <c r="AL137" t="str">
        <f t="shared" si="72"/>
        <v/>
      </c>
      <c r="AM137" t="str">
        <f t="shared" si="77"/>
        <v>};</v>
      </c>
    </row>
    <row r="138" spans="1:39" x14ac:dyDescent="0.25">
      <c r="A138">
        <v>1879507943</v>
      </c>
      <c r="C138" t="s">
        <v>307</v>
      </c>
      <c r="L138">
        <v>1</v>
      </c>
      <c r="O138" t="str">
        <f t="shared" si="73"/>
        <v>[1879507943] = 1, // The Rarest Bird in Agarnaith</v>
      </c>
      <c r="P138" t="str">
        <f t="shared" si="74"/>
        <v>[137] = {["ID"] = 1879507943; ["TIER"] = 1; }; -- The Rarest Bird in Agarnaith</v>
      </c>
      <c r="Q138" s="1" t="e">
        <f t="shared" si="55"/>
        <v>#N/A</v>
      </c>
      <c r="R138">
        <f t="shared" si="75"/>
        <v>137</v>
      </c>
      <c r="S138" t="str">
        <f t="shared" si="56"/>
        <v>[137] = {</v>
      </c>
      <c r="T138" t="str">
        <f t="shared" si="57"/>
        <v xml:space="preserve">["ID"] = 1879507943; </v>
      </c>
      <c r="U138" t="str">
        <f t="shared" si="58"/>
        <v xml:space="preserve">["ID"] = 1879507943; </v>
      </c>
      <c r="V138" t="str">
        <f t="shared" si="59"/>
        <v/>
      </c>
      <c r="W138" s="1" t="str">
        <f t="shared" si="60"/>
        <v/>
      </c>
      <c r="X138" t="e">
        <f>VLOOKUP(D138,Type!A$2:B$17,2,FALSE)</f>
        <v>#N/A</v>
      </c>
      <c r="Y138" t="e">
        <f t="shared" si="61"/>
        <v>#N/A</v>
      </c>
      <c r="Z138" t="str">
        <f t="shared" si="62"/>
        <v>0</v>
      </c>
      <c r="AA138" t="str">
        <f t="shared" si="63"/>
        <v xml:space="preserve">["VXP"] = 0; </v>
      </c>
      <c r="AB138" t="str">
        <f t="shared" si="64"/>
        <v>0</v>
      </c>
      <c r="AC138" t="str">
        <f t="shared" si="65"/>
        <v xml:space="preserve">["LP"] = 0; </v>
      </c>
      <c r="AD138" t="str">
        <f t="shared" si="66"/>
        <v>0</v>
      </c>
      <c r="AE138" t="str">
        <f t="shared" si="67"/>
        <v xml:space="preserve">["REP"] = 0; </v>
      </c>
      <c r="AF138" t="e">
        <f>VLOOKUP(I138,Faction!A$2:B$77,2,FALSE)</f>
        <v>#N/A</v>
      </c>
      <c r="AG138" t="e">
        <f t="shared" si="68"/>
        <v>#N/A</v>
      </c>
      <c r="AH138" t="str">
        <f t="shared" si="76"/>
        <v xml:space="preserve">["TIER"] = 1; </v>
      </c>
      <c r="AI138" t="str">
        <f t="shared" si="69"/>
        <v xml:space="preserve">["NAME"] = { ["EN"] = "The Rarest Bird in Agarnaith"; }; </v>
      </c>
      <c r="AJ138" t="str">
        <f t="shared" si="70"/>
        <v xml:space="preserve">["LORE"] = { ["EN"] = ""; }; </v>
      </c>
      <c r="AK138" t="str">
        <f t="shared" si="71"/>
        <v xml:space="preserve">["SUMMARY"] = { ["EN"] = ""; }; </v>
      </c>
      <c r="AL138" t="str">
        <f t="shared" si="72"/>
        <v/>
      </c>
      <c r="AM138" t="str">
        <f t="shared" si="77"/>
        <v>};</v>
      </c>
    </row>
    <row r="139" spans="1:39" x14ac:dyDescent="0.25">
      <c r="A139">
        <v>1879507941</v>
      </c>
      <c r="C139" t="s">
        <v>305</v>
      </c>
      <c r="L139">
        <v>0</v>
      </c>
      <c r="O139" t="str">
        <f t="shared" si="73"/>
        <v/>
      </c>
      <c r="P139" t="str">
        <f t="shared" si="74"/>
        <v>[138] = {["ID"] = 1879507941; }; -- The Rarest of Birds in Gondor and Mordor</v>
      </c>
      <c r="Q139" s="1" t="e">
        <f t="shared" si="55"/>
        <v>#N/A</v>
      </c>
      <c r="R139">
        <f t="shared" si="75"/>
        <v>138</v>
      </c>
      <c r="S139" t="str">
        <f t="shared" si="56"/>
        <v>[138] = {</v>
      </c>
      <c r="T139" t="str">
        <f t="shared" si="57"/>
        <v xml:space="preserve">["ID"] = 1879507941; </v>
      </c>
      <c r="U139" t="str">
        <f t="shared" si="58"/>
        <v xml:space="preserve">["ID"] = 1879507941; </v>
      </c>
      <c r="V139" t="str">
        <f t="shared" si="59"/>
        <v/>
      </c>
      <c r="W139" s="1" t="str">
        <f t="shared" si="60"/>
        <v/>
      </c>
      <c r="X139" t="e">
        <f>VLOOKUP(D139,Type!A$2:B$17,2,FALSE)</f>
        <v>#N/A</v>
      </c>
      <c r="Y139" t="e">
        <f t="shared" si="61"/>
        <v>#N/A</v>
      </c>
      <c r="Z139" t="str">
        <f t="shared" si="62"/>
        <v>0</v>
      </c>
      <c r="AA139" t="str">
        <f t="shared" si="63"/>
        <v xml:space="preserve">["VXP"] = 0; </v>
      </c>
      <c r="AB139" t="str">
        <f t="shared" si="64"/>
        <v>0</v>
      </c>
      <c r="AC139" t="str">
        <f t="shared" si="65"/>
        <v xml:space="preserve">["LP"] = 0; </v>
      </c>
      <c r="AD139" t="str">
        <f t="shared" si="66"/>
        <v>0</v>
      </c>
      <c r="AE139" t="str">
        <f t="shared" si="67"/>
        <v xml:space="preserve">["REP"] = 0; </v>
      </c>
      <c r="AF139" t="e">
        <f>VLOOKUP(I139,Faction!A$2:B$77,2,FALSE)</f>
        <v>#N/A</v>
      </c>
      <c r="AG139" t="e">
        <f t="shared" si="68"/>
        <v>#N/A</v>
      </c>
      <c r="AH139" t="str">
        <f t="shared" si="76"/>
        <v/>
      </c>
      <c r="AI139" t="str">
        <f t="shared" si="69"/>
        <v xml:space="preserve">["NAME"] = { ["EN"] = "The Rarest of Birds in Gondor and Mordor"; }; </v>
      </c>
      <c r="AJ139" t="str">
        <f t="shared" si="70"/>
        <v xml:space="preserve">["LORE"] = { ["EN"] = ""; }; </v>
      </c>
      <c r="AK139" t="str">
        <f t="shared" si="71"/>
        <v xml:space="preserve">["SUMMARY"] = { ["EN"] = ""; }; </v>
      </c>
      <c r="AL139" t="str">
        <f t="shared" si="72"/>
        <v/>
      </c>
      <c r="AM139" t="str">
        <f t="shared" si="77"/>
        <v>};</v>
      </c>
    </row>
    <row r="140" spans="1:39" x14ac:dyDescent="0.25">
      <c r="O140" t="str">
        <f t="shared" si="73"/>
        <v/>
      </c>
      <c r="P140" t="str">
        <f t="shared" si="74"/>
        <v xml:space="preserve">[139] = {}; -- </v>
      </c>
      <c r="Q140" s="1" t="e">
        <f t="shared" si="55"/>
        <v>#N/A</v>
      </c>
      <c r="R140">
        <f t="shared" si="75"/>
        <v>139</v>
      </c>
      <c r="S140" t="str">
        <f t="shared" si="56"/>
        <v>[139] = {</v>
      </c>
      <c r="T140" t="str">
        <f t="shared" si="57"/>
        <v xml:space="preserve">                     </v>
      </c>
      <c r="U140" t="str">
        <f t="shared" si="58"/>
        <v/>
      </c>
      <c r="V140" t="str">
        <f t="shared" si="59"/>
        <v/>
      </c>
      <c r="W140" s="1" t="str">
        <f t="shared" si="60"/>
        <v/>
      </c>
      <c r="X140" t="e">
        <f>VLOOKUP(D140,Type!A$2:B$17,2,FALSE)</f>
        <v>#N/A</v>
      </c>
      <c r="Y140" t="e">
        <f t="shared" si="61"/>
        <v>#N/A</v>
      </c>
      <c r="Z140" t="str">
        <f t="shared" si="62"/>
        <v>0</v>
      </c>
      <c r="AA140" t="str">
        <f t="shared" si="63"/>
        <v xml:space="preserve">["VXP"] = 0; </v>
      </c>
      <c r="AB140" t="str">
        <f t="shared" si="64"/>
        <v>0</v>
      </c>
      <c r="AC140" t="str">
        <f t="shared" si="65"/>
        <v xml:space="preserve">["LP"] = 0; </v>
      </c>
      <c r="AD140" t="str">
        <f t="shared" si="66"/>
        <v>0</v>
      </c>
      <c r="AE140" t="str">
        <f t="shared" si="67"/>
        <v xml:space="preserve">["REP"] = 0; </v>
      </c>
      <c r="AF140" t="e">
        <f>VLOOKUP(I140,Faction!A$2:B$77,2,FALSE)</f>
        <v>#N/A</v>
      </c>
      <c r="AG140" t="e">
        <f t="shared" si="68"/>
        <v>#N/A</v>
      </c>
      <c r="AH140" t="str">
        <f t="shared" si="76"/>
        <v/>
      </c>
      <c r="AI140" t="str">
        <f t="shared" si="69"/>
        <v xml:space="preserve">["NAME"] = { ["EN"] = ""; }; </v>
      </c>
      <c r="AJ140" t="str">
        <f t="shared" si="70"/>
        <v xml:space="preserve">["LORE"] = { ["EN"] = ""; }; </v>
      </c>
      <c r="AK140" t="str">
        <f t="shared" si="71"/>
        <v xml:space="preserve">["SUMMARY"] = { ["EN"] = ""; }; </v>
      </c>
      <c r="AL140" t="str">
        <f t="shared" si="72"/>
        <v/>
      </c>
      <c r="AM140" t="str">
        <f t="shared" si="77"/>
        <v>};</v>
      </c>
    </row>
  </sheetData>
  <conditionalFormatting sqref="B1:B2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862E-8819-4206-A9EF-507FA6D3D8A8}">
  <dimension ref="A1:AK36"/>
  <sheetViews>
    <sheetView workbookViewId="0">
      <pane xSplit="2" ySplit="1" topLeftCell="K2" activePane="bottomRight" state="frozen"/>
      <selection pane="topRight" activeCell="B1" sqref="B1"/>
      <selection pane="bottomLeft" activeCell="A2" sqref="A2"/>
      <selection pane="bottomRight" activeCell="AK2" sqref="N2:AK36"/>
    </sheetView>
  </sheetViews>
  <sheetFormatPr defaultRowHeight="15" x14ac:dyDescent="0.25"/>
  <cols>
    <col min="2" max="2" width="32" customWidth="1"/>
    <col min="10" max="10" width="27.42578125" customWidth="1"/>
    <col min="13" max="13" width="12.140625" bestFit="1" customWidth="1"/>
    <col min="14" max="14" width="43.5703125" customWidth="1"/>
    <col min="17" max="17" width="14" customWidth="1"/>
    <col min="20" max="20" width="15" bestFit="1" customWidth="1"/>
    <col min="21" max="22" width="15" customWidth="1"/>
    <col min="23" max="23" width="28.85546875" bestFit="1" customWidth="1"/>
  </cols>
  <sheetData>
    <row r="1" spans="1:37" x14ac:dyDescent="0.25">
      <c r="A1" t="s">
        <v>141</v>
      </c>
      <c r="B1" t="s">
        <v>162</v>
      </c>
      <c r="C1" t="s">
        <v>1</v>
      </c>
      <c r="D1" t="s">
        <v>112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141</v>
      </c>
      <c r="R1" t="s">
        <v>14</v>
      </c>
      <c r="S1" t="s">
        <v>15</v>
      </c>
      <c r="T1" t="s">
        <v>130</v>
      </c>
      <c r="U1" t="s">
        <v>131</v>
      </c>
      <c r="V1" t="s">
        <v>132</v>
      </c>
      <c r="W1" t="s">
        <v>112</v>
      </c>
      <c r="X1" t="s">
        <v>16</v>
      </c>
      <c r="Y1" t="s">
        <v>2</v>
      </c>
      <c r="Z1" t="s">
        <v>17</v>
      </c>
      <c r="AA1" t="s">
        <v>4</v>
      </c>
      <c r="AB1" t="s">
        <v>18</v>
      </c>
      <c r="AC1" t="s">
        <v>5</v>
      </c>
      <c r="AD1" t="s">
        <v>19</v>
      </c>
      <c r="AE1" t="s">
        <v>6</v>
      </c>
      <c r="AF1" t="s">
        <v>9</v>
      </c>
      <c r="AG1" t="s">
        <v>163</v>
      </c>
      <c r="AH1" t="s">
        <v>164</v>
      </c>
      <c r="AI1" t="s">
        <v>7</v>
      </c>
      <c r="AJ1" t="s">
        <v>0</v>
      </c>
      <c r="AK1" t="s">
        <v>20</v>
      </c>
    </row>
    <row r="2" spans="1:37" x14ac:dyDescent="0.25">
      <c r="A2">
        <v>1</v>
      </c>
      <c r="B2" s="2"/>
      <c r="N2" s="1" t="e">
        <f>CONCATENATE(P2,Q2,S2,W2,Y2,AA2,AC2,AE2,AF2,AG2,AH2,AI2,AJ2,AK2)</f>
        <v>#N/A</v>
      </c>
      <c r="O2">
        <f>ROW()-1</f>
        <v>1</v>
      </c>
      <c r="P2" t="str">
        <f>CONCATENATE(REPT(" ",3-LEN(O2)),"[",O2,"] = {")</f>
        <v xml:space="preserve">  [1] = {</v>
      </c>
      <c r="Q2" s="1" t="str">
        <f t="shared" ref="Q2" si="0">IF(LEN(A2)&gt;0,CONCATENATE("[""SAVE_INDEX""] = ",REPT(" ",3-LEN(A2)),A2,"; "),"")</f>
        <v xml:space="preserve">["SAVE_INDEX"] =   1; </v>
      </c>
      <c r="R2" t="e">
        <f>VLOOKUP(C2,Type!A$2:B$17,2,FALSE)</f>
        <v>#N/A</v>
      </c>
      <c r="S2" t="e">
        <f>CONCATENATE("[""TYPE""] = ",REPT(" ",2-LEN(R2)),R2,"; ")</f>
        <v>#N/A</v>
      </c>
      <c r="T2" t="str">
        <f>IF(AND(C2="Class",NOT(ISBLANK(D2))),VLOOKUP(D2,Class!A$1:B$9,2,FALSE),"")</f>
        <v/>
      </c>
      <c r="U2" t="str">
        <f>IF(AND(C2="Vocation",NOT(ISBLANK(D2))),VLOOKUP(D2,Vocation!A$1:B$8,2,FALSE),"")</f>
        <v/>
      </c>
      <c r="V2" t="str">
        <f>IF(
  LEN(T2)=0,
    IF(
    LEN(U2)=0,
    "  0",
    CONCATENATE(REPT(" ",Vocation!B$12-LEN(U2)),U2)),
  CONCATENATE(REPT(" ",Vocation!B$12-LEN(T2)),T2))</f>
        <v xml:space="preserve">  0</v>
      </c>
      <c r="W2" t="str">
        <f>CONCATENATE("[""SUBTYPE""] = ",V2,"; ")</f>
        <v xml:space="preserve">["SUBTYPE"] =   0; </v>
      </c>
      <c r="X2" t="str">
        <f>TEXT(E2,0)</f>
        <v>0</v>
      </c>
      <c r="Y2" t="str">
        <f>CONCATENATE("[""VXP""] = ",REPT(" ",4-LEN(X2)),TEXT(X2,"0"),"; ")</f>
        <v xml:space="preserve">["VXP"] =    0; </v>
      </c>
      <c r="Z2" t="str">
        <f>TEXT(G2,0)</f>
        <v>0</v>
      </c>
      <c r="AA2" t="str">
        <f>CONCATENATE("[""LP""] = ",REPT(" ",2-LEN(Z2)),TEXT(Z2,"0"),"; ")</f>
        <v xml:space="preserve">["LP"] =  0; </v>
      </c>
      <c r="AB2" t="str">
        <f t="shared" ref="AB2" si="1">TEXT(H2,0)</f>
        <v>0</v>
      </c>
      <c r="AC2" t="str">
        <f>CONCATENATE("[""REP""] = ",REPT(" ",4-LEN(AB2)),TEXT(AB2,"0"),"; ")</f>
        <v xml:space="preserve">["REP"] =    0; </v>
      </c>
      <c r="AD2" t="e">
        <f>VLOOKUP(I2,Faction!A$2:B$77,2,FALSE)</f>
        <v>#N/A</v>
      </c>
      <c r="AE2" t="e">
        <f t="shared" ref="AE2" si="2">CONCATENATE("[""FACTION""] = ",TEXT(AD2,"0"),"; ")</f>
        <v>#N/A</v>
      </c>
      <c r="AF2" t="str">
        <f t="shared" ref="AF2" si="3">CONCATENATE("[""TIER""] = ",TEXT(L2,"0"),"; ")</f>
        <v xml:space="preserve">["TIER"] = 0; </v>
      </c>
      <c r="AG2" t="str">
        <f>CONCATENATE("[""NAME""] = { [""EN""] = """,B2,"""; }; ")</f>
        <v xml:space="preserve">["NAME"] = { ["EN"] = ""; }; </v>
      </c>
      <c r="AH2" t="str">
        <f>CONCATENATE("[""LORE""] = { [""EN""] = """,K2,"""; }; ")</f>
        <v xml:space="preserve">["LORE"] = { ["EN"] = ""; }; </v>
      </c>
      <c r="AI2" t="str">
        <f t="shared" ref="AI2" si="4">CONCATENATE("[""SUMMARY""] = { [""EN""] = """,J2,"""; }; ")</f>
        <v xml:space="preserve">["SUMMARY"] = { ["EN"] = ""; }; </v>
      </c>
      <c r="AJ2" t="str">
        <f>IF(LEN(F2)&gt;0,CONCATENATE("[""TITLE""] = { [""EN""] = """,F2,"""; }; "),"")</f>
        <v/>
      </c>
      <c r="AK2" t="str">
        <f>CONCATENATE("};")</f>
        <v>};</v>
      </c>
    </row>
    <row r="3" spans="1:37" x14ac:dyDescent="0.25">
      <c r="N3" s="1" t="e">
        <f t="shared" ref="N3:N36" si="5">CONCATENATE(P3,Q3,S3,W3,Y3,AA3,AC3,AE3,AF3,AG3,AH3,AI3,AJ3,AK3)</f>
        <v>#N/A</v>
      </c>
      <c r="O3">
        <f t="shared" ref="O3:O36" si="6">ROW()-1</f>
        <v>2</v>
      </c>
      <c r="P3" t="str">
        <f t="shared" ref="P3:P36" si="7">CONCATENATE(REPT(" ",3-LEN(O3)),"[",O3,"] = {")</f>
        <v xml:space="preserve">  [2] = {</v>
      </c>
      <c r="Q3" s="1" t="str">
        <f t="shared" ref="Q3:Q36" si="8">IF(LEN(A3)&gt;0,CONCATENATE("[""SAVE_INDEX""] = ",REPT(" ",3-LEN(A3)),A3,"; "),"")</f>
        <v/>
      </c>
      <c r="R3" t="e">
        <f>VLOOKUP(C3,Type!A$2:B$17,2,FALSE)</f>
        <v>#N/A</v>
      </c>
      <c r="S3" t="e">
        <f t="shared" ref="S3:S36" si="9">CONCATENATE("[""TYPE""] = ",REPT(" ",2-LEN(R3)),R3,"; ")</f>
        <v>#N/A</v>
      </c>
      <c r="T3" t="str">
        <f>IF(AND(C3="Class",NOT(ISBLANK(D3))),VLOOKUP(D3,Class!A$1:B$9,2,FALSE),"")</f>
        <v/>
      </c>
      <c r="U3" t="str">
        <f>IF(AND(C3="Vocation",NOT(ISBLANK(D3))),VLOOKUP(D3,Vocation!A$1:B$8,2,FALSE),"")</f>
        <v/>
      </c>
      <c r="V3" t="str">
        <f>IF(
  LEN(T3)=0,
    IF(
    LEN(U3)=0,
    "  0",
    CONCATENATE(REPT(" ",Vocation!B$12-LEN(U3)),U3)),
  CONCATENATE(REPT(" ",Vocation!B$12-LEN(T3)),T3))</f>
        <v xml:space="preserve">  0</v>
      </c>
      <c r="W3" t="str">
        <f t="shared" ref="W3:W36" si="10">CONCATENATE("[""SUBTYPE""] = ",V3,"; ")</f>
        <v xml:space="preserve">["SUBTYPE"] =   0; </v>
      </c>
      <c r="X3" t="str">
        <f t="shared" ref="X3:X36" si="11">TEXT(E3,0)</f>
        <v>0</v>
      </c>
      <c r="Y3" t="str">
        <f t="shared" ref="Y3:Y36" si="12">CONCATENATE("[""VXP""] = ",REPT(" ",4-LEN(X3)),TEXT(X3,"0"),"; ")</f>
        <v xml:space="preserve">["VXP"] =    0; </v>
      </c>
      <c r="Z3" t="str">
        <f t="shared" ref="Z3:Z36" si="13">TEXT(G3,0)</f>
        <v>0</v>
      </c>
      <c r="AA3" t="str">
        <f t="shared" ref="AA3:AA36" si="14">CONCATENATE("[""LP""] = ",REPT(" ",2-LEN(Z3)),TEXT(Z3,"0"),"; ")</f>
        <v xml:space="preserve">["LP"] =  0; </v>
      </c>
      <c r="AB3" t="str">
        <f t="shared" ref="AB3:AB36" si="15">TEXT(H3,0)</f>
        <v>0</v>
      </c>
      <c r="AC3" t="str">
        <f t="shared" ref="AC3:AC36" si="16">CONCATENATE("[""REP""] = ",REPT(" ",4-LEN(AB3)),TEXT(AB3,"0"),"; ")</f>
        <v xml:space="preserve">["REP"] =    0; </v>
      </c>
      <c r="AD3" t="e">
        <f>VLOOKUP(I3,Faction!A$2:B$77,2,FALSE)</f>
        <v>#N/A</v>
      </c>
      <c r="AE3" t="e">
        <f t="shared" ref="AE3:AE36" si="17">CONCATENATE("[""FACTION""] = ",TEXT(AD3,"0"),"; ")</f>
        <v>#N/A</v>
      </c>
      <c r="AF3" t="str">
        <f t="shared" ref="AF3:AF36" si="18">CONCATENATE("[""TIER""] = ",TEXT(L3,"0"),"; ")</f>
        <v xml:space="preserve">["TIER"] = 0; </v>
      </c>
      <c r="AG3" t="str">
        <f t="shared" ref="AG3:AG36" si="19">CONCATENATE("[""NAME""] = { [""EN""] = """,B3,"""; }; ")</f>
        <v xml:space="preserve">["NAME"] = { ["EN"] = ""; }; </v>
      </c>
      <c r="AH3" t="str">
        <f t="shared" ref="AH3:AH36" si="20">CONCATENATE("[""LORE""] = { [""EN""] = """,K3,"""; }; ")</f>
        <v xml:space="preserve">["LORE"] = { ["EN"] = ""; }; </v>
      </c>
      <c r="AI3" t="str">
        <f t="shared" ref="AI3:AI36" si="21">CONCATENATE("[""SUMMARY""] = { [""EN""] = """,J3,"""; }; ")</f>
        <v xml:space="preserve">["SUMMARY"] = { ["EN"] = ""; }; </v>
      </c>
      <c r="AJ3" t="str">
        <f t="shared" ref="AJ3:AJ36" si="22">IF(LEN(F3)&gt;0,CONCATENATE("[""TITLE""] = { [""EN""] = """,F3,"""; }; "),"")</f>
        <v/>
      </c>
      <c r="AK3" t="str">
        <f t="shared" ref="AK3:AK36" si="23">CONCATENATE("};")</f>
        <v>};</v>
      </c>
    </row>
    <row r="4" spans="1:37" x14ac:dyDescent="0.25">
      <c r="N4" s="1" t="e">
        <f t="shared" si="5"/>
        <v>#N/A</v>
      </c>
      <c r="O4">
        <f t="shared" si="6"/>
        <v>3</v>
      </c>
      <c r="P4" t="str">
        <f t="shared" si="7"/>
        <v xml:space="preserve">  [3] = {</v>
      </c>
      <c r="Q4" s="1" t="str">
        <f t="shared" si="8"/>
        <v/>
      </c>
      <c r="R4" t="e">
        <f>VLOOKUP(C4,Type!A$2:B$17,2,FALSE)</f>
        <v>#N/A</v>
      </c>
      <c r="S4" t="e">
        <f t="shared" si="9"/>
        <v>#N/A</v>
      </c>
      <c r="T4" t="str">
        <f>IF(AND(C4="Class",NOT(ISBLANK(D4))),VLOOKUP(D4,Class!A$1:B$9,2,FALSE),"")</f>
        <v/>
      </c>
      <c r="U4" t="str">
        <f>IF(AND(C4="Vocation",NOT(ISBLANK(D4))),VLOOKUP(D4,Vocation!A$1:B$8,2,FALSE),"")</f>
        <v/>
      </c>
      <c r="V4" t="str">
        <f>IF(
  LEN(T4)=0,
    IF(
    LEN(U4)=0,
    "  0",
    CONCATENATE(REPT(" ",Vocation!B$12-LEN(U4)),U4)),
  CONCATENATE(REPT(" ",Vocation!B$12-LEN(T4)),T4))</f>
        <v xml:space="preserve">  0</v>
      </c>
      <c r="W4" t="str">
        <f t="shared" si="10"/>
        <v xml:space="preserve">["SUBTYPE"] =   0; </v>
      </c>
      <c r="X4" t="str">
        <f t="shared" si="11"/>
        <v>0</v>
      </c>
      <c r="Y4" t="str">
        <f t="shared" si="12"/>
        <v xml:space="preserve">["VXP"] =    0; </v>
      </c>
      <c r="Z4" t="str">
        <f t="shared" si="13"/>
        <v>0</v>
      </c>
      <c r="AA4" t="str">
        <f t="shared" si="14"/>
        <v xml:space="preserve">["LP"] =  0; </v>
      </c>
      <c r="AB4" t="str">
        <f t="shared" si="15"/>
        <v>0</v>
      </c>
      <c r="AC4" t="str">
        <f t="shared" si="16"/>
        <v xml:space="preserve">["REP"] =    0; </v>
      </c>
      <c r="AD4" t="e">
        <f>VLOOKUP(I4,Faction!A$2:B$77,2,FALSE)</f>
        <v>#N/A</v>
      </c>
      <c r="AE4" t="e">
        <f t="shared" si="17"/>
        <v>#N/A</v>
      </c>
      <c r="AF4" t="str">
        <f t="shared" si="18"/>
        <v xml:space="preserve">["TIER"] = 0; </v>
      </c>
      <c r="AG4" t="str">
        <f t="shared" si="19"/>
        <v xml:space="preserve">["NAME"] = { ["EN"] = ""; }; </v>
      </c>
      <c r="AH4" t="str">
        <f t="shared" si="20"/>
        <v xml:space="preserve">["LORE"] = { ["EN"] = ""; }; </v>
      </c>
      <c r="AI4" t="str">
        <f t="shared" si="21"/>
        <v xml:space="preserve">["SUMMARY"] = { ["EN"] = ""; }; </v>
      </c>
      <c r="AJ4" t="str">
        <f t="shared" si="22"/>
        <v/>
      </c>
      <c r="AK4" t="str">
        <f t="shared" si="23"/>
        <v>};</v>
      </c>
    </row>
    <row r="5" spans="1:37" x14ac:dyDescent="0.25">
      <c r="N5" s="1" t="e">
        <f t="shared" si="5"/>
        <v>#N/A</v>
      </c>
      <c r="O5">
        <f t="shared" si="6"/>
        <v>4</v>
      </c>
      <c r="P5" t="str">
        <f t="shared" si="7"/>
        <v xml:space="preserve">  [4] = {</v>
      </c>
      <c r="Q5" s="1" t="str">
        <f t="shared" si="8"/>
        <v/>
      </c>
      <c r="R5" t="e">
        <f>VLOOKUP(C5,Type!A$2:B$17,2,FALSE)</f>
        <v>#N/A</v>
      </c>
      <c r="S5" t="e">
        <f t="shared" si="9"/>
        <v>#N/A</v>
      </c>
      <c r="T5" t="str">
        <f>IF(AND(C5="Class",NOT(ISBLANK(D5))),VLOOKUP(D5,Class!A$1:B$9,2,FALSE),"")</f>
        <v/>
      </c>
      <c r="U5" t="str">
        <f>IF(AND(C5="Vocation",NOT(ISBLANK(D5))),VLOOKUP(D5,Vocation!A$1:B$8,2,FALSE),"")</f>
        <v/>
      </c>
      <c r="V5" t="str">
        <f>IF(
  LEN(T5)=0,
    IF(
    LEN(U5)=0,
    "  0",
    CONCATENATE(REPT(" ",Vocation!B$12-LEN(U5)),U5)),
  CONCATENATE(REPT(" ",Vocation!B$12-LEN(T5)),T5))</f>
        <v xml:space="preserve">  0</v>
      </c>
      <c r="W5" t="str">
        <f t="shared" si="10"/>
        <v xml:space="preserve">["SUBTYPE"] =   0; </v>
      </c>
      <c r="X5" t="str">
        <f t="shared" si="11"/>
        <v>0</v>
      </c>
      <c r="Y5" t="str">
        <f t="shared" si="12"/>
        <v xml:space="preserve">["VXP"] =    0; </v>
      </c>
      <c r="Z5" t="str">
        <f t="shared" si="13"/>
        <v>0</v>
      </c>
      <c r="AA5" t="str">
        <f t="shared" si="14"/>
        <v xml:space="preserve">["LP"] =  0; </v>
      </c>
      <c r="AB5" t="str">
        <f t="shared" si="15"/>
        <v>0</v>
      </c>
      <c r="AC5" t="str">
        <f t="shared" si="16"/>
        <v xml:space="preserve">["REP"] =    0; </v>
      </c>
      <c r="AD5" t="e">
        <f>VLOOKUP(I5,Faction!A$2:B$77,2,FALSE)</f>
        <v>#N/A</v>
      </c>
      <c r="AE5" t="e">
        <f t="shared" si="17"/>
        <v>#N/A</v>
      </c>
      <c r="AF5" t="str">
        <f t="shared" si="18"/>
        <v xml:space="preserve">["TIER"] = 0; </v>
      </c>
      <c r="AG5" t="str">
        <f t="shared" si="19"/>
        <v xml:space="preserve">["NAME"] = { ["EN"] = ""; }; </v>
      </c>
      <c r="AH5" t="str">
        <f t="shared" si="20"/>
        <v xml:space="preserve">["LORE"] = { ["EN"] = ""; }; </v>
      </c>
      <c r="AI5" t="str">
        <f t="shared" si="21"/>
        <v xml:space="preserve">["SUMMARY"] = { ["EN"] = ""; }; </v>
      </c>
      <c r="AJ5" t="str">
        <f t="shared" si="22"/>
        <v/>
      </c>
      <c r="AK5" t="str">
        <f t="shared" si="23"/>
        <v>};</v>
      </c>
    </row>
    <row r="6" spans="1:37" x14ac:dyDescent="0.25">
      <c r="N6" s="1" t="e">
        <f t="shared" si="5"/>
        <v>#N/A</v>
      </c>
      <c r="O6">
        <f t="shared" si="6"/>
        <v>5</v>
      </c>
      <c r="P6" t="str">
        <f t="shared" si="7"/>
        <v xml:space="preserve">  [5] = {</v>
      </c>
      <c r="Q6" s="1" t="str">
        <f t="shared" si="8"/>
        <v/>
      </c>
      <c r="R6" t="e">
        <f>VLOOKUP(C6,Type!A$2:B$17,2,FALSE)</f>
        <v>#N/A</v>
      </c>
      <c r="S6" t="e">
        <f t="shared" si="9"/>
        <v>#N/A</v>
      </c>
      <c r="T6" t="str">
        <f>IF(AND(C6="Class",NOT(ISBLANK(D6))),VLOOKUP(D6,Class!A$1:B$9,2,FALSE),"")</f>
        <v/>
      </c>
      <c r="U6" t="str">
        <f>IF(AND(C6="Vocation",NOT(ISBLANK(D6))),VLOOKUP(D6,Vocation!A$1:B$8,2,FALSE),"")</f>
        <v/>
      </c>
      <c r="V6" t="str">
        <f>IF(
  LEN(T6)=0,
    IF(
    LEN(U6)=0,
    "  0",
    CONCATENATE(REPT(" ",Vocation!B$12-LEN(U6)),U6)),
  CONCATENATE(REPT(" ",Vocation!B$12-LEN(T6)),T6))</f>
        <v xml:space="preserve">  0</v>
      </c>
      <c r="W6" t="str">
        <f t="shared" si="10"/>
        <v xml:space="preserve">["SUBTYPE"] =   0; </v>
      </c>
      <c r="X6" t="str">
        <f t="shared" si="11"/>
        <v>0</v>
      </c>
      <c r="Y6" t="str">
        <f t="shared" si="12"/>
        <v xml:space="preserve">["VXP"] =    0; </v>
      </c>
      <c r="Z6" t="str">
        <f t="shared" si="13"/>
        <v>0</v>
      </c>
      <c r="AA6" t="str">
        <f t="shared" si="14"/>
        <v xml:space="preserve">["LP"] =  0; </v>
      </c>
      <c r="AB6" t="str">
        <f t="shared" si="15"/>
        <v>0</v>
      </c>
      <c r="AC6" t="str">
        <f t="shared" si="16"/>
        <v xml:space="preserve">["REP"] =    0; </v>
      </c>
      <c r="AD6" t="e">
        <f>VLOOKUP(I6,Faction!A$2:B$77,2,FALSE)</f>
        <v>#N/A</v>
      </c>
      <c r="AE6" t="e">
        <f t="shared" si="17"/>
        <v>#N/A</v>
      </c>
      <c r="AF6" t="str">
        <f t="shared" si="18"/>
        <v xml:space="preserve">["TIER"] = 0; </v>
      </c>
      <c r="AG6" t="str">
        <f t="shared" si="19"/>
        <v xml:space="preserve">["NAME"] = { ["EN"] = ""; }; </v>
      </c>
      <c r="AH6" t="str">
        <f t="shared" si="20"/>
        <v xml:space="preserve">["LORE"] = { ["EN"] = ""; }; </v>
      </c>
      <c r="AI6" t="str">
        <f t="shared" si="21"/>
        <v xml:space="preserve">["SUMMARY"] = { ["EN"] = ""; }; </v>
      </c>
      <c r="AJ6" t="str">
        <f t="shared" si="22"/>
        <v/>
      </c>
      <c r="AK6" t="str">
        <f t="shared" si="23"/>
        <v>};</v>
      </c>
    </row>
    <row r="7" spans="1:37" x14ac:dyDescent="0.25">
      <c r="N7" s="1" t="e">
        <f t="shared" si="5"/>
        <v>#N/A</v>
      </c>
      <c r="O7">
        <f t="shared" si="6"/>
        <v>6</v>
      </c>
      <c r="P7" t="str">
        <f t="shared" si="7"/>
        <v xml:space="preserve">  [6] = {</v>
      </c>
      <c r="Q7" s="1" t="str">
        <f t="shared" si="8"/>
        <v/>
      </c>
      <c r="R7" t="e">
        <f>VLOOKUP(C7,Type!A$2:B$17,2,FALSE)</f>
        <v>#N/A</v>
      </c>
      <c r="S7" t="e">
        <f t="shared" si="9"/>
        <v>#N/A</v>
      </c>
      <c r="T7" t="str">
        <f>IF(AND(C7="Class",NOT(ISBLANK(D7))),VLOOKUP(D7,Class!A$1:B$9,2,FALSE),"")</f>
        <v/>
      </c>
      <c r="U7" t="str">
        <f>IF(AND(C7="Vocation",NOT(ISBLANK(D7))),VLOOKUP(D7,Vocation!A$1:B$8,2,FALSE),"")</f>
        <v/>
      </c>
      <c r="V7" t="str">
        <f>IF(
  LEN(T7)=0,
    IF(
    LEN(U7)=0,
    "  0",
    CONCATENATE(REPT(" ",Vocation!B$12-LEN(U7)),U7)),
  CONCATENATE(REPT(" ",Vocation!B$12-LEN(T7)),T7))</f>
        <v xml:space="preserve">  0</v>
      </c>
      <c r="W7" t="str">
        <f t="shared" si="10"/>
        <v xml:space="preserve">["SUBTYPE"] =   0; </v>
      </c>
      <c r="X7" t="str">
        <f t="shared" si="11"/>
        <v>0</v>
      </c>
      <c r="Y7" t="str">
        <f t="shared" si="12"/>
        <v xml:space="preserve">["VXP"] =    0; </v>
      </c>
      <c r="Z7" t="str">
        <f t="shared" si="13"/>
        <v>0</v>
      </c>
      <c r="AA7" t="str">
        <f t="shared" si="14"/>
        <v xml:space="preserve">["LP"] =  0; </v>
      </c>
      <c r="AB7" t="str">
        <f t="shared" si="15"/>
        <v>0</v>
      </c>
      <c r="AC7" t="str">
        <f t="shared" si="16"/>
        <v xml:space="preserve">["REP"] =    0; </v>
      </c>
      <c r="AD7" t="e">
        <f>VLOOKUP(I7,Faction!A$2:B$77,2,FALSE)</f>
        <v>#N/A</v>
      </c>
      <c r="AE7" t="e">
        <f t="shared" si="17"/>
        <v>#N/A</v>
      </c>
      <c r="AF7" t="str">
        <f t="shared" si="18"/>
        <v xml:space="preserve">["TIER"] = 0; </v>
      </c>
      <c r="AG7" t="str">
        <f t="shared" si="19"/>
        <v xml:space="preserve">["NAME"] = { ["EN"] = ""; }; </v>
      </c>
      <c r="AH7" t="str">
        <f t="shared" si="20"/>
        <v xml:space="preserve">["LORE"] = { ["EN"] = ""; }; </v>
      </c>
      <c r="AI7" t="str">
        <f t="shared" si="21"/>
        <v xml:space="preserve">["SUMMARY"] = { ["EN"] = ""; }; </v>
      </c>
      <c r="AJ7" t="str">
        <f t="shared" si="22"/>
        <v/>
      </c>
      <c r="AK7" t="str">
        <f t="shared" si="23"/>
        <v>};</v>
      </c>
    </row>
    <row r="8" spans="1:37" x14ac:dyDescent="0.25">
      <c r="N8" s="1" t="e">
        <f t="shared" si="5"/>
        <v>#N/A</v>
      </c>
      <c r="O8">
        <f t="shared" si="6"/>
        <v>7</v>
      </c>
      <c r="P8" t="str">
        <f t="shared" si="7"/>
        <v xml:space="preserve">  [7] = {</v>
      </c>
      <c r="Q8" s="1" t="str">
        <f t="shared" si="8"/>
        <v/>
      </c>
      <c r="R8" t="e">
        <f>VLOOKUP(C8,Type!A$2:B$17,2,FALSE)</f>
        <v>#N/A</v>
      </c>
      <c r="S8" t="e">
        <f t="shared" si="9"/>
        <v>#N/A</v>
      </c>
      <c r="T8" t="str">
        <f>IF(AND(C8="Class",NOT(ISBLANK(D8))),VLOOKUP(D8,Class!A$1:B$9,2,FALSE),"")</f>
        <v/>
      </c>
      <c r="U8" t="str">
        <f>IF(AND(C8="Vocation",NOT(ISBLANK(D8))),VLOOKUP(D8,Vocation!A$1:B$8,2,FALSE),"")</f>
        <v/>
      </c>
      <c r="V8" t="str">
        <f>IF(
  LEN(T8)=0,
    IF(
    LEN(U8)=0,
    "  0",
    CONCATENATE(REPT(" ",Vocation!B$12-LEN(U8)),U8)),
  CONCATENATE(REPT(" ",Vocation!B$12-LEN(T8)),T8))</f>
        <v xml:space="preserve">  0</v>
      </c>
      <c r="W8" t="str">
        <f t="shared" si="10"/>
        <v xml:space="preserve">["SUBTYPE"] =   0; </v>
      </c>
      <c r="X8" t="str">
        <f t="shared" si="11"/>
        <v>0</v>
      </c>
      <c r="Y8" t="str">
        <f t="shared" si="12"/>
        <v xml:space="preserve">["VXP"] =    0; </v>
      </c>
      <c r="Z8" t="str">
        <f t="shared" si="13"/>
        <v>0</v>
      </c>
      <c r="AA8" t="str">
        <f t="shared" si="14"/>
        <v xml:space="preserve">["LP"] =  0; </v>
      </c>
      <c r="AB8" t="str">
        <f t="shared" si="15"/>
        <v>0</v>
      </c>
      <c r="AC8" t="str">
        <f t="shared" si="16"/>
        <v xml:space="preserve">["REP"] =    0; </v>
      </c>
      <c r="AD8" t="e">
        <f>VLOOKUP(I8,Faction!A$2:B$77,2,FALSE)</f>
        <v>#N/A</v>
      </c>
      <c r="AE8" t="e">
        <f t="shared" si="17"/>
        <v>#N/A</v>
      </c>
      <c r="AF8" t="str">
        <f t="shared" si="18"/>
        <v xml:space="preserve">["TIER"] = 0; </v>
      </c>
      <c r="AG8" t="str">
        <f t="shared" si="19"/>
        <v xml:space="preserve">["NAME"] = { ["EN"] = ""; }; </v>
      </c>
      <c r="AH8" t="str">
        <f t="shared" si="20"/>
        <v xml:space="preserve">["LORE"] = { ["EN"] = ""; }; </v>
      </c>
      <c r="AI8" t="str">
        <f t="shared" si="21"/>
        <v xml:space="preserve">["SUMMARY"] = { ["EN"] = ""; }; </v>
      </c>
      <c r="AJ8" t="str">
        <f t="shared" si="22"/>
        <v/>
      </c>
      <c r="AK8" t="str">
        <f t="shared" si="23"/>
        <v>};</v>
      </c>
    </row>
    <row r="9" spans="1:37" x14ac:dyDescent="0.25">
      <c r="N9" s="1" t="e">
        <f t="shared" si="5"/>
        <v>#N/A</v>
      </c>
      <c r="O9">
        <f t="shared" si="6"/>
        <v>8</v>
      </c>
      <c r="P9" t="str">
        <f t="shared" si="7"/>
        <v xml:space="preserve">  [8] = {</v>
      </c>
      <c r="Q9" s="1" t="str">
        <f t="shared" si="8"/>
        <v/>
      </c>
      <c r="R9" t="e">
        <f>VLOOKUP(C9,Type!A$2:B$17,2,FALSE)</f>
        <v>#N/A</v>
      </c>
      <c r="S9" t="e">
        <f t="shared" si="9"/>
        <v>#N/A</v>
      </c>
      <c r="T9" t="str">
        <f>IF(AND(C9="Class",NOT(ISBLANK(D9))),VLOOKUP(D9,Class!A$1:B$9,2,FALSE),"")</f>
        <v/>
      </c>
      <c r="U9" t="str">
        <f>IF(AND(C9="Vocation",NOT(ISBLANK(D9))),VLOOKUP(D9,Vocation!A$1:B$8,2,FALSE),"")</f>
        <v/>
      </c>
      <c r="V9" t="str">
        <f>IF(
  LEN(T9)=0,
    IF(
    LEN(U9)=0,
    "  0",
    CONCATENATE(REPT(" ",Vocation!B$12-LEN(U9)),U9)),
  CONCATENATE(REPT(" ",Vocation!B$12-LEN(T9)),T9))</f>
        <v xml:space="preserve">  0</v>
      </c>
      <c r="W9" t="str">
        <f t="shared" si="10"/>
        <v xml:space="preserve">["SUBTYPE"] =   0; </v>
      </c>
      <c r="X9" t="str">
        <f t="shared" si="11"/>
        <v>0</v>
      </c>
      <c r="Y9" t="str">
        <f t="shared" si="12"/>
        <v xml:space="preserve">["VXP"] =    0; </v>
      </c>
      <c r="Z9" t="str">
        <f t="shared" si="13"/>
        <v>0</v>
      </c>
      <c r="AA9" t="str">
        <f t="shared" si="14"/>
        <v xml:space="preserve">["LP"] =  0; </v>
      </c>
      <c r="AB9" t="str">
        <f t="shared" si="15"/>
        <v>0</v>
      </c>
      <c r="AC9" t="str">
        <f t="shared" si="16"/>
        <v xml:space="preserve">["REP"] =    0; </v>
      </c>
      <c r="AD9" t="e">
        <f>VLOOKUP(I9,Faction!A$2:B$77,2,FALSE)</f>
        <v>#N/A</v>
      </c>
      <c r="AE9" t="e">
        <f t="shared" si="17"/>
        <v>#N/A</v>
      </c>
      <c r="AF9" t="str">
        <f t="shared" si="18"/>
        <v xml:space="preserve">["TIER"] = 0; </v>
      </c>
      <c r="AG9" t="str">
        <f t="shared" si="19"/>
        <v xml:space="preserve">["NAME"] = { ["EN"] = ""; }; </v>
      </c>
      <c r="AH9" t="str">
        <f t="shared" si="20"/>
        <v xml:space="preserve">["LORE"] = { ["EN"] = ""; }; </v>
      </c>
      <c r="AI9" t="str">
        <f t="shared" si="21"/>
        <v xml:space="preserve">["SUMMARY"] = { ["EN"] = ""; }; </v>
      </c>
      <c r="AJ9" t="str">
        <f t="shared" si="22"/>
        <v/>
      </c>
      <c r="AK9" t="str">
        <f t="shared" si="23"/>
        <v>};</v>
      </c>
    </row>
    <row r="10" spans="1:37" x14ac:dyDescent="0.25">
      <c r="N10" s="1" t="e">
        <f t="shared" si="5"/>
        <v>#N/A</v>
      </c>
      <c r="O10">
        <f t="shared" si="6"/>
        <v>9</v>
      </c>
      <c r="P10" t="str">
        <f t="shared" si="7"/>
        <v xml:space="preserve">  [9] = {</v>
      </c>
      <c r="Q10" s="1" t="str">
        <f t="shared" si="8"/>
        <v/>
      </c>
      <c r="R10" t="e">
        <f>VLOOKUP(C10,Type!A$2:B$17,2,FALSE)</f>
        <v>#N/A</v>
      </c>
      <c r="S10" t="e">
        <f t="shared" si="9"/>
        <v>#N/A</v>
      </c>
      <c r="T10" t="str">
        <f>IF(AND(C10="Class",NOT(ISBLANK(D10))),VLOOKUP(D10,Class!A$1:B$9,2,FALSE),"")</f>
        <v/>
      </c>
      <c r="U10" t="str">
        <f>IF(AND(C10="Vocation",NOT(ISBLANK(D10))),VLOOKUP(D10,Vocation!A$1:B$8,2,FALSE),"")</f>
        <v/>
      </c>
      <c r="V10" t="str">
        <f>IF(
  LEN(T10)=0,
    IF(
    LEN(U10)=0,
    "  0",
    CONCATENATE(REPT(" ",Vocation!B$12-LEN(U10)),U10)),
  CONCATENATE(REPT(" ",Vocation!B$12-LEN(T10)),T10))</f>
        <v xml:space="preserve">  0</v>
      </c>
      <c r="W10" t="str">
        <f t="shared" si="10"/>
        <v xml:space="preserve">["SUBTYPE"] =   0; </v>
      </c>
      <c r="X10" t="str">
        <f t="shared" si="11"/>
        <v>0</v>
      </c>
      <c r="Y10" t="str">
        <f t="shared" si="12"/>
        <v xml:space="preserve">["VXP"] =    0; </v>
      </c>
      <c r="Z10" t="str">
        <f t="shared" si="13"/>
        <v>0</v>
      </c>
      <c r="AA10" t="str">
        <f t="shared" si="14"/>
        <v xml:space="preserve">["LP"] =  0; </v>
      </c>
      <c r="AB10" t="str">
        <f t="shared" si="15"/>
        <v>0</v>
      </c>
      <c r="AC10" t="str">
        <f t="shared" si="16"/>
        <v xml:space="preserve">["REP"] =    0; </v>
      </c>
      <c r="AD10" t="e">
        <f>VLOOKUP(I10,Faction!A$2:B$77,2,FALSE)</f>
        <v>#N/A</v>
      </c>
      <c r="AE10" t="e">
        <f t="shared" si="17"/>
        <v>#N/A</v>
      </c>
      <c r="AF10" t="str">
        <f t="shared" si="18"/>
        <v xml:space="preserve">["TIER"] = 0; </v>
      </c>
      <c r="AG10" t="str">
        <f t="shared" si="19"/>
        <v xml:space="preserve">["NAME"] = { ["EN"] = ""; }; </v>
      </c>
      <c r="AH10" t="str">
        <f t="shared" si="20"/>
        <v xml:space="preserve">["LORE"] = { ["EN"] = ""; }; </v>
      </c>
      <c r="AI10" t="str">
        <f t="shared" si="21"/>
        <v xml:space="preserve">["SUMMARY"] = { ["EN"] = ""; }; </v>
      </c>
      <c r="AJ10" t="str">
        <f t="shared" si="22"/>
        <v/>
      </c>
      <c r="AK10" t="str">
        <f t="shared" si="23"/>
        <v>};</v>
      </c>
    </row>
    <row r="11" spans="1:37" x14ac:dyDescent="0.25">
      <c r="N11" s="1" t="e">
        <f t="shared" si="5"/>
        <v>#N/A</v>
      </c>
      <c r="O11">
        <f t="shared" si="6"/>
        <v>10</v>
      </c>
      <c r="P11" t="str">
        <f t="shared" si="7"/>
        <v xml:space="preserve"> [10] = {</v>
      </c>
      <c r="Q11" s="1" t="str">
        <f t="shared" si="8"/>
        <v/>
      </c>
      <c r="R11" t="e">
        <f>VLOOKUP(C11,Type!A$2:B$17,2,FALSE)</f>
        <v>#N/A</v>
      </c>
      <c r="S11" t="e">
        <f t="shared" si="9"/>
        <v>#N/A</v>
      </c>
      <c r="T11" t="str">
        <f>IF(AND(C11="Class",NOT(ISBLANK(D11))),VLOOKUP(D11,Class!A$1:B$9,2,FALSE),"")</f>
        <v/>
      </c>
      <c r="U11" t="str">
        <f>IF(AND(C11="Vocation",NOT(ISBLANK(D11))),VLOOKUP(D11,Vocation!A$1:B$8,2,FALSE),"")</f>
        <v/>
      </c>
      <c r="V11" t="str">
        <f>IF(
  LEN(T11)=0,
    IF(
    LEN(U11)=0,
    "  0",
    CONCATENATE(REPT(" ",Vocation!B$12-LEN(U11)),U11)),
  CONCATENATE(REPT(" ",Vocation!B$12-LEN(T11)),T11))</f>
        <v xml:space="preserve">  0</v>
      </c>
      <c r="W11" t="str">
        <f t="shared" si="10"/>
        <v xml:space="preserve">["SUBTYPE"] =   0; </v>
      </c>
      <c r="X11" t="str">
        <f t="shared" si="11"/>
        <v>0</v>
      </c>
      <c r="Y11" t="str">
        <f t="shared" si="12"/>
        <v xml:space="preserve">["VXP"] =    0; </v>
      </c>
      <c r="Z11" t="str">
        <f t="shared" si="13"/>
        <v>0</v>
      </c>
      <c r="AA11" t="str">
        <f t="shared" si="14"/>
        <v xml:space="preserve">["LP"] =  0; </v>
      </c>
      <c r="AB11" t="str">
        <f t="shared" si="15"/>
        <v>0</v>
      </c>
      <c r="AC11" t="str">
        <f t="shared" si="16"/>
        <v xml:space="preserve">["REP"] =    0; </v>
      </c>
      <c r="AD11" t="e">
        <f>VLOOKUP(I11,Faction!A$2:B$77,2,FALSE)</f>
        <v>#N/A</v>
      </c>
      <c r="AE11" t="e">
        <f t="shared" si="17"/>
        <v>#N/A</v>
      </c>
      <c r="AF11" t="str">
        <f t="shared" si="18"/>
        <v xml:space="preserve">["TIER"] = 0; </v>
      </c>
      <c r="AG11" t="str">
        <f t="shared" si="19"/>
        <v xml:space="preserve">["NAME"] = { ["EN"] = ""; }; </v>
      </c>
      <c r="AH11" t="str">
        <f t="shared" si="20"/>
        <v xml:space="preserve">["LORE"] = { ["EN"] = ""; }; </v>
      </c>
      <c r="AI11" t="str">
        <f t="shared" si="21"/>
        <v xml:space="preserve">["SUMMARY"] = { ["EN"] = ""; }; </v>
      </c>
      <c r="AJ11" t="str">
        <f t="shared" si="22"/>
        <v/>
      </c>
      <c r="AK11" t="str">
        <f t="shared" si="23"/>
        <v>};</v>
      </c>
    </row>
    <row r="12" spans="1:37" x14ac:dyDescent="0.25">
      <c r="N12" s="1" t="e">
        <f t="shared" si="5"/>
        <v>#N/A</v>
      </c>
      <c r="O12">
        <f t="shared" si="6"/>
        <v>11</v>
      </c>
      <c r="P12" t="str">
        <f t="shared" si="7"/>
        <v xml:space="preserve"> [11] = {</v>
      </c>
      <c r="Q12" s="1" t="str">
        <f t="shared" si="8"/>
        <v/>
      </c>
      <c r="R12" t="e">
        <f>VLOOKUP(C12,Type!A$2:B$17,2,FALSE)</f>
        <v>#N/A</v>
      </c>
      <c r="S12" t="e">
        <f t="shared" si="9"/>
        <v>#N/A</v>
      </c>
      <c r="T12" t="str">
        <f>IF(AND(C12="Class",NOT(ISBLANK(D12))),VLOOKUP(D12,Class!A$1:B$9,2,FALSE),"")</f>
        <v/>
      </c>
      <c r="U12" t="str">
        <f>IF(AND(C12="Vocation",NOT(ISBLANK(D12))),VLOOKUP(D12,Vocation!A$1:B$8,2,FALSE),"")</f>
        <v/>
      </c>
      <c r="V12" t="str">
        <f>IF(
  LEN(T12)=0,
    IF(
    LEN(U12)=0,
    "  0",
    CONCATENATE(REPT(" ",Vocation!B$12-LEN(U12)),U12)),
  CONCATENATE(REPT(" ",Vocation!B$12-LEN(T12)),T12))</f>
        <v xml:space="preserve">  0</v>
      </c>
      <c r="W12" t="str">
        <f t="shared" si="10"/>
        <v xml:space="preserve">["SUBTYPE"] =   0; </v>
      </c>
      <c r="X12" t="str">
        <f t="shared" si="11"/>
        <v>0</v>
      </c>
      <c r="Y12" t="str">
        <f t="shared" si="12"/>
        <v xml:space="preserve">["VXP"] =    0; </v>
      </c>
      <c r="Z12" t="str">
        <f t="shared" si="13"/>
        <v>0</v>
      </c>
      <c r="AA12" t="str">
        <f t="shared" si="14"/>
        <v xml:space="preserve">["LP"] =  0; </v>
      </c>
      <c r="AB12" t="str">
        <f t="shared" si="15"/>
        <v>0</v>
      </c>
      <c r="AC12" t="str">
        <f t="shared" si="16"/>
        <v xml:space="preserve">["REP"] =    0; </v>
      </c>
      <c r="AD12" t="e">
        <f>VLOOKUP(I12,Faction!A$2:B$77,2,FALSE)</f>
        <v>#N/A</v>
      </c>
      <c r="AE12" t="e">
        <f t="shared" si="17"/>
        <v>#N/A</v>
      </c>
      <c r="AF12" t="str">
        <f t="shared" si="18"/>
        <v xml:space="preserve">["TIER"] = 0; </v>
      </c>
      <c r="AG12" t="str">
        <f t="shared" si="19"/>
        <v xml:space="preserve">["NAME"] = { ["EN"] = ""; }; </v>
      </c>
      <c r="AH12" t="str">
        <f t="shared" si="20"/>
        <v xml:space="preserve">["LORE"] = { ["EN"] = ""; }; </v>
      </c>
      <c r="AI12" t="str">
        <f t="shared" si="21"/>
        <v xml:space="preserve">["SUMMARY"] = { ["EN"] = ""; }; </v>
      </c>
      <c r="AJ12" t="str">
        <f t="shared" si="22"/>
        <v/>
      </c>
      <c r="AK12" t="str">
        <f t="shared" si="23"/>
        <v>};</v>
      </c>
    </row>
    <row r="13" spans="1:37" x14ac:dyDescent="0.25">
      <c r="N13" s="1" t="e">
        <f t="shared" si="5"/>
        <v>#N/A</v>
      </c>
      <c r="O13">
        <f t="shared" si="6"/>
        <v>12</v>
      </c>
      <c r="P13" t="str">
        <f t="shared" si="7"/>
        <v xml:space="preserve"> [12] = {</v>
      </c>
      <c r="Q13" s="1" t="str">
        <f t="shared" si="8"/>
        <v/>
      </c>
      <c r="R13" t="e">
        <f>VLOOKUP(C13,Type!A$2:B$17,2,FALSE)</f>
        <v>#N/A</v>
      </c>
      <c r="S13" t="e">
        <f t="shared" si="9"/>
        <v>#N/A</v>
      </c>
      <c r="T13" t="str">
        <f>IF(AND(C13="Class",NOT(ISBLANK(D13))),VLOOKUP(D13,Class!A$1:B$9,2,FALSE),"")</f>
        <v/>
      </c>
      <c r="U13" t="str">
        <f>IF(AND(C13="Vocation",NOT(ISBLANK(D13))),VLOOKUP(D13,Vocation!A$1:B$8,2,FALSE),"")</f>
        <v/>
      </c>
      <c r="V13" t="str">
        <f>IF(
  LEN(T13)=0,
    IF(
    LEN(U13)=0,
    "  0",
    CONCATENATE(REPT(" ",Vocation!B$12-LEN(U13)),U13)),
  CONCATENATE(REPT(" ",Vocation!B$12-LEN(T13)),T13))</f>
        <v xml:space="preserve">  0</v>
      </c>
      <c r="W13" t="str">
        <f t="shared" si="10"/>
        <v xml:space="preserve">["SUBTYPE"] =   0; </v>
      </c>
      <c r="X13" t="str">
        <f t="shared" si="11"/>
        <v>0</v>
      </c>
      <c r="Y13" t="str">
        <f t="shared" si="12"/>
        <v xml:space="preserve">["VXP"] =    0; </v>
      </c>
      <c r="Z13" t="str">
        <f t="shared" si="13"/>
        <v>0</v>
      </c>
      <c r="AA13" t="str">
        <f t="shared" si="14"/>
        <v xml:space="preserve">["LP"] =  0; </v>
      </c>
      <c r="AB13" t="str">
        <f t="shared" si="15"/>
        <v>0</v>
      </c>
      <c r="AC13" t="str">
        <f t="shared" si="16"/>
        <v xml:space="preserve">["REP"] =    0; </v>
      </c>
      <c r="AD13" t="e">
        <f>VLOOKUP(I13,Faction!A$2:B$77,2,FALSE)</f>
        <v>#N/A</v>
      </c>
      <c r="AE13" t="e">
        <f t="shared" si="17"/>
        <v>#N/A</v>
      </c>
      <c r="AF13" t="str">
        <f t="shared" si="18"/>
        <v xml:space="preserve">["TIER"] = 0; </v>
      </c>
      <c r="AG13" t="str">
        <f t="shared" si="19"/>
        <v xml:space="preserve">["NAME"] = { ["EN"] = ""; }; </v>
      </c>
      <c r="AH13" t="str">
        <f t="shared" si="20"/>
        <v xml:space="preserve">["LORE"] = { ["EN"] = ""; }; </v>
      </c>
      <c r="AI13" t="str">
        <f t="shared" si="21"/>
        <v xml:space="preserve">["SUMMARY"] = { ["EN"] = ""; }; </v>
      </c>
      <c r="AJ13" t="str">
        <f t="shared" si="22"/>
        <v/>
      </c>
      <c r="AK13" t="str">
        <f t="shared" si="23"/>
        <v>};</v>
      </c>
    </row>
    <row r="14" spans="1:37" x14ac:dyDescent="0.25">
      <c r="N14" s="1" t="e">
        <f t="shared" si="5"/>
        <v>#N/A</v>
      </c>
      <c r="O14">
        <f t="shared" si="6"/>
        <v>13</v>
      </c>
      <c r="P14" t="str">
        <f t="shared" si="7"/>
        <v xml:space="preserve"> [13] = {</v>
      </c>
      <c r="Q14" s="1" t="str">
        <f t="shared" si="8"/>
        <v/>
      </c>
      <c r="R14" t="e">
        <f>VLOOKUP(C14,Type!A$2:B$17,2,FALSE)</f>
        <v>#N/A</v>
      </c>
      <c r="S14" t="e">
        <f t="shared" si="9"/>
        <v>#N/A</v>
      </c>
      <c r="T14" t="str">
        <f>IF(AND(C14="Class",NOT(ISBLANK(D14))),VLOOKUP(D14,Class!A$1:B$9,2,FALSE),"")</f>
        <v/>
      </c>
      <c r="U14" t="str">
        <f>IF(AND(C14="Vocation",NOT(ISBLANK(D14))),VLOOKUP(D14,Vocation!A$1:B$8,2,FALSE),"")</f>
        <v/>
      </c>
      <c r="V14" t="str">
        <f>IF(
  LEN(T14)=0,
    IF(
    LEN(U14)=0,
    "  0",
    CONCATENATE(REPT(" ",Vocation!B$12-LEN(U14)),U14)),
  CONCATENATE(REPT(" ",Vocation!B$12-LEN(T14)),T14))</f>
        <v xml:space="preserve">  0</v>
      </c>
      <c r="W14" t="str">
        <f t="shared" si="10"/>
        <v xml:space="preserve">["SUBTYPE"] =   0; </v>
      </c>
      <c r="X14" t="str">
        <f t="shared" si="11"/>
        <v>0</v>
      </c>
      <c r="Y14" t="str">
        <f t="shared" si="12"/>
        <v xml:space="preserve">["VXP"] =    0; </v>
      </c>
      <c r="Z14" t="str">
        <f t="shared" si="13"/>
        <v>0</v>
      </c>
      <c r="AA14" t="str">
        <f t="shared" si="14"/>
        <v xml:space="preserve">["LP"] =  0; </v>
      </c>
      <c r="AB14" t="str">
        <f t="shared" si="15"/>
        <v>0</v>
      </c>
      <c r="AC14" t="str">
        <f t="shared" si="16"/>
        <v xml:space="preserve">["REP"] =    0; </v>
      </c>
      <c r="AD14" t="e">
        <f>VLOOKUP(I14,Faction!A$2:B$77,2,FALSE)</f>
        <v>#N/A</v>
      </c>
      <c r="AE14" t="e">
        <f t="shared" si="17"/>
        <v>#N/A</v>
      </c>
      <c r="AF14" t="str">
        <f t="shared" si="18"/>
        <v xml:space="preserve">["TIER"] = 0; </v>
      </c>
      <c r="AG14" t="str">
        <f t="shared" si="19"/>
        <v xml:space="preserve">["NAME"] = { ["EN"] = ""; }; </v>
      </c>
      <c r="AH14" t="str">
        <f t="shared" si="20"/>
        <v xml:space="preserve">["LORE"] = { ["EN"] = ""; }; </v>
      </c>
      <c r="AI14" t="str">
        <f t="shared" si="21"/>
        <v xml:space="preserve">["SUMMARY"] = { ["EN"] = ""; }; </v>
      </c>
      <c r="AJ14" t="str">
        <f t="shared" si="22"/>
        <v/>
      </c>
      <c r="AK14" t="str">
        <f t="shared" si="23"/>
        <v>};</v>
      </c>
    </row>
    <row r="15" spans="1:37" x14ac:dyDescent="0.25">
      <c r="N15" s="1" t="e">
        <f t="shared" si="5"/>
        <v>#N/A</v>
      </c>
      <c r="O15">
        <f t="shared" si="6"/>
        <v>14</v>
      </c>
      <c r="P15" t="str">
        <f t="shared" si="7"/>
        <v xml:space="preserve"> [14] = {</v>
      </c>
      <c r="Q15" s="1" t="str">
        <f t="shared" si="8"/>
        <v/>
      </c>
      <c r="R15" t="e">
        <f>VLOOKUP(C15,Type!A$2:B$17,2,FALSE)</f>
        <v>#N/A</v>
      </c>
      <c r="S15" t="e">
        <f t="shared" si="9"/>
        <v>#N/A</v>
      </c>
      <c r="T15" t="str">
        <f>IF(AND(C15="Class",NOT(ISBLANK(D15))),VLOOKUP(D15,Class!A$1:B$9,2,FALSE),"")</f>
        <v/>
      </c>
      <c r="U15" t="str">
        <f>IF(AND(C15="Vocation",NOT(ISBLANK(D15))),VLOOKUP(D15,Vocation!A$1:B$8,2,FALSE),"")</f>
        <v/>
      </c>
      <c r="V15" t="str">
        <f>IF(
  LEN(T15)=0,
    IF(
    LEN(U15)=0,
    "  0",
    CONCATENATE(REPT(" ",Vocation!B$12-LEN(U15)),U15)),
  CONCATENATE(REPT(" ",Vocation!B$12-LEN(T15)),T15))</f>
        <v xml:space="preserve">  0</v>
      </c>
      <c r="W15" t="str">
        <f t="shared" si="10"/>
        <v xml:space="preserve">["SUBTYPE"] =   0; </v>
      </c>
      <c r="X15" t="str">
        <f t="shared" si="11"/>
        <v>0</v>
      </c>
      <c r="Y15" t="str">
        <f t="shared" si="12"/>
        <v xml:space="preserve">["VXP"] =    0; </v>
      </c>
      <c r="Z15" t="str">
        <f t="shared" si="13"/>
        <v>0</v>
      </c>
      <c r="AA15" t="str">
        <f t="shared" si="14"/>
        <v xml:space="preserve">["LP"] =  0; </v>
      </c>
      <c r="AB15" t="str">
        <f t="shared" si="15"/>
        <v>0</v>
      </c>
      <c r="AC15" t="str">
        <f t="shared" si="16"/>
        <v xml:space="preserve">["REP"] =    0; </v>
      </c>
      <c r="AD15" t="e">
        <f>VLOOKUP(I15,Faction!A$2:B$77,2,FALSE)</f>
        <v>#N/A</v>
      </c>
      <c r="AE15" t="e">
        <f t="shared" si="17"/>
        <v>#N/A</v>
      </c>
      <c r="AF15" t="str">
        <f t="shared" si="18"/>
        <v xml:space="preserve">["TIER"] = 0; </v>
      </c>
      <c r="AG15" t="str">
        <f t="shared" si="19"/>
        <v xml:space="preserve">["NAME"] = { ["EN"] = ""; }; </v>
      </c>
      <c r="AH15" t="str">
        <f t="shared" si="20"/>
        <v xml:space="preserve">["LORE"] = { ["EN"] = ""; }; </v>
      </c>
      <c r="AI15" t="str">
        <f t="shared" si="21"/>
        <v xml:space="preserve">["SUMMARY"] = { ["EN"] = ""; }; </v>
      </c>
      <c r="AJ15" t="str">
        <f t="shared" si="22"/>
        <v/>
      </c>
      <c r="AK15" t="str">
        <f t="shared" si="23"/>
        <v>};</v>
      </c>
    </row>
    <row r="16" spans="1:37" x14ac:dyDescent="0.25">
      <c r="N16" s="1" t="e">
        <f t="shared" si="5"/>
        <v>#N/A</v>
      </c>
      <c r="O16">
        <f t="shared" si="6"/>
        <v>15</v>
      </c>
      <c r="P16" t="str">
        <f t="shared" si="7"/>
        <v xml:space="preserve"> [15] = {</v>
      </c>
      <c r="Q16" s="1" t="str">
        <f t="shared" si="8"/>
        <v/>
      </c>
      <c r="R16" t="e">
        <f>VLOOKUP(C16,Type!A$2:B$17,2,FALSE)</f>
        <v>#N/A</v>
      </c>
      <c r="S16" t="e">
        <f t="shared" si="9"/>
        <v>#N/A</v>
      </c>
      <c r="T16" t="str">
        <f>IF(AND(C16="Class",NOT(ISBLANK(D16))),VLOOKUP(D16,Class!A$1:B$9,2,FALSE),"")</f>
        <v/>
      </c>
      <c r="U16" t="str">
        <f>IF(AND(C16="Vocation",NOT(ISBLANK(D16))),VLOOKUP(D16,Vocation!A$1:B$8,2,FALSE),"")</f>
        <v/>
      </c>
      <c r="V16" t="str">
        <f>IF(
  LEN(T16)=0,
    IF(
    LEN(U16)=0,
    "  0",
    CONCATENATE(REPT(" ",Vocation!B$12-LEN(U16)),U16)),
  CONCATENATE(REPT(" ",Vocation!B$12-LEN(T16)),T16))</f>
        <v xml:space="preserve">  0</v>
      </c>
      <c r="W16" t="str">
        <f t="shared" si="10"/>
        <v xml:space="preserve">["SUBTYPE"] =   0; </v>
      </c>
      <c r="X16" t="str">
        <f t="shared" si="11"/>
        <v>0</v>
      </c>
      <c r="Y16" t="str">
        <f t="shared" si="12"/>
        <v xml:space="preserve">["VXP"] =    0; </v>
      </c>
      <c r="Z16" t="str">
        <f t="shared" si="13"/>
        <v>0</v>
      </c>
      <c r="AA16" t="str">
        <f t="shared" si="14"/>
        <v xml:space="preserve">["LP"] =  0; </v>
      </c>
      <c r="AB16" t="str">
        <f t="shared" si="15"/>
        <v>0</v>
      </c>
      <c r="AC16" t="str">
        <f t="shared" si="16"/>
        <v xml:space="preserve">["REP"] =    0; </v>
      </c>
      <c r="AD16" t="e">
        <f>VLOOKUP(I16,Faction!A$2:B$77,2,FALSE)</f>
        <v>#N/A</v>
      </c>
      <c r="AE16" t="e">
        <f t="shared" si="17"/>
        <v>#N/A</v>
      </c>
      <c r="AF16" t="str">
        <f t="shared" si="18"/>
        <v xml:space="preserve">["TIER"] = 0; </v>
      </c>
      <c r="AG16" t="str">
        <f t="shared" si="19"/>
        <v xml:space="preserve">["NAME"] = { ["EN"] = ""; }; </v>
      </c>
      <c r="AH16" t="str">
        <f t="shared" si="20"/>
        <v xml:space="preserve">["LORE"] = { ["EN"] = ""; }; </v>
      </c>
      <c r="AI16" t="str">
        <f t="shared" si="21"/>
        <v xml:space="preserve">["SUMMARY"] = { ["EN"] = ""; }; </v>
      </c>
      <c r="AJ16" t="str">
        <f t="shared" si="22"/>
        <v/>
      </c>
      <c r="AK16" t="str">
        <f t="shared" si="23"/>
        <v>};</v>
      </c>
    </row>
    <row r="17" spans="14:37" x14ac:dyDescent="0.25">
      <c r="N17" s="1" t="e">
        <f t="shared" si="5"/>
        <v>#N/A</v>
      </c>
      <c r="O17">
        <f t="shared" si="6"/>
        <v>16</v>
      </c>
      <c r="P17" t="str">
        <f t="shared" si="7"/>
        <v xml:space="preserve"> [16] = {</v>
      </c>
      <c r="Q17" s="1" t="str">
        <f t="shared" si="8"/>
        <v/>
      </c>
      <c r="R17" t="e">
        <f>VLOOKUP(C17,Type!A$2:B$17,2,FALSE)</f>
        <v>#N/A</v>
      </c>
      <c r="S17" t="e">
        <f t="shared" si="9"/>
        <v>#N/A</v>
      </c>
      <c r="T17" t="str">
        <f>IF(AND(C17="Class",NOT(ISBLANK(D17))),VLOOKUP(D17,Class!A$1:B$9,2,FALSE),"")</f>
        <v/>
      </c>
      <c r="U17" t="str">
        <f>IF(AND(C17="Vocation",NOT(ISBLANK(D17))),VLOOKUP(D17,Vocation!A$1:B$8,2,FALSE),"")</f>
        <v/>
      </c>
      <c r="V17" t="str">
        <f>IF(
  LEN(T17)=0,
    IF(
    LEN(U17)=0,
    "  0",
    CONCATENATE(REPT(" ",Vocation!B$12-LEN(U17)),U17)),
  CONCATENATE(REPT(" ",Vocation!B$12-LEN(T17)),T17))</f>
        <v xml:space="preserve">  0</v>
      </c>
      <c r="W17" t="str">
        <f t="shared" si="10"/>
        <v xml:space="preserve">["SUBTYPE"] =   0; </v>
      </c>
      <c r="X17" t="str">
        <f t="shared" si="11"/>
        <v>0</v>
      </c>
      <c r="Y17" t="str">
        <f t="shared" si="12"/>
        <v xml:space="preserve">["VXP"] =    0; </v>
      </c>
      <c r="Z17" t="str">
        <f t="shared" si="13"/>
        <v>0</v>
      </c>
      <c r="AA17" t="str">
        <f t="shared" si="14"/>
        <v xml:space="preserve">["LP"] =  0; </v>
      </c>
      <c r="AB17" t="str">
        <f t="shared" si="15"/>
        <v>0</v>
      </c>
      <c r="AC17" t="str">
        <f t="shared" si="16"/>
        <v xml:space="preserve">["REP"] =    0; </v>
      </c>
      <c r="AD17" t="e">
        <f>VLOOKUP(I17,Faction!A$2:B$77,2,FALSE)</f>
        <v>#N/A</v>
      </c>
      <c r="AE17" t="e">
        <f t="shared" si="17"/>
        <v>#N/A</v>
      </c>
      <c r="AF17" t="str">
        <f t="shared" si="18"/>
        <v xml:space="preserve">["TIER"] = 0; </v>
      </c>
      <c r="AG17" t="str">
        <f t="shared" si="19"/>
        <v xml:space="preserve">["NAME"] = { ["EN"] = ""; }; </v>
      </c>
      <c r="AH17" t="str">
        <f t="shared" si="20"/>
        <v xml:space="preserve">["LORE"] = { ["EN"] = ""; }; </v>
      </c>
      <c r="AI17" t="str">
        <f t="shared" si="21"/>
        <v xml:space="preserve">["SUMMARY"] = { ["EN"] = ""; }; </v>
      </c>
      <c r="AJ17" t="str">
        <f t="shared" si="22"/>
        <v/>
      </c>
      <c r="AK17" t="str">
        <f t="shared" si="23"/>
        <v>};</v>
      </c>
    </row>
    <row r="18" spans="14:37" x14ac:dyDescent="0.25">
      <c r="N18" s="1" t="e">
        <f t="shared" si="5"/>
        <v>#N/A</v>
      </c>
      <c r="O18">
        <f t="shared" si="6"/>
        <v>17</v>
      </c>
      <c r="P18" t="str">
        <f t="shared" si="7"/>
        <v xml:space="preserve"> [17] = {</v>
      </c>
      <c r="Q18" s="1" t="str">
        <f t="shared" si="8"/>
        <v/>
      </c>
      <c r="R18" t="e">
        <f>VLOOKUP(C18,Type!A$2:B$17,2,FALSE)</f>
        <v>#N/A</v>
      </c>
      <c r="S18" t="e">
        <f t="shared" si="9"/>
        <v>#N/A</v>
      </c>
      <c r="T18" t="str">
        <f>IF(AND(C18="Class",NOT(ISBLANK(D18))),VLOOKUP(D18,Class!A$1:B$9,2,FALSE),"")</f>
        <v/>
      </c>
      <c r="U18" t="str">
        <f>IF(AND(C18="Vocation",NOT(ISBLANK(D18))),VLOOKUP(D18,Vocation!A$1:B$8,2,FALSE),"")</f>
        <v/>
      </c>
      <c r="V18" t="str">
        <f>IF(
  LEN(T18)=0,
    IF(
    LEN(U18)=0,
    "  0",
    CONCATENATE(REPT(" ",Vocation!B$12-LEN(U18)),U18)),
  CONCATENATE(REPT(" ",Vocation!B$12-LEN(T18)),T18))</f>
        <v xml:space="preserve">  0</v>
      </c>
      <c r="W18" t="str">
        <f t="shared" si="10"/>
        <v xml:space="preserve">["SUBTYPE"] =   0; </v>
      </c>
      <c r="X18" t="str">
        <f t="shared" si="11"/>
        <v>0</v>
      </c>
      <c r="Y18" t="str">
        <f t="shared" si="12"/>
        <v xml:space="preserve">["VXP"] =    0; </v>
      </c>
      <c r="Z18" t="str">
        <f t="shared" si="13"/>
        <v>0</v>
      </c>
      <c r="AA18" t="str">
        <f t="shared" si="14"/>
        <v xml:space="preserve">["LP"] =  0; </v>
      </c>
      <c r="AB18" t="str">
        <f t="shared" si="15"/>
        <v>0</v>
      </c>
      <c r="AC18" t="str">
        <f t="shared" si="16"/>
        <v xml:space="preserve">["REP"] =    0; </v>
      </c>
      <c r="AD18" t="e">
        <f>VLOOKUP(I18,Faction!A$2:B$77,2,FALSE)</f>
        <v>#N/A</v>
      </c>
      <c r="AE18" t="e">
        <f t="shared" si="17"/>
        <v>#N/A</v>
      </c>
      <c r="AF18" t="str">
        <f t="shared" si="18"/>
        <v xml:space="preserve">["TIER"] = 0; </v>
      </c>
      <c r="AG18" t="str">
        <f t="shared" si="19"/>
        <v xml:space="preserve">["NAME"] = { ["EN"] = ""; }; </v>
      </c>
      <c r="AH18" t="str">
        <f t="shared" si="20"/>
        <v xml:space="preserve">["LORE"] = { ["EN"] = ""; }; </v>
      </c>
      <c r="AI18" t="str">
        <f t="shared" si="21"/>
        <v xml:space="preserve">["SUMMARY"] = { ["EN"] = ""; }; </v>
      </c>
      <c r="AJ18" t="str">
        <f t="shared" si="22"/>
        <v/>
      </c>
      <c r="AK18" t="str">
        <f t="shared" si="23"/>
        <v>};</v>
      </c>
    </row>
    <row r="19" spans="14:37" x14ac:dyDescent="0.25">
      <c r="N19" s="1" t="e">
        <f t="shared" si="5"/>
        <v>#N/A</v>
      </c>
      <c r="O19">
        <f t="shared" si="6"/>
        <v>18</v>
      </c>
      <c r="P19" t="str">
        <f t="shared" si="7"/>
        <v xml:space="preserve"> [18] = {</v>
      </c>
      <c r="Q19" s="1" t="str">
        <f t="shared" si="8"/>
        <v/>
      </c>
      <c r="R19" t="e">
        <f>VLOOKUP(C19,Type!A$2:B$17,2,FALSE)</f>
        <v>#N/A</v>
      </c>
      <c r="S19" t="e">
        <f t="shared" si="9"/>
        <v>#N/A</v>
      </c>
      <c r="T19" t="str">
        <f>IF(AND(C19="Class",NOT(ISBLANK(D19))),VLOOKUP(D19,Class!A$1:B$9,2,FALSE),"")</f>
        <v/>
      </c>
      <c r="U19" t="str">
        <f>IF(AND(C19="Vocation",NOT(ISBLANK(D19))),VLOOKUP(D19,Vocation!A$1:B$8,2,FALSE),"")</f>
        <v/>
      </c>
      <c r="V19" t="str">
        <f>IF(
  LEN(T19)=0,
    IF(
    LEN(U19)=0,
    "  0",
    CONCATENATE(REPT(" ",Vocation!B$12-LEN(U19)),U19)),
  CONCATENATE(REPT(" ",Vocation!B$12-LEN(T19)),T19))</f>
        <v xml:space="preserve">  0</v>
      </c>
      <c r="W19" t="str">
        <f t="shared" si="10"/>
        <v xml:space="preserve">["SUBTYPE"] =   0; </v>
      </c>
      <c r="X19" t="str">
        <f t="shared" si="11"/>
        <v>0</v>
      </c>
      <c r="Y19" t="str">
        <f t="shared" si="12"/>
        <v xml:space="preserve">["VXP"] =    0; </v>
      </c>
      <c r="Z19" t="str">
        <f t="shared" si="13"/>
        <v>0</v>
      </c>
      <c r="AA19" t="str">
        <f t="shared" si="14"/>
        <v xml:space="preserve">["LP"] =  0; </v>
      </c>
      <c r="AB19" t="str">
        <f t="shared" si="15"/>
        <v>0</v>
      </c>
      <c r="AC19" t="str">
        <f t="shared" si="16"/>
        <v xml:space="preserve">["REP"] =    0; </v>
      </c>
      <c r="AD19" t="e">
        <f>VLOOKUP(I19,Faction!A$2:B$77,2,FALSE)</f>
        <v>#N/A</v>
      </c>
      <c r="AE19" t="e">
        <f t="shared" si="17"/>
        <v>#N/A</v>
      </c>
      <c r="AF19" t="str">
        <f t="shared" si="18"/>
        <v xml:space="preserve">["TIER"] = 0; </v>
      </c>
      <c r="AG19" t="str">
        <f t="shared" si="19"/>
        <v xml:space="preserve">["NAME"] = { ["EN"] = ""; }; </v>
      </c>
      <c r="AH19" t="str">
        <f t="shared" si="20"/>
        <v xml:space="preserve">["LORE"] = { ["EN"] = ""; }; </v>
      </c>
      <c r="AI19" t="str">
        <f t="shared" si="21"/>
        <v xml:space="preserve">["SUMMARY"] = { ["EN"] = ""; }; </v>
      </c>
      <c r="AJ19" t="str">
        <f t="shared" si="22"/>
        <v/>
      </c>
      <c r="AK19" t="str">
        <f t="shared" si="23"/>
        <v>};</v>
      </c>
    </row>
    <row r="20" spans="14:37" x14ac:dyDescent="0.25">
      <c r="N20" s="1" t="e">
        <f t="shared" si="5"/>
        <v>#N/A</v>
      </c>
      <c r="O20">
        <f t="shared" si="6"/>
        <v>19</v>
      </c>
      <c r="P20" t="str">
        <f t="shared" si="7"/>
        <v xml:space="preserve"> [19] = {</v>
      </c>
      <c r="Q20" s="1" t="str">
        <f t="shared" si="8"/>
        <v/>
      </c>
      <c r="R20" t="e">
        <f>VLOOKUP(C20,Type!A$2:B$17,2,FALSE)</f>
        <v>#N/A</v>
      </c>
      <c r="S20" t="e">
        <f t="shared" si="9"/>
        <v>#N/A</v>
      </c>
      <c r="T20" t="str">
        <f>IF(AND(C20="Class",NOT(ISBLANK(D20))),VLOOKUP(D20,Class!A$1:B$9,2,FALSE),"")</f>
        <v/>
      </c>
      <c r="U20" t="str">
        <f>IF(AND(C20="Vocation",NOT(ISBLANK(D20))),VLOOKUP(D20,Vocation!A$1:B$8,2,FALSE),"")</f>
        <v/>
      </c>
      <c r="V20" t="str">
        <f>IF(
  LEN(T20)=0,
    IF(
    LEN(U20)=0,
    "  0",
    CONCATENATE(REPT(" ",Vocation!B$12-LEN(U20)),U20)),
  CONCATENATE(REPT(" ",Vocation!B$12-LEN(T20)),T20))</f>
        <v xml:space="preserve">  0</v>
      </c>
      <c r="W20" t="str">
        <f t="shared" si="10"/>
        <v xml:space="preserve">["SUBTYPE"] =   0; </v>
      </c>
      <c r="X20" t="str">
        <f t="shared" si="11"/>
        <v>0</v>
      </c>
      <c r="Y20" t="str">
        <f t="shared" si="12"/>
        <v xml:space="preserve">["VXP"] =    0; </v>
      </c>
      <c r="Z20" t="str">
        <f t="shared" si="13"/>
        <v>0</v>
      </c>
      <c r="AA20" t="str">
        <f t="shared" si="14"/>
        <v xml:space="preserve">["LP"] =  0; </v>
      </c>
      <c r="AB20" t="str">
        <f t="shared" si="15"/>
        <v>0</v>
      </c>
      <c r="AC20" t="str">
        <f t="shared" si="16"/>
        <v xml:space="preserve">["REP"] =    0; </v>
      </c>
      <c r="AD20" t="e">
        <f>VLOOKUP(I20,Faction!A$2:B$77,2,FALSE)</f>
        <v>#N/A</v>
      </c>
      <c r="AE20" t="e">
        <f t="shared" si="17"/>
        <v>#N/A</v>
      </c>
      <c r="AF20" t="str">
        <f t="shared" si="18"/>
        <v xml:space="preserve">["TIER"] = 0; </v>
      </c>
      <c r="AG20" t="str">
        <f t="shared" si="19"/>
        <v xml:space="preserve">["NAME"] = { ["EN"] = ""; }; </v>
      </c>
      <c r="AH20" t="str">
        <f t="shared" si="20"/>
        <v xml:space="preserve">["LORE"] = { ["EN"] = ""; }; </v>
      </c>
      <c r="AI20" t="str">
        <f t="shared" si="21"/>
        <v xml:space="preserve">["SUMMARY"] = { ["EN"] = ""; }; </v>
      </c>
      <c r="AJ20" t="str">
        <f t="shared" si="22"/>
        <v/>
      </c>
      <c r="AK20" t="str">
        <f t="shared" si="23"/>
        <v>};</v>
      </c>
    </row>
    <row r="21" spans="14:37" x14ac:dyDescent="0.25">
      <c r="N21" s="1" t="e">
        <f t="shared" si="5"/>
        <v>#N/A</v>
      </c>
      <c r="O21">
        <f t="shared" si="6"/>
        <v>20</v>
      </c>
      <c r="P21" t="str">
        <f t="shared" si="7"/>
        <v xml:space="preserve"> [20] = {</v>
      </c>
      <c r="Q21" s="1" t="str">
        <f t="shared" si="8"/>
        <v/>
      </c>
      <c r="R21" t="e">
        <f>VLOOKUP(C21,Type!A$2:B$17,2,FALSE)</f>
        <v>#N/A</v>
      </c>
      <c r="S21" t="e">
        <f t="shared" si="9"/>
        <v>#N/A</v>
      </c>
      <c r="T21" t="str">
        <f>IF(AND(C21="Class",NOT(ISBLANK(D21))),VLOOKUP(D21,Class!A$1:B$9,2,FALSE),"")</f>
        <v/>
      </c>
      <c r="U21" t="str">
        <f>IF(AND(C21="Vocation",NOT(ISBLANK(D21))),VLOOKUP(D21,Vocation!A$1:B$8,2,FALSE),"")</f>
        <v/>
      </c>
      <c r="V21" t="str">
        <f>IF(
  LEN(T21)=0,
    IF(
    LEN(U21)=0,
    "  0",
    CONCATENATE(REPT(" ",Vocation!B$12-LEN(U21)),U21)),
  CONCATENATE(REPT(" ",Vocation!B$12-LEN(T21)),T21))</f>
        <v xml:space="preserve">  0</v>
      </c>
      <c r="W21" t="str">
        <f t="shared" si="10"/>
        <v xml:space="preserve">["SUBTYPE"] =   0; </v>
      </c>
      <c r="X21" t="str">
        <f t="shared" si="11"/>
        <v>0</v>
      </c>
      <c r="Y21" t="str">
        <f t="shared" si="12"/>
        <v xml:space="preserve">["VXP"] =    0; </v>
      </c>
      <c r="Z21" t="str">
        <f t="shared" si="13"/>
        <v>0</v>
      </c>
      <c r="AA21" t="str">
        <f t="shared" si="14"/>
        <v xml:space="preserve">["LP"] =  0; </v>
      </c>
      <c r="AB21" t="str">
        <f t="shared" si="15"/>
        <v>0</v>
      </c>
      <c r="AC21" t="str">
        <f t="shared" si="16"/>
        <v xml:space="preserve">["REP"] =    0; </v>
      </c>
      <c r="AD21" t="e">
        <f>VLOOKUP(I21,Faction!A$2:B$77,2,FALSE)</f>
        <v>#N/A</v>
      </c>
      <c r="AE21" t="e">
        <f t="shared" si="17"/>
        <v>#N/A</v>
      </c>
      <c r="AF21" t="str">
        <f t="shared" si="18"/>
        <v xml:space="preserve">["TIER"] = 0; </v>
      </c>
      <c r="AG21" t="str">
        <f t="shared" si="19"/>
        <v xml:space="preserve">["NAME"] = { ["EN"] = ""; }; </v>
      </c>
      <c r="AH21" t="str">
        <f t="shared" si="20"/>
        <v xml:space="preserve">["LORE"] = { ["EN"] = ""; }; </v>
      </c>
      <c r="AI21" t="str">
        <f t="shared" si="21"/>
        <v xml:space="preserve">["SUMMARY"] = { ["EN"] = ""; }; </v>
      </c>
      <c r="AJ21" t="str">
        <f t="shared" si="22"/>
        <v/>
      </c>
      <c r="AK21" t="str">
        <f t="shared" si="23"/>
        <v>};</v>
      </c>
    </row>
    <row r="22" spans="14:37" x14ac:dyDescent="0.25">
      <c r="N22" s="1" t="e">
        <f t="shared" si="5"/>
        <v>#N/A</v>
      </c>
      <c r="O22">
        <f t="shared" si="6"/>
        <v>21</v>
      </c>
      <c r="P22" t="str">
        <f t="shared" si="7"/>
        <v xml:space="preserve"> [21] = {</v>
      </c>
      <c r="Q22" s="1" t="str">
        <f t="shared" si="8"/>
        <v/>
      </c>
      <c r="R22" t="e">
        <f>VLOOKUP(C22,Type!A$2:B$17,2,FALSE)</f>
        <v>#N/A</v>
      </c>
      <c r="S22" t="e">
        <f t="shared" si="9"/>
        <v>#N/A</v>
      </c>
      <c r="T22" t="str">
        <f>IF(AND(C22="Class",NOT(ISBLANK(D22))),VLOOKUP(D22,Class!A$1:B$9,2,FALSE),"")</f>
        <v/>
      </c>
      <c r="U22" t="str">
        <f>IF(AND(C22="Vocation",NOT(ISBLANK(D22))),VLOOKUP(D22,Vocation!A$1:B$8,2,FALSE),"")</f>
        <v/>
      </c>
      <c r="V22" t="str">
        <f>IF(
  LEN(T22)=0,
    IF(
    LEN(U22)=0,
    "  0",
    CONCATENATE(REPT(" ",Vocation!B$12-LEN(U22)),U22)),
  CONCATENATE(REPT(" ",Vocation!B$12-LEN(T22)),T22))</f>
        <v xml:space="preserve">  0</v>
      </c>
      <c r="W22" t="str">
        <f t="shared" si="10"/>
        <v xml:space="preserve">["SUBTYPE"] =   0; </v>
      </c>
      <c r="X22" t="str">
        <f t="shared" si="11"/>
        <v>0</v>
      </c>
      <c r="Y22" t="str">
        <f t="shared" si="12"/>
        <v xml:space="preserve">["VXP"] =    0; </v>
      </c>
      <c r="Z22" t="str">
        <f t="shared" si="13"/>
        <v>0</v>
      </c>
      <c r="AA22" t="str">
        <f t="shared" si="14"/>
        <v xml:space="preserve">["LP"] =  0; </v>
      </c>
      <c r="AB22" t="str">
        <f t="shared" si="15"/>
        <v>0</v>
      </c>
      <c r="AC22" t="str">
        <f t="shared" si="16"/>
        <v xml:space="preserve">["REP"] =    0; </v>
      </c>
      <c r="AD22" t="e">
        <f>VLOOKUP(I22,Faction!A$2:B$77,2,FALSE)</f>
        <v>#N/A</v>
      </c>
      <c r="AE22" t="e">
        <f t="shared" si="17"/>
        <v>#N/A</v>
      </c>
      <c r="AF22" t="str">
        <f t="shared" si="18"/>
        <v xml:space="preserve">["TIER"] = 0; </v>
      </c>
      <c r="AG22" t="str">
        <f t="shared" si="19"/>
        <v xml:space="preserve">["NAME"] = { ["EN"] = ""; }; </v>
      </c>
      <c r="AH22" t="str">
        <f t="shared" si="20"/>
        <v xml:space="preserve">["LORE"] = { ["EN"] = ""; }; </v>
      </c>
      <c r="AI22" t="str">
        <f t="shared" si="21"/>
        <v xml:space="preserve">["SUMMARY"] = { ["EN"] = ""; }; </v>
      </c>
      <c r="AJ22" t="str">
        <f t="shared" si="22"/>
        <v/>
      </c>
      <c r="AK22" t="str">
        <f t="shared" si="23"/>
        <v>};</v>
      </c>
    </row>
    <row r="23" spans="14:37" x14ac:dyDescent="0.25">
      <c r="N23" s="1" t="e">
        <f t="shared" si="5"/>
        <v>#N/A</v>
      </c>
      <c r="O23">
        <f t="shared" si="6"/>
        <v>22</v>
      </c>
      <c r="P23" t="str">
        <f t="shared" si="7"/>
        <v xml:space="preserve"> [22] = {</v>
      </c>
      <c r="Q23" s="1" t="str">
        <f t="shared" si="8"/>
        <v/>
      </c>
      <c r="R23" t="e">
        <f>VLOOKUP(C23,Type!A$2:B$17,2,FALSE)</f>
        <v>#N/A</v>
      </c>
      <c r="S23" t="e">
        <f t="shared" si="9"/>
        <v>#N/A</v>
      </c>
      <c r="T23" t="str">
        <f>IF(AND(C23="Class",NOT(ISBLANK(D23))),VLOOKUP(D23,Class!A$1:B$9,2,FALSE),"")</f>
        <v/>
      </c>
      <c r="U23" t="str">
        <f>IF(AND(C23="Vocation",NOT(ISBLANK(D23))),VLOOKUP(D23,Vocation!A$1:B$8,2,FALSE),"")</f>
        <v/>
      </c>
      <c r="V23" t="str">
        <f>IF(
  LEN(T23)=0,
    IF(
    LEN(U23)=0,
    "  0",
    CONCATENATE(REPT(" ",Vocation!B$12-LEN(U23)),U23)),
  CONCATENATE(REPT(" ",Vocation!B$12-LEN(T23)),T23))</f>
        <v xml:space="preserve">  0</v>
      </c>
      <c r="W23" t="str">
        <f t="shared" si="10"/>
        <v xml:space="preserve">["SUBTYPE"] =   0; </v>
      </c>
      <c r="X23" t="str">
        <f t="shared" si="11"/>
        <v>0</v>
      </c>
      <c r="Y23" t="str">
        <f t="shared" si="12"/>
        <v xml:space="preserve">["VXP"] =    0; </v>
      </c>
      <c r="Z23" t="str">
        <f t="shared" si="13"/>
        <v>0</v>
      </c>
      <c r="AA23" t="str">
        <f t="shared" si="14"/>
        <v xml:space="preserve">["LP"] =  0; </v>
      </c>
      <c r="AB23" t="str">
        <f t="shared" si="15"/>
        <v>0</v>
      </c>
      <c r="AC23" t="str">
        <f t="shared" si="16"/>
        <v xml:space="preserve">["REP"] =    0; </v>
      </c>
      <c r="AD23" t="e">
        <f>VLOOKUP(I23,Faction!A$2:B$77,2,FALSE)</f>
        <v>#N/A</v>
      </c>
      <c r="AE23" t="e">
        <f t="shared" si="17"/>
        <v>#N/A</v>
      </c>
      <c r="AF23" t="str">
        <f t="shared" si="18"/>
        <v xml:space="preserve">["TIER"] = 0; </v>
      </c>
      <c r="AG23" t="str">
        <f t="shared" si="19"/>
        <v xml:space="preserve">["NAME"] = { ["EN"] = ""; }; </v>
      </c>
      <c r="AH23" t="str">
        <f t="shared" si="20"/>
        <v xml:space="preserve">["LORE"] = { ["EN"] = ""; }; </v>
      </c>
      <c r="AI23" t="str">
        <f t="shared" si="21"/>
        <v xml:space="preserve">["SUMMARY"] = { ["EN"] = ""; }; </v>
      </c>
      <c r="AJ23" t="str">
        <f t="shared" si="22"/>
        <v/>
      </c>
      <c r="AK23" t="str">
        <f t="shared" si="23"/>
        <v>};</v>
      </c>
    </row>
    <row r="24" spans="14:37" x14ac:dyDescent="0.25">
      <c r="N24" s="1" t="e">
        <f t="shared" si="5"/>
        <v>#N/A</v>
      </c>
      <c r="O24">
        <f t="shared" si="6"/>
        <v>23</v>
      </c>
      <c r="P24" t="str">
        <f t="shared" si="7"/>
        <v xml:space="preserve"> [23] = {</v>
      </c>
      <c r="Q24" s="1" t="str">
        <f t="shared" si="8"/>
        <v/>
      </c>
      <c r="R24" t="e">
        <f>VLOOKUP(C24,Type!A$2:B$17,2,FALSE)</f>
        <v>#N/A</v>
      </c>
      <c r="S24" t="e">
        <f t="shared" si="9"/>
        <v>#N/A</v>
      </c>
      <c r="T24" t="str">
        <f>IF(AND(C24="Class",NOT(ISBLANK(D24))),VLOOKUP(D24,Class!A$1:B$9,2,FALSE),"")</f>
        <v/>
      </c>
      <c r="U24" t="str">
        <f>IF(AND(C24="Vocation",NOT(ISBLANK(D24))),VLOOKUP(D24,Vocation!A$1:B$8,2,FALSE),"")</f>
        <v/>
      </c>
      <c r="V24" t="str">
        <f>IF(
  LEN(T24)=0,
    IF(
    LEN(U24)=0,
    "  0",
    CONCATENATE(REPT(" ",Vocation!B$12-LEN(U24)),U24)),
  CONCATENATE(REPT(" ",Vocation!B$12-LEN(T24)),T24))</f>
        <v xml:space="preserve">  0</v>
      </c>
      <c r="W24" t="str">
        <f t="shared" si="10"/>
        <v xml:space="preserve">["SUBTYPE"] =   0; </v>
      </c>
      <c r="X24" t="str">
        <f t="shared" si="11"/>
        <v>0</v>
      </c>
      <c r="Y24" t="str">
        <f t="shared" si="12"/>
        <v xml:space="preserve">["VXP"] =    0; </v>
      </c>
      <c r="Z24" t="str">
        <f t="shared" si="13"/>
        <v>0</v>
      </c>
      <c r="AA24" t="str">
        <f t="shared" si="14"/>
        <v xml:space="preserve">["LP"] =  0; </v>
      </c>
      <c r="AB24" t="str">
        <f t="shared" si="15"/>
        <v>0</v>
      </c>
      <c r="AC24" t="str">
        <f t="shared" si="16"/>
        <v xml:space="preserve">["REP"] =    0; </v>
      </c>
      <c r="AD24" t="e">
        <f>VLOOKUP(I24,Faction!A$2:B$77,2,FALSE)</f>
        <v>#N/A</v>
      </c>
      <c r="AE24" t="e">
        <f t="shared" si="17"/>
        <v>#N/A</v>
      </c>
      <c r="AF24" t="str">
        <f t="shared" si="18"/>
        <v xml:space="preserve">["TIER"] = 0; </v>
      </c>
      <c r="AG24" t="str">
        <f t="shared" si="19"/>
        <v xml:space="preserve">["NAME"] = { ["EN"] = ""; }; </v>
      </c>
      <c r="AH24" t="str">
        <f t="shared" si="20"/>
        <v xml:space="preserve">["LORE"] = { ["EN"] = ""; }; </v>
      </c>
      <c r="AI24" t="str">
        <f t="shared" si="21"/>
        <v xml:space="preserve">["SUMMARY"] = { ["EN"] = ""; }; </v>
      </c>
      <c r="AJ24" t="str">
        <f t="shared" si="22"/>
        <v/>
      </c>
      <c r="AK24" t="str">
        <f t="shared" si="23"/>
        <v>};</v>
      </c>
    </row>
    <row r="25" spans="14:37" x14ac:dyDescent="0.25">
      <c r="N25" s="1" t="e">
        <f t="shared" si="5"/>
        <v>#N/A</v>
      </c>
      <c r="O25">
        <f t="shared" si="6"/>
        <v>24</v>
      </c>
      <c r="P25" t="str">
        <f t="shared" si="7"/>
        <v xml:space="preserve"> [24] = {</v>
      </c>
      <c r="Q25" s="1" t="str">
        <f t="shared" si="8"/>
        <v/>
      </c>
      <c r="R25" t="e">
        <f>VLOOKUP(C25,Type!A$2:B$17,2,FALSE)</f>
        <v>#N/A</v>
      </c>
      <c r="S25" t="e">
        <f t="shared" si="9"/>
        <v>#N/A</v>
      </c>
      <c r="T25" t="str">
        <f>IF(AND(C25="Class",NOT(ISBLANK(D25))),VLOOKUP(D25,Class!A$1:B$9,2,FALSE),"")</f>
        <v/>
      </c>
      <c r="U25" t="str">
        <f>IF(AND(C25="Vocation",NOT(ISBLANK(D25))),VLOOKUP(D25,Vocation!A$1:B$8,2,FALSE),"")</f>
        <v/>
      </c>
      <c r="V25" t="str">
        <f>IF(
  LEN(T25)=0,
    IF(
    LEN(U25)=0,
    "  0",
    CONCATENATE(REPT(" ",Vocation!B$12-LEN(U25)),U25)),
  CONCATENATE(REPT(" ",Vocation!B$12-LEN(T25)),T25))</f>
        <v xml:space="preserve">  0</v>
      </c>
      <c r="W25" t="str">
        <f t="shared" si="10"/>
        <v xml:space="preserve">["SUBTYPE"] =   0; </v>
      </c>
      <c r="X25" t="str">
        <f t="shared" si="11"/>
        <v>0</v>
      </c>
      <c r="Y25" t="str">
        <f t="shared" si="12"/>
        <v xml:space="preserve">["VXP"] =    0; </v>
      </c>
      <c r="Z25" t="str">
        <f t="shared" si="13"/>
        <v>0</v>
      </c>
      <c r="AA25" t="str">
        <f t="shared" si="14"/>
        <v xml:space="preserve">["LP"] =  0; </v>
      </c>
      <c r="AB25" t="str">
        <f t="shared" si="15"/>
        <v>0</v>
      </c>
      <c r="AC25" t="str">
        <f t="shared" si="16"/>
        <v xml:space="preserve">["REP"] =    0; </v>
      </c>
      <c r="AD25" t="e">
        <f>VLOOKUP(I25,Faction!A$2:B$77,2,FALSE)</f>
        <v>#N/A</v>
      </c>
      <c r="AE25" t="e">
        <f t="shared" si="17"/>
        <v>#N/A</v>
      </c>
      <c r="AF25" t="str">
        <f t="shared" si="18"/>
        <v xml:space="preserve">["TIER"] = 0; </v>
      </c>
      <c r="AG25" t="str">
        <f t="shared" si="19"/>
        <v xml:space="preserve">["NAME"] = { ["EN"] = ""; }; </v>
      </c>
      <c r="AH25" t="str">
        <f t="shared" si="20"/>
        <v xml:space="preserve">["LORE"] = { ["EN"] = ""; }; </v>
      </c>
      <c r="AI25" t="str">
        <f t="shared" si="21"/>
        <v xml:space="preserve">["SUMMARY"] = { ["EN"] = ""; }; </v>
      </c>
      <c r="AJ25" t="str">
        <f t="shared" si="22"/>
        <v/>
      </c>
      <c r="AK25" t="str">
        <f t="shared" si="23"/>
        <v>};</v>
      </c>
    </row>
    <row r="26" spans="14:37" x14ac:dyDescent="0.25">
      <c r="N26" s="1" t="e">
        <f t="shared" si="5"/>
        <v>#N/A</v>
      </c>
      <c r="O26">
        <f t="shared" si="6"/>
        <v>25</v>
      </c>
      <c r="P26" t="str">
        <f t="shared" si="7"/>
        <v xml:space="preserve"> [25] = {</v>
      </c>
      <c r="Q26" s="1" t="str">
        <f t="shared" si="8"/>
        <v/>
      </c>
      <c r="R26" t="e">
        <f>VLOOKUP(C26,Type!A$2:B$17,2,FALSE)</f>
        <v>#N/A</v>
      </c>
      <c r="S26" t="e">
        <f t="shared" si="9"/>
        <v>#N/A</v>
      </c>
      <c r="T26" t="str">
        <f>IF(AND(C26="Class",NOT(ISBLANK(D26))),VLOOKUP(D26,Class!A$1:B$9,2,FALSE),"")</f>
        <v/>
      </c>
      <c r="U26" t="str">
        <f>IF(AND(C26="Vocation",NOT(ISBLANK(D26))),VLOOKUP(D26,Vocation!A$1:B$8,2,FALSE),"")</f>
        <v/>
      </c>
      <c r="V26" t="str">
        <f>IF(
  LEN(T26)=0,
    IF(
    LEN(U26)=0,
    "  0",
    CONCATENATE(REPT(" ",Vocation!B$12-LEN(U26)),U26)),
  CONCATENATE(REPT(" ",Vocation!B$12-LEN(T26)),T26))</f>
        <v xml:space="preserve">  0</v>
      </c>
      <c r="W26" t="str">
        <f t="shared" si="10"/>
        <v xml:space="preserve">["SUBTYPE"] =   0; </v>
      </c>
      <c r="X26" t="str">
        <f t="shared" si="11"/>
        <v>0</v>
      </c>
      <c r="Y26" t="str">
        <f t="shared" si="12"/>
        <v xml:space="preserve">["VXP"] =    0; </v>
      </c>
      <c r="Z26" t="str">
        <f t="shared" si="13"/>
        <v>0</v>
      </c>
      <c r="AA26" t="str">
        <f t="shared" si="14"/>
        <v xml:space="preserve">["LP"] =  0; </v>
      </c>
      <c r="AB26" t="str">
        <f t="shared" si="15"/>
        <v>0</v>
      </c>
      <c r="AC26" t="str">
        <f t="shared" si="16"/>
        <v xml:space="preserve">["REP"] =    0; </v>
      </c>
      <c r="AD26" t="e">
        <f>VLOOKUP(I26,Faction!A$2:B$77,2,FALSE)</f>
        <v>#N/A</v>
      </c>
      <c r="AE26" t="e">
        <f t="shared" si="17"/>
        <v>#N/A</v>
      </c>
      <c r="AF26" t="str">
        <f t="shared" si="18"/>
        <v xml:space="preserve">["TIER"] = 0; </v>
      </c>
      <c r="AG26" t="str">
        <f t="shared" si="19"/>
        <v xml:space="preserve">["NAME"] = { ["EN"] = ""; }; </v>
      </c>
      <c r="AH26" t="str">
        <f t="shared" si="20"/>
        <v xml:space="preserve">["LORE"] = { ["EN"] = ""; }; </v>
      </c>
      <c r="AI26" t="str">
        <f t="shared" si="21"/>
        <v xml:space="preserve">["SUMMARY"] = { ["EN"] = ""; }; </v>
      </c>
      <c r="AJ26" t="str">
        <f t="shared" si="22"/>
        <v/>
      </c>
      <c r="AK26" t="str">
        <f t="shared" si="23"/>
        <v>};</v>
      </c>
    </row>
    <row r="27" spans="14:37" x14ac:dyDescent="0.25">
      <c r="N27" s="1" t="e">
        <f t="shared" si="5"/>
        <v>#N/A</v>
      </c>
      <c r="O27">
        <f t="shared" si="6"/>
        <v>26</v>
      </c>
      <c r="P27" t="str">
        <f t="shared" si="7"/>
        <v xml:space="preserve"> [26] = {</v>
      </c>
      <c r="Q27" s="1" t="str">
        <f t="shared" si="8"/>
        <v/>
      </c>
      <c r="R27" t="e">
        <f>VLOOKUP(C27,Type!A$2:B$17,2,FALSE)</f>
        <v>#N/A</v>
      </c>
      <c r="S27" t="e">
        <f t="shared" si="9"/>
        <v>#N/A</v>
      </c>
      <c r="T27" t="str">
        <f>IF(AND(C27="Class",NOT(ISBLANK(D27))),VLOOKUP(D27,Class!A$1:B$9,2,FALSE),"")</f>
        <v/>
      </c>
      <c r="U27" t="str">
        <f>IF(AND(C27="Vocation",NOT(ISBLANK(D27))),VLOOKUP(D27,Vocation!A$1:B$8,2,FALSE),"")</f>
        <v/>
      </c>
      <c r="V27" t="str">
        <f>IF(
  LEN(T27)=0,
    IF(
    LEN(U27)=0,
    "  0",
    CONCATENATE(REPT(" ",Vocation!B$12-LEN(U27)),U27)),
  CONCATENATE(REPT(" ",Vocation!B$12-LEN(T27)),T27))</f>
        <v xml:space="preserve">  0</v>
      </c>
      <c r="W27" t="str">
        <f t="shared" si="10"/>
        <v xml:space="preserve">["SUBTYPE"] =   0; </v>
      </c>
      <c r="X27" t="str">
        <f t="shared" si="11"/>
        <v>0</v>
      </c>
      <c r="Y27" t="str">
        <f t="shared" si="12"/>
        <v xml:space="preserve">["VXP"] =    0; </v>
      </c>
      <c r="Z27" t="str">
        <f t="shared" si="13"/>
        <v>0</v>
      </c>
      <c r="AA27" t="str">
        <f t="shared" si="14"/>
        <v xml:space="preserve">["LP"] =  0; </v>
      </c>
      <c r="AB27" t="str">
        <f t="shared" si="15"/>
        <v>0</v>
      </c>
      <c r="AC27" t="str">
        <f t="shared" si="16"/>
        <v xml:space="preserve">["REP"] =    0; </v>
      </c>
      <c r="AD27" t="e">
        <f>VLOOKUP(I27,Faction!A$2:B$77,2,FALSE)</f>
        <v>#N/A</v>
      </c>
      <c r="AE27" t="e">
        <f t="shared" si="17"/>
        <v>#N/A</v>
      </c>
      <c r="AF27" t="str">
        <f t="shared" si="18"/>
        <v xml:space="preserve">["TIER"] = 0; </v>
      </c>
      <c r="AG27" t="str">
        <f t="shared" si="19"/>
        <v xml:space="preserve">["NAME"] = { ["EN"] = ""; }; </v>
      </c>
      <c r="AH27" t="str">
        <f t="shared" si="20"/>
        <v xml:space="preserve">["LORE"] = { ["EN"] = ""; }; </v>
      </c>
      <c r="AI27" t="str">
        <f t="shared" si="21"/>
        <v xml:space="preserve">["SUMMARY"] = { ["EN"] = ""; }; </v>
      </c>
      <c r="AJ27" t="str">
        <f t="shared" si="22"/>
        <v/>
      </c>
      <c r="AK27" t="str">
        <f t="shared" si="23"/>
        <v>};</v>
      </c>
    </row>
    <row r="28" spans="14:37" x14ac:dyDescent="0.25">
      <c r="N28" s="1" t="e">
        <f t="shared" si="5"/>
        <v>#N/A</v>
      </c>
      <c r="O28">
        <f t="shared" si="6"/>
        <v>27</v>
      </c>
      <c r="P28" t="str">
        <f t="shared" si="7"/>
        <v xml:space="preserve"> [27] = {</v>
      </c>
      <c r="Q28" s="1" t="str">
        <f t="shared" si="8"/>
        <v/>
      </c>
      <c r="R28" t="e">
        <f>VLOOKUP(C28,Type!A$2:B$17,2,FALSE)</f>
        <v>#N/A</v>
      </c>
      <c r="S28" t="e">
        <f t="shared" si="9"/>
        <v>#N/A</v>
      </c>
      <c r="T28" t="str">
        <f>IF(AND(C28="Class",NOT(ISBLANK(D28))),VLOOKUP(D28,Class!A$1:B$9,2,FALSE),"")</f>
        <v/>
      </c>
      <c r="U28" t="str">
        <f>IF(AND(C28="Vocation",NOT(ISBLANK(D28))),VLOOKUP(D28,Vocation!A$1:B$8,2,FALSE),"")</f>
        <v/>
      </c>
      <c r="V28" t="str">
        <f>IF(
  LEN(T28)=0,
    IF(
    LEN(U28)=0,
    "  0",
    CONCATENATE(REPT(" ",Vocation!B$12-LEN(U28)),U28)),
  CONCATENATE(REPT(" ",Vocation!B$12-LEN(T28)),T28))</f>
        <v xml:space="preserve">  0</v>
      </c>
      <c r="W28" t="str">
        <f t="shared" si="10"/>
        <v xml:space="preserve">["SUBTYPE"] =   0; </v>
      </c>
      <c r="X28" t="str">
        <f t="shared" si="11"/>
        <v>0</v>
      </c>
      <c r="Y28" t="str">
        <f t="shared" si="12"/>
        <v xml:space="preserve">["VXP"] =    0; </v>
      </c>
      <c r="Z28" t="str">
        <f t="shared" si="13"/>
        <v>0</v>
      </c>
      <c r="AA28" t="str">
        <f t="shared" si="14"/>
        <v xml:space="preserve">["LP"] =  0; </v>
      </c>
      <c r="AB28" t="str">
        <f t="shared" si="15"/>
        <v>0</v>
      </c>
      <c r="AC28" t="str">
        <f t="shared" si="16"/>
        <v xml:space="preserve">["REP"] =    0; </v>
      </c>
      <c r="AD28" t="e">
        <f>VLOOKUP(I28,Faction!A$2:B$77,2,FALSE)</f>
        <v>#N/A</v>
      </c>
      <c r="AE28" t="e">
        <f t="shared" si="17"/>
        <v>#N/A</v>
      </c>
      <c r="AF28" t="str">
        <f t="shared" si="18"/>
        <v xml:space="preserve">["TIER"] = 0; </v>
      </c>
      <c r="AG28" t="str">
        <f t="shared" si="19"/>
        <v xml:space="preserve">["NAME"] = { ["EN"] = ""; }; </v>
      </c>
      <c r="AH28" t="str">
        <f t="shared" si="20"/>
        <v xml:space="preserve">["LORE"] = { ["EN"] = ""; }; </v>
      </c>
      <c r="AI28" t="str">
        <f t="shared" si="21"/>
        <v xml:space="preserve">["SUMMARY"] = { ["EN"] = ""; }; </v>
      </c>
      <c r="AJ28" t="str">
        <f t="shared" si="22"/>
        <v/>
      </c>
      <c r="AK28" t="str">
        <f t="shared" si="23"/>
        <v>};</v>
      </c>
    </row>
    <row r="29" spans="14:37" x14ac:dyDescent="0.25">
      <c r="N29" s="1" t="e">
        <f t="shared" si="5"/>
        <v>#N/A</v>
      </c>
      <c r="O29">
        <f t="shared" si="6"/>
        <v>28</v>
      </c>
      <c r="P29" t="str">
        <f t="shared" si="7"/>
        <v xml:space="preserve"> [28] = {</v>
      </c>
      <c r="Q29" s="1" t="str">
        <f t="shared" si="8"/>
        <v/>
      </c>
      <c r="R29" t="e">
        <f>VLOOKUP(C29,Type!A$2:B$17,2,FALSE)</f>
        <v>#N/A</v>
      </c>
      <c r="S29" t="e">
        <f t="shared" si="9"/>
        <v>#N/A</v>
      </c>
      <c r="T29" t="str">
        <f>IF(AND(C29="Class",NOT(ISBLANK(D29))),VLOOKUP(D29,Class!A$1:B$9,2,FALSE),"")</f>
        <v/>
      </c>
      <c r="U29" t="str">
        <f>IF(AND(C29="Vocation",NOT(ISBLANK(D29))),VLOOKUP(D29,Vocation!A$1:B$8,2,FALSE),"")</f>
        <v/>
      </c>
      <c r="V29" t="str">
        <f>IF(
  LEN(T29)=0,
    IF(
    LEN(U29)=0,
    "  0",
    CONCATENATE(REPT(" ",Vocation!B$12-LEN(U29)),U29)),
  CONCATENATE(REPT(" ",Vocation!B$12-LEN(T29)),T29))</f>
        <v xml:space="preserve">  0</v>
      </c>
      <c r="W29" t="str">
        <f t="shared" si="10"/>
        <v xml:space="preserve">["SUBTYPE"] =   0; </v>
      </c>
      <c r="X29" t="str">
        <f t="shared" si="11"/>
        <v>0</v>
      </c>
      <c r="Y29" t="str">
        <f t="shared" si="12"/>
        <v xml:space="preserve">["VXP"] =    0; </v>
      </c>
      <c r="Z29" t="str">
        <f t="shared" si="13"/>
        <v>0</v>
      </c>
      <c r="AA29" t="str">
        <f t="shared" si="14"/>
        <v xml:space="preserve">["LP"] =  0; </v>
      </c>
      <c r="AB29" t="str">
        <f t="shared" si="15"/>
        <v>0</v>
      </c>
      <c r="AC29" t="str">
        <f t="shared" si="16"/>
        <v xml:space="preserve">["REP"] =    0; </v>
      </c>
      <c r="AD29" t="e">
        <f>VLOOKUP(I29,Faction!A$2:B$77,2,FALSE)</f>
        <v>#N/A</v>
      </c>
      <c r="AE29" t="e">
        <f t="shared" si="17"/>
        <v>#N/A</v>
      </c>
      <c r="AF29" t="str">
        <f t="shared" si="18"/>
        <v xml:space="preserve">["TIER"] = 0; </v>
      </c>
      <c r="AG29" t="str">
        <f t="shared" si="19"/>
        <v xml:space="preserve">["NAME"] = { ["EN"] = ""; }; </v>
      </c>
      <c r="AH29" t="str">
        <f t="shared" si="20"/>
        <v xml:space="preserve">["LORE"] = { ["EN"] = ""; }; </v>
      </c>
      <c r="AI29" t="str">
        <f t="shared" si="21"/>
        <v xml:space="preserve">["SUMMARY"] = { ["EN"] = ""; }; </v>
      </c>
      <c r="AJ29" t="str">
        <f t="shared" si="22"/>
        <v/>
      </c>
      <c r="AK29" t="str">
        <f t="shared" si="23"/>
        <v>};</v>
      </c>
    </row>
    <row r="30" spans="14:37" x14ac:dyDescent="0.25">
      <c r="N30" s="1" t="e">
        <f t="shared" si="5"/>
        <v>#N/A</v>
      </c>
      <c r="O30">
        <f t="shared" si="6"/>
        <v>29</v>
      </c>
      <c r="P30" t="str">
        <f t="shared" si="7"/>
        <v xml:space="preserve"> [29] = {</v>
      </c>
      <c r="Q30" s="1" t="str">
        <f t="shared" si="8"/>
        <v/>
      </c>
      <c r="R30" t="e">
        <f>VLOOKUP(C30,Type!A$2:B$17,2,FALSE)</f>
        <v>#N/A</v>
      </c>
      <c r="S30" t="e">
        <f t="shared" si="9"/>
        <v>#N/A</v>
      </c>
      <c r="T30" t="str">
        <f>IF(AND(C30="Class",NOT(ISBLANK(D30))),VLOOKUP(D30,Class!A$1:B$9,2,FALSE),"")</f>
        <v/>
      </c>
      <c r="U30" t="str">
        <f>IF(AND(C30="Vocation",NOT(ISBLANK(D30))),VLOOKUP(D30,Vocation!A$1:B$8,2,FALSE),"")</f>
        <v/>
      </c>
      <c r="V30" t="str">
        <f>IF(
  LEN(T30)=0,
    IF(
    LEN(U30)=0,
    "  0",
    CONCATENATE(REPT(" ",Vocation!B$12-LEN(U30)),U30)),
  CONCATENATE(REPT(" ",Vocation!B$12-LEN(T30)),T30))</f>
        <v xml:space="preserve">  0</v>
      </c>
      <c r="W30" t="str">
        <f t="shared" si="10"/>
        <v xml:space="preserve">["SUBTYPE"] =   0; </v>
      </c>
      <c r="X30" t="str">
        <f t="shared" si="11"/>
        <v>0</v>
      </c>
      <c r="Y30" t="str">
        <f t="shared" si="12"/>
        <v xml:space="preserve">["VXP"] =    0; </v>
      </c>
      <c r="Z30" t="str">
        <f t="shared" si="13"/>
        <v>0</v>
      </c>
      <c r="AA30" t="str">
        <f t="shared" si="14"/>
        <v xml:space="preserve">["LP"] =  0; </v>
      </c>
      <c r="AB30" t="str">
        <f t="shared" si="15"/>
        <v>0</v>
      </c>
      <c r="AC30" t="str">
        <f t="shared" si="16"/>
        <v xml:space="preserve">["REP"] =    0; </v>
      </c>
      <c r="AD30" t="e">
        <f>VLOOKUP(I30,Faction!A$2:B$77,2,FALSE)</f>
        <v>#N/A</v>
      </c>
      <c r="AE30" t="e">
        <f t="shared" si="17"/>
        <v>#N/A</v>
      </c>
      <c r="AF30" t="str">
        <f t="shared" si="18"/>
        <v xml:space="preserve">["TIER"] = 0; </v>
      </c>
      <c r="AG30" t="str">
        <f t="shared" si="19"/>
        <v xml:space="preserve">["NAME"] = { ["EN"] = ""; }; </v>
      </c>
      <c r="AH30" t="str">
        <f t="shared" si="20"/>
        <v xml:space="preserve">["LORE"] = { ["EN"] = ""; }; </v>
      </c>
      <c r="AI30" t="str">
        <f t="shared" si="21"/>
        <v xml:space="preserve">["SUMMARY"] = { ["EN"] = ""; }; </v>
      </c>
      <c r="AJ30" t="str">
        <f t="shared" si="22"/>
        <v/>
      </c>
      <c r="AK30" t="str">
        <f t="shared" si="23"/>
        <v>};</v>
      </c>
    </row>
    <row r="31" spans="14:37" x14ac:dyDescent="0.25">
      <c r="N31" s="1" t="e">
        <f t="shared" si="5"/>
        <v>#N/A</v>
      </c>
      <c r="O31">
        <f t="shared" si="6"/>
        <v>30</v>
      </c>
      <c r="P31" t="str">
        <f t="shared" si="7"/>
        <v xml:space="preserve"> [30] = {</v>
      </c>
      <c r="Q31" s="1" t="str">
        <f t="shared" si="8"/>
        <v/>
      </c>
      <c r="R31" t="e">
        <f>VLOOKUP(C31,Type!A$2:B$17,2,FALSE)</f>
        <v>#N/A</v>
      </c>
      <c r="S31" t="e">
        <f t="shared" si="9"/>
        <v>#N/A</v>
      </c>
      <c r="T31" t="str">
        <f>IF(AND(C31="Class",NOT(ISBLANK(D31))),VLOOKUP(D31,Class!A$1:B$9,2,FALSE),"")</f>
        <v/>
      </c>
      <c r="U31" t="str">
        <f>IF(AND(C31="Vocation",NOT(ISBLANK(D31))),VLOOKUP(D31,Vocation!A$1:B$8,2,FALSE),"")</f>
        <v/>
      </c>
      <c r="V31" t="str">
        <f>IF(
  LEN(T31)=0,
    IF(
    LEN(U31)=0,
    "  0",
    CONCATENATE(REPT(" ",Vocation!B$12-LEN(U31)),U31)),
  CONCATENATE(REPT(" ",Vocation!B$12-LEN(T31)),T31))</f>
        <v xml:space="preserve">  0</v>
      </c>
      <c r="W31" t="str">
        <f t="shared" si="10"/>
        <v xml:space="preserve">["SUBTYPE"] =   0; </v>
      </c>
      <c r="X31" t="str">
        <f t="shared" si="11"/>
        <v>0</v>
      </c>
      <c r="Y31" t="str">
        <f t="shared" si="12"/>
        <v xml:space="preserve">["VXP"] =    0; </v>
      </c>
      <c r="Z31" t="str">
        <f t="shared" si="13"/>
        <v>0</v>
      </c>
      <c r="AA31" t="str">
        <f t="shared" si="14"/>
        <v xml:space="preserve">["LP"] =  0; </v>
      </c>
      <c r="AB31" t="str">
        <f t="shared" si="15"/>
        <v>0</v>
      </c>
      <c r="AC31" t="str">
        <f t="shared" si="16"/>
        <v xml:space="preserve">["REP"] =    0; </v>
      </c>
      <c r="AD31" t="e">
        <f>VLOOKUP(I31,Faction!A$2:B$77,2,FALSE)</f>
        <v>#N/A</v>
      </c>
      <c r="AE31" t="e">
        <f t="shared" si="17"/>
        <v>#N/A</v>
      </c>
      <c r="AF31" t="str">
        <f t="shared" si="18"/>
        <v xml:space="preserve">["TIER"] = 0; </v>
      </c>
      <c r="AG31" t="str">
        <f t="shared" si="19"/>
        <v xml:space="preserve">["NAME"] = { ["EN"] = ""; }; </v>
      </c>
      <c r="AH31" t="str">
        <f t="shared" si="20"/>
        <v xml:space="preserve">["LORE"] = { ["EN"] = ""; }; </v>
      </c>
      <c r="AI31" t="str">
        <f t="shared" si="21"/>
        <v xml:space="preserve">["SUMMARY"] = { ["EN"] = ""; }; </v>
      </c>
      <c r="AJ31" t="str">
        <f t="shared" si="22"/>
        <v/>
      </c>
      <c r="AK31" t="str">
        <f t="shared" si="23"/>
        <v>};</v>
      </c>
    </row>
    <row r="32" spans="14:37" x14ac:dyDescent="0.25">
      <c r="N32" s="1" t="e">
        <f t="shared" si="5"/>
        <v>#N/A</v>
      </c>
      <c r="O32">
        <f t="shared" si="6"/>
        <v>31</v>
      </c>
      <c r="P32" t="str">
        <f t="shared" si="7"/>
        <v xml:space="preserve"> [31] = {</v>
      </c>
      <c r="Q32" s="1" t="str">
        <f t="shared" si="8"/>
        <v/>
      </c>
      <c r="R32" t="e">
        <f>VLOOKUP(C32,Type!A$2:B$17,2,FALSE)</f>
        <v>#N/A</v>
      </c>
      <c r="S32" t="e">
        <f t="shared" si="9"/>
        <v>#N/A</v>
      </c>
      <c r="T32" t="str">
        <f>IF(AND(C32="Class",NOT(ISBLANK(D32))),VLOOKUP(D32,Class!A$1:B$9,2,FALSE),"")</f>
        <v/>
      </c>
      <c r="U32" t="str">
        <f>IF(AND(C32="Vocation",NOT(ISBLANK(D32))),VLOOKUP(D32,Vocation!A$1:B$8,2,FALSE),"")</f>
        <v/>
      </c>
      <c r="V32" t="str">
        <f>IF(
  LEN(T32)=0,
    IF(
    LEN(U32)=0,
    "  0",
    CONCATENATE(REPT(" ",Vocation!B$12-LEN(U32)),U32)),
  CONCATENATE(REPT(" ",Vocation!B$12-LEN(T32)),T32))</f>
        <v xml:space="preserve">  0</v>
      </c>
      <c r="W32" t="str">
        <f t="shared" si="10"/>
        <v xml:space="preserve">["SUBTYPE"] =   0; </v>
      </c>
      <c r="X32" t="str">
        <f t="shared" si="11"/>
        <v>0</v>
      </c>
      <c r="Y32" t="str">
        <f t="shared" si="12"/>
        <v xml:space="preserve">["VXP"] =    0; </v>
      </c>
      <c r="Z32" t="str">
        <f t="shared" si="13"/>
        <v>0</v>
      </c>
      <c r="AA32" t="str">
        <f t="shared" si="14"/>
        <v xml:space="preserve">["LP"] =  0; </v>
      </c>
      <c r="AB32" t="str">
        <f t="shared" si="15"/>
        <v>0</v>
      </c>
      <c r="AC32" t="str">
        <f t="shared" si="16"/>
        <v xml:space="preserve">["REP"] =    0; </v>
      </c>
      <c r="AD32" t="e">
        <f>VLOOKUP(I32,Faction!A$2:B$77,2,FALSE)</f>
        <v>#N/A</v>
      </c>
      <c r="AE32" t="e">
        <f t="shared" si="17"/>
        <v>#N/A</v>
      </c>
      <c r="AF32" t="str">
        <f t="shared" si="18"/>
        <v xml:space="preserve">["TIER"] = 0; </v>
      </c>
      <c r="AG32" t="str">
        <f t="shared" si="19"/>
        <v xml:space="preserve">["NAME"] = { ["EN"] = ""; }; </v>
      </c>
      <c r="AH32" t="str">
        <f t="shared" si="20"/>
        <v xml:space="preserve">["LORE"] = { ["EN"] = ""; }; </v>
      </c>
      <c r="AI32" t="str">
        <f t="shared" si="21"/>
        <v xml:space="preserve">["SUMMARY"] = { ["EN"] = ""; }; </v>
      </c>
      <c r="AJ32" t="str">
        <f t="shared" si="22"/>
        <v/>
      </c>
      <c r="AK32" t="str">
        <f t="shared" si="23"/>
        <v>};</v>
      </c>
    </row>
    <row r="33" spans="14:37" x14ac:dyDescent="0.25">
      <c r="N33" s="1" t="e">
        <f t="shared" si="5"/>
        <v>#N/A</v>
      </c>
      <c r="O33">
        <f t="shared" si="6"/>
        <v>32</v>
      </c>
      <c r="P33" t="str">
        <f t="shared" si="7"/>
        <v xml:space="preserve"> [32] = {</v>
      </c>
      <c r="Q33" s="1" t="str">
        <f t="shared" si="8"/>
        <v/>
      </c>
      <c r="R33" t="e">
        <f>VLOOKUP(C33,Type!A$2:B$17,2,FALSE)</f>
        <v>#N/A</v>
      </c>
      <c r="S33" t="e">
        <f t="shared" si="9"/>
        <v>#N/A</v>
      </c>
      <c r="T33" t="str">
        <f>IF(AND(C33="Class",NOT(ISBLANK(D33))),VLOOKUP(D33,Class!A$1:B$9,2,FALSE),"")</f>
        <v/>
      </c>
      <c r="U33" t="str">
        <f>IF(AND(C33="Vocation",NOT(ISBLANK(D33))),VLOOKUP(D33,Vocation!A$1:B$8,2,FALSE),"")</f>
        <v/>
      </c>
      <c r="V33" t="str">
        <f>IF(
  LEN(T33)=0,
    IF(
    LEN(U33)=0,
    "  0",
    CONCATENATE(REPT(" ",Vocation!B$12-LEN(U33)),U33)),
  CONCATENATE(REPT(" ",Vocation!B$12-LEN(T33)),T33))</f>
        <v xml:space="preserve">  0</v>
      </c>
      <c r="W33" t="str">
        <f t="shared" si="10"/>
        <v xml:space="preserve">["SUBTYPE"] =   0; </v>
      </c>
      <c r="X33" t="str">
        <f t="shared" si="11"/>
        <v>0</v>
      </c>
      <c r="Y33" t="str">
        <f t="shared" si="12"/>
        <v xml:space="preserve">["VXP"] =    0; </v>
      </c>
      <c r="Z33" t="str">
        <f t="shared" si="13"/>
        <v>0</v>
      </c>
      <c r="AA33" t="str">
        <f t="shared" si="14"/>
        <v xml:space="preserve">["LP"] =  0; </v>
      </c>
      <c r="AB33" t="str">
        <f t="shared" si="15"/>
        <v>0</v>
      </c>
      <c r="AC33" t="str">
        <f t="shared" si="16"/>
        <v xml:space="preserve">["REP"] =    0; </v>
      </c>
      <c r="AD33" t="e">
        <f>VLOOKUP(I33,Faction!A$2:B$77,2,FALSE)</f>
        <v>#N/A</v>
      </c>
      <c r="AE33" t="e">
        <f t="shared" si="17"/>
        <v>#N/A</v>
      </c>
      <c r="AF33" t="str">
        <f t="shared" si="18"/>
        <v xml:space="preserve">["TIER"] = 0; </v>
      </c>
      <c r="AG33" t="str">
        <f t="shared" si="19"/>
        <v xml:space="preserve">["NAME"] = { ["EN"] = ""; }; </v>
      </c>
      <c r="AH33" t="str">
        <f t="shared" si="20"/>
        <v xml:space="preserve">["LORE"] = { ["EN"] = ""; }; </v>
      </c>
      <c r="AI33" t="str">
        <f t="shared" si="21"/>
        <v xml:space="preserve">["SUMMARY"] = { ["EN"] = ""; }; </v>
      </c>
      <c r="AJ33" t="str">
        <f t="shared" si="22"/>
        <v/>
      </c>
      <c r="AK33" t="str">
        <f t="shared" si="23"/>
        <v>};</v>
      </c>
    </row>
    <row r="34" spans="14:37" x14ac:dyDescent="0.25">
      <c r="N34" s="1" t="e">
        <f t="shared" si="5"/>
        <v>#N/A</v>
      </c>
      <c r="O34">
        <f t="shared" si="6"/>
        <v>33</v>
      </c>
      <c r="P34" t="str">
        <f t="shared" si="7"/>
        <v xml:space="preserve"> [33] = {</v>
      </c>
      <c r="Q34" s="1" t="str">
        <f t="shared" si="8"/>
        <v/>
      </c>
      <c r="R34" t="e">
        <f>VLOOKUP(C34,Type!A$2:B$17,2,FALSE)</f>
        <v>#N/A</v>
      </c>
      <c r="S34" t="e">
        <f t="shared" si="9"/>
        <v>#N/A</v>
      </c>
      <c r="T34" t="str">
        <f>IF(AND(C34="Class",NOT(ISBLANK(D34))),VLOOKUP(D34,Class!A$1:B$9,2,FALSE),"")</f>
        <v/>
      </c>
      <c r="U34" t="str">
        <f>IF(AND(C34="Vocation",NOT(ISBLANK(D34))),VLOOKUP(D34,Vocation!A$1:B$8,2,FALSE),"")</f>
        <v/>
      </c>
      <c r="V34" t="str">
        <f>IF(
  LEN(T34)=0,
    IF(
    LEN(U34)=0,
    "  0",
    CONCATENATE(REPT(" ",Vocation!B$12-LEN(U34)),U34)),
  CONCATENATE(REPT(" ",Vocation!B$12-LEN(T34)),T34))</f>
        <v xml:space="preserve">  0</v>
      </c>
      <c r="W34" t="str">
        <f t="shared" si="10"/>
        <v xml:space="preserve">["SUBTYPE"] =   0; </v>
      </c>
      <c r="X34" t="str">
        <f t="shared" si="11"/>
        <v>0</v>
      </c>
      <c r="Y34" t="str">
        <f t="shared" si="12"/>
        <v xml:space="preserve">["VXP"] =    0; </v>
      </c>
      <c r="Z34" t="str">
        <f t="shared" si="13"/>
        <v>0</v>
      </c>
      <c r="AA34" t="str">
        <f t="shared" si="14"/>
        <v xml:space="preserve">["LP"] =  0; </v>
      </c>
      <c r="AB34" t="str">
        <f t="shared" si="15"/>
        <v>0</v>
      </c>
      <c r="AC34" t="str">
        <f t="shared" si="16"/>
        <v xml:space="preserve">["REP"] =    0; </v>
      </c>
      <c r="AD34" t="e">
        <f>VLOOKUP(I34,Faction!A$2:B$77,2,FALSE)</f>
        <v>#N/A</v>
      </c>
      <c r="AE34" t="e">
        <f t="shared" si="17"/>
        <v>#N/A</v>
      </c>
      <c r="AF34" t="str">
        <f t="shared" si="18"/>
        <v xml:space="preserve">["TIER"] = 0; </v>
      </c>
      <c r="AG34" t="str">
        <f t="shared" si="19"/>
        <v xml:space="preserve">["NAME"] = { ["EN"] = ""; }; </v>
      </c>
      <c r="AH34" t="str">
        <f t="shared" si="20"/>
        <v xml:space="preserve">["LORE"] = { ["EN"] = ""; }; </v>
      </c>
      <c r="AI34" t="str">
        <f t="shared" si="21"/>
        <v xml:space="preserve">["SUMMARY"] = { ["EN"] = ""; }; </v>
      </c>
      <c r="AJ34" t="str">
        <f t="shared" si="22"/>
        <v/>
      </c>
      <c r="AK34" t="str">
        <f t="shared" si="23"/>
        <v>};</v>
      </c>
    </row>
    <row r="35" spans="14:37" x14ac:dyDescent="0.25">
      <c r="N35" s="1" t="e">
        <f t="shared" si="5"/>
        <v>#N/A</v>
      </c>
      <c r="O35">
        <f t="shared" si="6"/>
        <v>34</v>
      </c>
      <c r="P35" t="str">
        <f t="shared" si="7"/>
        <v xml:space="preserve"> [34] = {</v>
      </c>
      <c r="Q35" s="1" t="str">
        <f t="shared" si="8"/>
        <v/>
      </c>
      <c r="R35" t="e">
        <f>VLOOKUP(C35,Type!A$2:B$17,2,FALSE)</f>
        <v>#N/A</v>
      </c>
      <c r="S35" t="e">
        <f t="shared" si="9"/>
        <v>#N/A</v>
      </c>
      <c r="T35" t="str">
        <f>IF(AND(C35="Class",NOT(ISBLANK(D35))),VLOOKUP(D35,Class!A$1:B$9,2,FALSE),"")</f>
        <v/>
      </c>
      <c r="U35" t="str">
        <f>IF(AND(C35="Vocation",NOT(ISBLANK(D35))),VLOOKUP(D35,Vocation!A$1:B$8,2,FALSE),"")</f>
        <v/>
      </c>
      <c r="V35" t="str">
        <f>IF(
  LEN(T35)=0,
    IF(
    LEN(U35)=0,
    "  0",
    CONCATENATE(REPT(" ",Vocation!B$12-LEN(U35)),U35)),
  CONCATENATE(REPT(" ",Vocation!B$12-LEN(T35)),T35))</f>
        <v xml:space="preserve">  0</v>
      </c>
      <c r="W35" t="str">
        <f t="shared" si="10"/>
        <v xml:space="preserve">["SUBTYPE"] =   0; </v>
      </c>
      <c r="X35" t="str">
        <f t="shared" si="11"/>
        <v>0</v>
      </c>
      <c r="Y35" t="str">
        <f t="shared" si="12"/>
        <v xml:space="preserve">["VXP"] =    0; </v>
      </c>
      <c r="Z35" t="str">
        <f t="shared" si="13"/>
        <v>0</v>
      </c>
      <c r="AA35" t="str">
        <f t="shared" si="14"/>
        <v xml:space="preserve">["LP"] =  0; </v>
      </c>
      <c r="AB35" t="str">
        <f t="shared" si="15"/>
        <v>0</v>
      </c>
      <c r="AC35" t="str">
        <f t="shared" si="16"/>
        <v xml:space="preserve">["REP"] =    0; </v>
      </c>
      <c r="AD35" t="e">
        <f>VLOOKUP(I35,Faction!A$2:B$77,2,FALSE)</f>
        <v>#N/A</v>
      </c>
      <c r="AE35" t="e">
        <f t="shared" si="17"/>
        <v>#N/A</v>
      </c>
      <c r="AF35" t="str">
        <f t="shared" si="18"/>
        <v xml:space="preserve">["TIER"] = 0; </v>
      </c>
      <c r="AG35" t="str">
        <f t="shared" si="19"/>
        <v xml:space="preserve">["NAME"] = { ["EN"] = ""; }; </v>
      </c>
      <c r="AH35" t="str">
        <f t="shared" si="20"/>
        <v xml:space="preserve">["LORE"] = { ["EN"] = ""; }; </v>
      </c>
      <c r="AI35" t="str">
        <f t="shared" si="21"/>
        <v xml:space="preserve">["SUMMARY"] = { ["EN"] = ""; }; </v>
      </c>
      <c r="AJ35" t="str">
        <f t="shared" si="22"/>
        <v/>
      </c>
      <c r="AK35" t="str">
        <f t="shared" si="23"/>
        <v>};</v>
      </c>
    </row>
    <row r="36" spans="14:37" x14ac:dyDescent="0.25">
      <c r="N36" s="1" t="e">
        <f t="shared" si="5"/>
        <v>#N/A</v>
      </c>
      <c r="O36">
        <f t="shared" si="6"/>
        <v>35</v>
      </c>
      <c r="P36" t="str">
        <f t="shared" si="7"/>
        <v xml:space="preserve"> [35] = {</v>
      </c>
      <c r="Q36" s="1" t="str">
        <f t="shared" si="8"/>
        <v/>
      </c>
      <c r="R36" t="e">
        <f>VLOOKUP(C36,Type!A$2:B$17,2,FALSE)</f>
        <v>#N/A</v>
      </c>
      <c r="S36" t="e">
        <f t="shared" si="9"/>
        <v>#N/A</v>
      </c>
      <c r="T36" t="str">
        <f>IF(AND(C36="Class",NOT(ISBLANK(D36))),VLOOKUP(D36,Class!A$1:B$9,2,FALSE),"")</f>
        <v/>
      </c>
      <c r="U36" t="str">
        <f>IF(AND(C36="Vocation",NOT(ISBLANK(D36))),VLOOKUP(D36,Vocation!A$1:B$8,2,FALSE),"")</f>
        <v/>
      </c>
      <c r="V36" t="str">
        <f>IF(
  LEN(T36)=0,
    IF(
    LEN(U36)=0,
    "  0",
    CONCATENATE(REPT(" ",Vocation!B$12-LEN(U36)),U36)),
  CONCATENATE(REPT(" ",Vocation!B$12-LEN(T36)),T36))</f>
        <v xml:space="preserve">  0</v>
      </c>
      <c r="W36" t="str">
        <f t="shared" si="10"/>
        <v xml:space="preserve">["SUBTYPE"] =   0; </v>
      </c>
      <c r="X36" t="str">
        <f t="shared" si="11"/>
        <v>0</v>
      </c>
      <c r="Y36" t="str">
        <f t="shared" si="12"/>
        <v xml:space="preserve">["VXP"] =    0; </v>
      </c>
      <c r="Z36" t="str">
        <f t="shared" si="13"/>
        <v>0</v>
      </c>
      <c r="AA36" t="str">
        <f t="shared" si="14"/>
        <v xml:space="preserve">["LP"] =  0; </v>
      </c>
      <c r="AB36" t="str">
        <f t="shared" si="15"/>
        <v>0</v>
      </c>
      <c r="AC36" t="str">
        <f t="shared" si="16"/>
        <v xml:space="preserve">["REP"] =    0; </v>
      </c>
      <c r="AD36" t="e">
        <f>VLOOKUP(I36,Faction!A$2:B$77,2,FALSE)</f>
        <v>#N/A</v>
      </c>
      <c r="AE36" t="e">
        <f t="shared" si="17"/>
        <v>#N/A</v>
      </c>
      <c r="AF36" t="str">
        <f t="shared" si="18"/>
        <v xml:space="preserve">["TIER"] = 0; </v>
      </c>
      <c r="AG36" t="str">
        <f t="shared" si="19"/>
        <v xml:space="preserve">["NAME"] = { ["EN"] = ""; }; </v>
      </c>
      <c r="AH36" t="str">
        <f t="shared" si="20"/>
        <v xml:space="preserve">["LORE"] = { ["EN"] = ""; }; </v>
      </c>
      <c r="AI36" t="str">
        <f t="shared" si="21"/>
        <v xml:space="preserve">["SUMMARY"] = { ["EN"] = ""; }; </v>
      </c>
      <c r="AJ36" t="str">
        <f t="shared" si="22"/>
        <v/>
      </c>
      <c r="AK36" t="str">
        <f t="shared" si="23"/>
        <v>};</v>
      </c>
    </row>
  </sheetData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Type</vt:lpstr>
      <vt:lpstr>Faction</vt:lpstr>
      <vt:lpstr>Class</vt:lpstr>
      <vt:lpstr>Race</vt:lpstr>
      <vt:lpstr>Vocation</vt:lpstr>
      <vt:lpstr>Fishing</vt:lpstr>
      <vt:lpstr>Birding</vt:lpstr>
      <vt:lpstr>&lt;template&gt;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bkckx</dc:creator>
  <cp:lastModifiedBy>William van Ark</cp:lastModifiedBy>
  <dcterms:created xsi:type="dcterms:W3CDTF">2020-12-14T02:27:01Z</dcterms:created>
  <dcterms:modified xsi:type="dcterms:W3CDTF">2025-09-02T01:59:02Z</dcterms:modified>
</cp:coreProperties>
</file>