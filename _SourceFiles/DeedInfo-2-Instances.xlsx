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9F0090BE-870B-450C-B635-0DDF77D5F1AE}" xr6:coauthVersionLast="47" xr6:coauthVersionMax="47" xr10:uidLastSave="{00000000-0000-0000-0000-000000000000}"/>
  <bookViews>
    <workbookView xWindow="570" yWindow="2850" windowWidth="21600" windowHeight="11295" tabRatio="847" firstSheet="9" activeTab="11"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lt;template&gt;" sheetId="21" r:id="rId2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29" l="1"/>
  <c r="H3" i="29"/>
  <c r="I3" i="29" s="1"/>
  <c r="G3" i="29" s="1"/>
  <c r="J3" i="29"/>
  <c r="K3" i="29"/>
  <c r="L3" i="29"/>
  <c r="M3" i="29"/>
  <c r="F4" i="29"/>
  <c r="H4" i="29"/>
  <c r="I4" i="29"/>
  <c r="G4" i="29" s="1"/>
  <c r="J4" i="29"/>
  <c r="K4" i="29"/>
  <c r="L4" i="29"/>
  <c r="M4" i="29"/>
  <c r="F5" i="29"/>
  <c r="H5" i="29"/>
  <c r="I5" i="29" s="1"/>
  <c r="G5" i="29" s="1"/>
  <c r="J5" i="29"/>
  <c r="K5" i="29"/>
  <c r="L5" i="29"/>
  <c r="M5" i="29"/>
  <c r="F6" i="29"/>
  <c r="H6" i="29"/>
  <c r="I6" i="29"/>
  <c r="G6" i="29" s="1"/>
  <c r="J6" i="29"/>
  <c r="K6" i="29"/>
  <c r="L6" i="29"/>
  <c r="M6" i="29"/>
  <c r="F7" i="29"/>
  <c r="H7" i="29"/>
  <c r="I7" i="29" s="1"/>
  <c r="G7" i="29" s="1"/>
  <c r="J7" i="29"/>
  <c r="K7" i="29"/>
  <c r="L7" i="29"/>
  <c r="M7" i="29"/>
  <c r="F8" i="29"/>
  <c r="H8" i="29"/>
  <c r="I8" i="29"/>
  <c r="G8" i="29" s="1"/>
  <c r="J8" i="29"/>
  <c r="K8" i="29"/>
  <c r="L8" i="29"/>
  <c r="M8" i="29"/>
  <c r="F9" i="29"/>
  <c r="H9" i="29"/>
  <c r="I9" i="29" s="1"/>
  <c r="G9" i="29" s="1"/>
  <c r="J9" i="29"/>
  <c r="K9" i="29"/>
  <c r="L9" i="29"/>
  <c r="M9" i="29"/>
  <c r="F10" i="29"/>
  <c r="H10" i="29"/>
  <c r="I10" i="29"/>
  <c r="G10" i="29" s="1"/>
  <c r="J10" i="29"/>
  <c r="K10" i="29"/>
  <c r="L10" i="29"/>
  <c r="M10" i="29"/>
  <c r="F11" i="29"/>
  <c r="H11" i="29"/>
  <c r="I11" i="29" s="1"/>
  <c r="G11" i="29" s="1"/>
  <c r="J11" i="29"/>
  <c r="K11" i="29"/>
  <c r="L11" i="29"/>
  <c r="M11" i="29"/>
  <c r="F12" i="29"/>
  <c r="H12" i="29"/>
  <c r="I12" i="29"/>
  <c r="G12" i="29" s="1"/>
  <c r="J12" i="29"/>
  <c r="K12" i="29"/>
  <c r="L12" i="29"/>
  <c r="M12" i="29"/>
  <c r="F13" i="29"/>
  <c r="H13" i="29"/>
  <c r="I13" i="29" s="1"/>
  <c r="G13" i="29" s="1"/>
  <c r="J13" i="29"/>
  <c r="K13" i="29"/>
  <c r="L13" i="29"/>
  <c r="M13" i="29"/>
  <c r="F14" i="29"/>
  <c r="H14" i="29"/>
  <c r="I14" i="29"/>
  <c r="G14" i="29" s="1"/>
  <c r="J14" i="29"/>
  <c r="K14" i="29"/>
  <c r="L14" i="29"/>
  <c r="M14" i="29"/>
  <c r="F15" i="29"/>
  <c r="H15" i="29"/>
  <c r="I15" i="29" s="1"/>
  <c r="G15" i="29" s="1"/>
  <c r="J15" i="29"/>
  <c r="K15" i="29"/>
  <c r="L15" i="29"/>
  <c r="M15" i="29"/>
  <c r="F16" i="29"/>
  <c r="H16" i="29"/>
  <c r="I16" i="29"/>
  <c r="G16" i="29" s="1"/>
  <c r="J16" i="29"/>
  <c r="K16" i="29"/>
  <c r="L16" i="29"/>
  <c r="M16" i="29"/>
  <c r="F17" i="29"/>
  <c r="H17" i="29"/>
  <c r="I17" i="29" s="1"/>
  <c r="G17" i="29" s="1"/>
  <c r="J17" i="29"/>
  <c r="K17" i="29"/>
  <c r="L17" i="29"/>
  <c r="M17" i="29"/>
  <c r="F18" i="29"/>
  <c r="H18" i="29"/>
  <c r="I18" i="29"/>
  <c r="G18" i="29" s="1"/>
  <c r="J18" i="29"/>
  <c r="K18" i="29"/>
  <c r="L18" i="29"/>
  <c r="M18" i="29"/>
  <c r="F19" i="29"/>
  <c r="H19" i="29"/>
  <c r="I19" i="29" s="1"/>
  <c r="G19" i="29" s="1"/>
  <c r="J19" i="29"/>
  <c r="K19" i="29"/>
  <c r="L19" i="29"/>
  <c r="M19" i="29"/>
  <c r="F20" i="29"/>
  <c r="H20" i="29"/>
  <c r="I20" i="29"/>
  <c r="G20" i="29" s="1"/>
  <c r="J20" i="29"/>
  <c r="K20" i="29"/>
  <c r="L20" i="29"/>
  <c r="M20" i="29"/>
  <c r="F21" i="29"/>
  <c r="H21" i="29"/>
  <c r="I21" i="29" s="1"/>
  <c r="G21" i="29" s="1"/>
  <c r="J21" i="29"/>
  <c r="K21" i="29"/>
  <c r="L21" i="29"/>
  <c r="M21" i="29"/>
  <c r="F22" i="29"/>
  <c r="H22" i="29"/>
  <c r="I22" i="29"/>
  <c r="G22" i="29" s="1"/>
  <c r="J22" i="29"/>
  <c r="K22" i="29"/>
  <c r="L22" i="29"/>
  <c r="M22" i="29"/>
  <c r="F23" i="29"/>
  <c r="H23" i="29"/>
  <c r="I23" i="29" s="1"/>
  <c r="G23" i="29" s="1"/>
  <c r="J23" i="29"/>
  <c r="K23" i="29"/>
  <c r="L23" i="29"/>
  <c r="M23" i="29"/>
  <c r="F24" i="29"/>
  <c r="H24" i="29"/>
  <c r="I24" i="29"/>
  <c r="G24" i="29" s="1"/>
  <c r="J24" i="29"/>
  <c r="K24" i="29"/>
  <c r="L24" i="29"/>
  <c r="M24" i="29"/>
  <c r="F25" i="29"/>
  <c r="H25" i="29"/>
  <c r="I25" i="29" s="1"/>
  <c r="G25" i="29" s="1"/>
  <c r="J25" i="29"/>
  <c r="K25" i="29"/>
  <c r="L25" i="29"/>
  <c r="M25" i="29"/>
  <c r="F26" i="29"/>
  <c r="H26" i="29"/>
  <c r="I26" i="29"/>
  <c r="G26" i="29" s="1"/>
  <c r="J26" i="29"/>
  <c r="K26" i="29"/>
  <c r="L26" i="29"/>
  <c r="M26" i="29"/>
  <c r="F27" i="29"/>
  <c r="H27" i="29"/>
  <c r="I27" i="29" s="1"/>
  <c r="G27" i="29" s="1"/>
  <c r="J27" i="29"/>
  <c r="K27" i="29"/>
  <c r="L27" i="29"/>
  <c r="M27" i="29"/>
  <c r="F28" i="29"/>
  <c r="H28" i="29"/>
  <c r="I28" i="29"/>
  <c r="G28" i="29" s="1"/>
  <c r="J28" i="29"/>
  <c r="K28" i="29"/>
  <c r="L28" i="29"/>
  <c r="M28" i="29"/>
  <c r="F29" i="29"/>
  <c r="H29" i="29"/>
  <c r="I29" i="29" s="1"/>
  <c r="G29" i="29" s="1"/>
  <c r="J29" i="29"/>
  <c r="K29" i="29"/>
  <c r="L29" i="29"/>
  <c r="M29" i="29"/>
  <c r="F30" i="29"/>
  <c r="H30" i="29"/>
  <c r="I30" i="29"/>
  <c r="G30" i="29" s="1"/>
  <c r="J30" i="29"/>
  <c r="K30" i="29"/>
  <c r="L30" i="29"/>
  <c r="M30" i="29"/>
  <c r="F31" i="29"/>
  <c r="H31" i="29"/>
  <c r="I31" i="29" s="1"/>
  <c r="G31" i="29" s="1"/>
  <c r="J31" i="29"/>
  <c r="K31" i="29"/>
  <c r="L31" i="29"/>
  <c r="M31" i="29"/>
  <c r="F32" i="29"/>
  <c r="H32" i="29"/>
  <c r="I32" i="29"/>
  <c r="G32" i="29" s="1"/>
  <c r="J32" i="29"/>
  <c r="K32" i="29"/>
  <c r="L32" i="29"/>
  <c r="M32" i="29"/>
  <c r="F33" i="29"/>
  <c r="H33" i="29"/>
  <c r="I33" i="29" s="1"/>
  <c r="G33" i="29" s="1"/>
  <c r="J33" i="29"/>
  <c r="K33" i="29"/>
  <c r="L33" i="29"/>
  <c r="M33" i="29"/>
  <c r="F34" i="29"/>
  <c r="H34" i="29"/>
  <c r="I34" i="29"/>
  <c r="G34" i="29" s="1"/>
  <c r="J34" i="29"/>
  <c r="K34" i="29"/>
  <c r="L34" i="29"/>
  <c r="M34" i="29"/>
  <c r="F35" i="29"/>
  <c r="H35" i="29"/>
  <c r="I35" i="29" s="1"/>
  <c r="G35" i="29" s="1"/>
  <c r="J35" i="29"/>
  <c r="K35" i="29"/>
  <c r="L35" i="29"/>
  <c r="M35" i="29"/>
  <c r="F36" i="29"/>
  <c r="H36" i="29"/>
  <c r="I36" i="29"/>
  <c r="G36" i="29" s="1"/>
  <c r="J36" i="29"/>
  <c r="K36" i="29"/>
  <c r="L36" i="29"/>
  <c r="M36" i="29"/>
  <c r="F37" i="29"/>
  <c r="H37" i="29"/>
  <c r="I37" i="29" s="1"/>
  <c r="G37" i="29" s="1"/>
  <c r="J37" i="29"/>
  <c r="K37" i="29"/>
  <c r="L37" i="29"/>
  <c r="M37" i="29"/>
  <c r="F38" i="29"/>
  <c r="H38" i="29"/>
  <c r="I38" i="29"/>
  <c r="G38" i="29" s="1"/>
  <c r="J38" i="29"/>
  <c r="K38" i="29"/>
  <c r="L38" i="29"/>
  <c r="M38" i="29"/>
  <c r="F39" i="29"/>
  <c r="H39" i="29"/>
  <c r="I39" i="29" s="1"/>
  <c r="G39" i="29" s="1"/>
  <c r="J39" i="29"/>
  <c r="K39" i="29"/>
  <c r="L39" i="29"/>
  <c r="M39" i="29"/>
  <c r="F40" i="29"/>
  <c r="H40" i="29"/>
  <c r="I40" i="29"/>
  <c r="G40" i="29" s="1"/>
  <c r="J40" i="29"/>
  <c r="K40" i="29"/>
  <c r="L40" i="29"/>
  <c r="M40" i="29"/>
  <c r="F41" i="29"/>
  <c r="H41" i="29"/>
  <c r="I41" i="29" s="1"/>
  <c r="G41" i="29" s="1"/>
  <c r="J41" i="29"/>
  <c r="K41" i="29"/>
  <c r="L41" i="29"/>
  <c r="M41" i="29"/>
  <c r="F42" i="29"/>
  <c r="H42" i="29"/>
  <c r="I42" i="29"/>
  <c r="G42" i="29" s="1"/>
  <c r="J42" i="29"/>
  <c r="K42" i="29"/>
  <c r="L42" i="29"/>
  <c r="M42" i="29"/>
  <c r="F43" i="29"/>
  <c r="H43" i="29"/>
  <c r="I43" i="29" s="1"/>
  <c r="G43" i="29" s="1"/>
  <c r="J43" i="29"/>
  <c r="K43" i="29"/>
  <c r="L43" i="29"/>
  <c r="M43" i="29"/>
  <c r="F44" i="29"/>
  <c r="H44" i="29"/>
  <c r="I44" i="29"/>
  <c r="G44" i="29" s="1"/>
  <c r="J44" i="29"/>
  <c r="K44" i="29"/>
  <c r="L44" i="29"/>
  <c r="M44" i="29"/>
  <c r="F45" i="29"/>
  <c r="H45" i="29"/>
  <c r="I45" i="29" s="1"/>
  <c r="G45" i="29" s="1"/>
  <c r="J45" i="29"/>
  <c r="K45" i="29"/>
  <c r="L45" i="29"/>
  <c r="M45" i="29"/>
  <c r="F46" i="29"/>
  <c r="H46" i="29"/>
  <c r="I46" i="29"/>
  <c r="G46" i="29" s="1"/>
  <c r="J46" i="29"/>
  <c r="K46" i="29"/>
  <c r="L46" i="29"/>
  <c r="M46" i="29"/>
  <c r="F47" i="29"/>
  <c r="H47" i="29"/>
  <c r="I47" i="29" s="1"/>
  <c r="G47" i="29" s="1"/>
  <c r="J47" i="29"/>
  <c r="K47" i="29"/>
  <c r="L47" i="29"/>
  <c r="M47" i="29"/>
  <c r="F48" i="29"/>
  <c r="H48" i="29"/>
  <c r="I48" i="29"/>
  <c r="G48" i="29" s="1"/>
  <c r="J48" i="29"/>
  <c r="K48" i="29"/>
  <c r="L48" i="29"/>
  <c r="M48" i="29"/>
  <c r="F49" i="29"/>
  <c r="H49" i="29"/>
  <c r="I49" i="29" s="1"/>
  <c r="G49" i="29" s="1"/>
  <c r="J49" i="29"/>
  <c r="K49" i="29"/>
  <c r="L49" i="29"/>
  <c r="M49" i="29"/>
  <c r="F50" i="29"/>
  <c r="H50" i="29"/>
  <c r="I50" i="29"/>
  <c r="G50" i="29" s="1"/>
  <c r="J50" i="29"/>
  <c r="K50" i="29"/>
  <c r="L50" i="29"/>
  <c r="M50" i="29"/>
  <c r="F2" i="29"/>
  <c r="M2" i="29"/>
  <c r="L2" i="29"/>
  <c r="K2" i="29"/>
  <c r="J2" i="29"/>
  <c r="H2" i="29"/>
  <c r="I2" i="29" s="1"/>
  <c r="F51" i="29"/>
  <c r="H51" i="29"/>
  <c r="I51" i="29" s="1"/>
  <c r="J51" i="29"/>
  <c r="K51" i="29"/>
  <c r="L51" i="29"/>
  <c r="M51" i="29"/>
  <c r="F52" i="29"/>
  <c r="H52" i="29"/>
  <c r="I52" i="29" s="1"/>
  <c r="J52" i="29"/>
  <c r="K52" i="29"/>
  <c r="L52" i="29"/>
  <c r="M52" i="29"/>
  <c r="F53" i="29"/>
  <c r="H53" i="29"/>
  <c r="I53" i="29" s="1"/>
  <c r="J53" i="29"/>
  <c r="K53" i="29"/>
  <c r="L53" i="29"/>
  <c r="M53" i="29"/>
  <c r="F54" i="29"/>
  <c r="H54" i="29"/>
  <c r="I54" i="29"/>
  <c r="J54" i="29"/>
  <c r="K54" i="29"/>
  <c r="L54" i="29"/>
  <c r="M54" i="29"/>
  <c r="F55" i="29"/>
  <c r="H55" i="29"/>
  <c r="I55" i="29" s="1"/>
  <c r="J55" i="29"/>
  <c r="K55" i="29"/>
  <c r="L55" i="29"/>
  <c r="M55" i="29"/>
  <c r="F56" i="29"/>
  <c r="H56" i="29"/>
  <c r="I56" i="29" s="1"/>
  <c r="J56" i="29"/>
  <c r="K56" i="29"/>
  <c r="L56" i="29"/>
  <c r="M56" i="29"/>
  <c r="F57" i="29"/>
  <c r="H57" i="29"/>
  <c r="I57" i="29"/>
  <c r="J57" i="29"/>
  <c r="K57" i="29"/>
  <c r="L57" i="29"/>
  <c r="M57" i="29"/>
  <c r="F58" i="29"/>
  <c r="H58" i="29"/>
  <c r="I58" i="29" s="1"/>
  <c r="J58" i="29"/>
  <c r="K58" i="29"/>
  <c r="L58" i="29"/>
  <c r="M58" i="29"/>
  <c r="F59" i="29"/>
  <c r="H59" i="29"/>
  <c r="I59" i="29" s="1"/>
  <c r="J59" i="29"/>
  <c r="K59" i="29"/>
  <c r="L59" i="29"/>
  <c r="M59" i="29"/>
  <c r="F60" i="29"/>
  <c r="H60" i="29"/>
  <c r="I60" i="29" s="1"/>
  <c r="J60" i="29"/>
  <c r="K60" i="29"/>
  <c r="L60" i="29"/>
  <c r="M60" i="29"/>
  <c r="F61" i="29"/>
  <c r="H61" i="29"/>
  <c r="I61" i="29" s="1"/>
  <c r="J61" i="29"/>
  <c r="K61" i="29"/>
  <c r="L61" i="29"/>
  <c r="M61" i="29"/>
  <c r="F62" i="29"/>
  <c r="H62" i="29"/>
  <c r="I62" i="29"/>
  <c r="J62" i="29"/>
  <c r="K62" i="29"/>
  <c r="L62" i="29"/>
  <c r="M62" i="29"/>
  <c r="F63" i="29"/>
  <c r="H63" i="29"/>
  <c r="I63" i="29"/>
  <c r="J63" i="29"/>
  <c r="K63" i="29"/>
  <c r="L63" i="29"/>
  <c r="M63" i="29"/>
  <c r="F64" i="29"/>
  <c r="H64" i="29"/>
  <c r="I64" i="29" s="1"/>
  <c r="J64" i="29"/>
  <c r="K64" i="29"/>
  <c r="L64" i="29"/>
  <c r="M64" i="29"/>
  <c r="F65" i="29"/>
  <c r="H65" i="29"/>
  <c r="I65" i="29"/>
  <c r="J65" i="29"/>
  <c r="K65" i="29"/>
  <c r="L65" i="29"/>
  <c r="M65" i="29"/>
  <c r="F66" i="29"/>
  <c r="H66" i="29"/>
  <c r="I66" i="29" s="1"/>
  <c r="J66" i="29"/>
  <c r="K66" i="29"/>
  <c r="L66" i="29"/>
  <c r="M66" i="29"/>
  <c r="F67" i="29"/>
  <c r="H67" i="29"/>
  <c r="I67" i="29"/>
  <c r="J67" i="29"/>
  <c r="K67" i="29"/>
  <c r="L67" i="29"/>
  <c r="M67" i="29"/>
  <c r="F68" i="29"/>
  <c r="H68" i="29"/>
  <c r="I68" i="29" s="1"/>
  <c r="G68" i="29" s="1"/>
  <c r="J68" i="29"/>
  <c r="K68" i="29"/>
  <c r="L68" i="29"/>
  <c r="M68" i="29"/>
  <c r="U47" i="17"/>
  <c r="V47" i="17" s="1"/>
  <c r="W47" i="17"/>
  <c r="X47" i="17"/>
  <c r="Y47" i="17"/>
  <c r="Z47" i="17"/>
  <c r="AA47" i="17"/>
  <c r="AB47" i="17" s="1"/>
  <c r="AC47" i="17"/>
  <c r="AD47" i="17"/>
  <c r="AE47" i="17"/>
  <c r="AF47" i="17"/>
  <c r="AG47" i="17"/>
  <c r="AH47" i="17"/>
  <c r="AI47" i="17" s="1"/>
  <c r="AJ47" i="17"/>
  <c r="AK47" i="17" s="1"/>
  <c r="AL47" i="17"/>
  <c r="AM47" i="17"/>
  <c r="AN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N48" i="17"/>
  <c r="AO48" i="17"/>
  <c r="AP48" i="17"/>
  <c r="AQ48" i="17"/>
  <c r="AR48" i="17"/>
  <c r="AS48" i="17"/>
  <c r="AT48" i="17"/>
  <c r="AU48" i="17"/>
  <c r="G59" i="29" l="1"/>
  <c r="G53" i="29"/>
  <c r="G58" i="29"/>
  <c r="G60" i="29"/>
  <c r="G2" i="29"/>
  <c r="G52" i="29"/>
  <c r="G54" i="29"/>
  <c r="G66" i="29"/>
  <c r="G64" i="29"/>
  <c r="G57" i="29"/>
  <c r="G56" i="29"/>
  <c r="G65" i="29"/>
  <c r="G62" i="29"/>
  <c r="G55" i="29"/>
  <c r="G63" i="29"/>
  <c r="G67" i="29"/>
  <c r="G51" i="29"/>
  <c r="G61" i="29"/>
  <c r="S48" i="17"/>
  <c r="T48" i="17"/>
  <c r="S47" i="17"/>
  <c r="T47" i="17"/>
  <c r="M73" i="29" l="1"/>
  <c r="L73" i="29"/>
  <c r="K73" i="29"/>
  <c r="J73" i="29"/>
  <c r="H73" i="29"/>
  <c r="I73" i="29" s="1"/>
  <c r="F73" i="29"/>
  <c r="M72" i="29"/>
  <c r="L72" i="29"/>
  <c r="K72" i="29"/>
  <c r="J72" i="29"/>
  <c r="H72" i="29"/>
  <c r="I72" i="29" s="1"/>
  <c r="G72" i="29" s="1"/>
  <c r="F72" i="29"/>
  <c r="M71" i="29"/>
  <c r="L71" i="29"/>
  <c r="K71" i="29"/>
  <c r="J71" i="29"/>
  <c r="H71" i="29"/>
  <c r="I71" i="29" s="1"/>
  <c r="F71" i="29"/>
  <c r="M70" i="29"/>
  <c r="L70" i="29"/>
  <c r="K70" i="29"/>
  <c r="J70" i="29"/>
  <c r="H70" i="29"/>
  <c r="I70" i="29" s="1"/>
  <c r="F70" i="29"/>
  <c r="M69" i="29"/>
  <c r="L69" i="29"/>
  <c r="K69" i="29"/>
  <c r="J69" i="29"/>
  <c r="H69" i="29"/>
  <c r="I69" i="29" s="1"/>
  <c r="F69" i="29"/>
  <c r="F3" i="28"/>
  <c r="H3" i="28"/>
  <c r="I3" i="28"/>
  <c r="G3" i="28" s="1"/>
  <c r="J3" i="28"/>
  <c r="K3" i="28"/>
  <c r="L3" i="28"/>
  <c r="M3" i="28"/>
  <c r="F4" i="28"/>
  <c r="H4" i="28"/>
  <c r="I4" i="28"/>
  <c r="J4" i="28"/>
  <c r="K4" i="28"/>
  <c r="L4" i="28"/>
  <c r="M4" i="28"/>
  <c r="F5" i="28"/>
  <c r="H5" i="28"/>
  <c r="I5" i="28"/>
  <c r="J5" i="28"/>
  <c r="K5" i="28"/>
  <c r="L5" i="28"/>
  <c r="M5" i="28"/>
  <c r="F6" i="28"/>
  <c r="H6" i="28"/>
  <c r="I6" i="28" s="1"/>
  <c r="G6" i="28" s="1"/>
  <c r="J6" i="28"/>
  <c r="K6" i="28"/>
  <c r="L6" i="28"/>
  <c r="M6" i="28"/>
  <c r="F7" i="28"/>
  <c r="H7" i="28"/>
  <c r="I7" i="28"/>
  <c r="G7" i="28" s="1"/>
  <c r="J7" i="28"/>
  <c r="K7" i="28"/>
  <c r="L7" i="28"/>
  <c r="M7" i="28"/>
  <c r="F8" i="28"/>
  <c r="H8" i="28"/>
  <c r="I8" i="28"/>
  <c r="G8" i="28" s="1"/>
  <c r="J8" i="28"/>
  <c r="K8" i="28"/>
  <c r="L8" i="28"/>
  <c r="M8" i="28"/>
  <c r="F9" i="28"/>
  <c r="H9" i="28"/>
  <c r="I9" i="28" s="1"/>
  <c r="G9" i="28" s="1"/>
  <c r="J9" i="28"/>
  <c r="K9" i="28"/>
  <c r="L9" i="28"/>
  <c r="M9" i="28"/>
  <c r="F10" i="28"/>
  <c r="H10" i="28"/>
  <c r="I10" i="28" s="1"/>
  <c r="G10" i="28" s="1"/>
  <c r="J10" i="28"/>
  <c r="K10" i="28"/>
  <c r="L10" i="28"/>
  <c r="M10" i="28"/>
  <c r="F11" i="28"/>
  <c r="H11" i="28"/>
  <c r="I11" i="28"/>
  <c r="J11" i="28"/>
  <c r="K11" i="28"/>
  <c r="L11" i="28"/>
  <c r="M11" i="28"/>
  <c r="F12" i="28"/>
  <c r="H12" i="28"/>
  <c r="I12" i="28"/>
  <c r="J12" i="28"/>
  <c r="K12" i="28"/>
  <c r="L12" i="28"/>
  <c r="M12" i="28"/>
  <c r="F13" i="28"/>
  <c r="H13" i="28"/>
  <c r="I13" i="28"/>
  <c r="J13" i="28"/>
  <c r="K13" i="28"/>
  <c r="L13" i="28"/>
  <c r="M13" i="28"/>
  <c r="F14" i="28"/>
  <c r="H14" i="28"/>
  <c r="I14" i="28" s="1"/>
  <c r="G14" i="28" s="1"/>
  <c r="J14" i="28"/>
  <c r="K14" i="28"/>
  <c r="L14" i="28"/>
  <c r="M14" i="28"/>
  <c r="F15" i="28"/>
  <c r="H15" i="28"/>
  <c r="I15" i="28" s="1"/>
  <c r="G15" i="28" s="1"/>
  <c r="J15" i="28"/>
  <c r="K15" i="28"/>
  <c r="L15" i="28"/>
  <c r="M15" i="28"/>
  <c r="F16" i="28"/>
  <c r="H16" i="28"/>
  <c r="I16" i="28"/>
  <c r="J16" i="28"/>
  <c r="K16" i="28"/>
  <c r="L16" i="28"/>
  <c r="M16" i="28"/>
  <c r="F17" i="28"/>
  <c r="H17" i="28"/>
  <c r="I17" i="28"/>
  <c r="J17" i="28"/>
  <c r="K17" i="28"/>
  <c r="L17" i="28"/>
  <c r="M17" i="28"/>
  <c r="F18" i="28"/>
  <c r="H18" i="28"/>
  <c r="I18" i="28"/>
  <c r="J18" i="28"/>
  <c r="K18" i="28"/>
  <c r="L18" i="28"/>
  <c r="M18" i="28"/>
  <c r="F19" i="28"/>
  <c r="H19" i="28"/>
  <c r="I19" i="28"/>
  <c r="G19" i="28" s="1"/>
  <c r="J19" i="28"/>
  <c r="K19" i="28"/>
  <c r="L19" i="28"/>
  <c r="M19" i="28"/>
  <c r="F20" i="28"/>
  <c r="H20" i="28"/>
  <c r="I20" i="28"/>
  <c r="J20" i="28"/>
  <c r="K20" i="28"/>
  <c r="L20" i="28"/>
  <c r="M20" i="28"/>
  <c r="F21" i="28"/>
  <c r="H21" i="28"/>
  <c r="I21" i="28" s="1"/>
  <c r="G21" i="28" s="1"/>
  <c r="J21" i="28"/>
  <c r="K21" i="28"/>
  <c r="L21" i="28"/>
  <c r="M21" i="28"/>
  <c r="F22" i="28"/>
  <c r="H22" i="28"/>
  <c r="I22" i="28" s="1"/>
  <c r="G22" i="28" s="1"/>
  <c r="J22" i="28"/>
  <c r="K22" i="28"/>
  <c r="L22" i="28"/>
  <c r="M22" i="28"/>
  <c r="F23" i="28"/>
  <c r="H23" i="28"/>
  <c r="I23" i="28"/>
  <c r="G23" i="28" s="1"/>
  <c r="J23" i="28"/>
  <c r="K23" i="28"/>
  <c r="L23" i="28"/>
  <c r="M23" i="28"/>
  <c r="F24" i="28"/>
  <c r="H24" i="28"/>
  <c r="I24" i="28"/>
  <c r="G24" i="28" s="1"/>
  <c r="J24" i="28"/>
  <c r="K24" i="28"/>
  <c r="L24" i="28"/>
  <c r="M24" i="28"/>
  <c r="F25" i="28"/>
  <c r="H25" i="28"/>
  <c r="I25" i="28" s="1"/>
  <c r="G25" i="28" s="1"/>
  <c r="J25" i="28"/>
  <c r="K25" i="28"/>
  <c r="L25" i="28"/>
  <c r="M25" i="28"/>
  <c r="F26" i="28"/>
  <c r="H26" i="28"/>
  <c r="I26" i="28" s="1"/>
  <c r="G26" i="28" s="1"/>
  <c r="J26" i="28"/>
  <c r="K26" i="28"/>
  <c r="L26" i="28"/>
  <c r="M26" i="28"/>
  <c r="F27" i="28"/>
  <c r="H27" i="28"/>
  <c r="I27" i="28"/>
  <c r="J27" i="28"/>
  <c r="K27" i="28"/>
  <c r="L27" i="28"/>
  <c r="M27" i="28"/>
  <c r="F28" i="28"/>
  <c r="H28" i="28"/>
  <c r="I28" i="28" s="1"/>
  <c r="G28" i="28" s="1"/>
  <c r="J28" i="28"/>
  <c r="K28" i="28"/>
  <c r="L28" i="28"/>
  <c r="M28" i="28"/>
  <c r="F29" i="28"/>
  <c r="H29" i="28"/>
  <c r="I29" i="28"/>
  <c r="J29" i="28"/>
  <c r="K29" i="28"/>
  <c r="L29" i="28"/>
  <c r="M29" i="28"/>
  <c r="F30" i="28"/>
  <c r="H30" i="28"/>
  <c r="I30" i="28"/>
  <c r="G30" i="28" s="1"/>
  <c r="J30" i="28"/>
  <c r="K30" i="28"/>
  <c r="L30" i="28"/>
  <c r="M30" i="28"/>
  <c r="F31" i="28"/>
  <c r="H31" i="28"/>
  <c r="I31" i="28" s="1"/>
  <c r="G31" i="28" s="1"/>
  <c r="J31" i="28"/>
  <c r="K31" i="28"/>
  <c r="L31" i="28"/>
  <c r="M31" i="28"/>
  <c r="F32" i="28"/>
  <c r="H32" i="28"/>
  <c r="I32" i="28"/>
  <c r="J32" i="28"/>
  <c r="K32" i="28"/>
  <c r="L32" i="28"/>
  <c r="M32" i="28"/>
  <c r="F33" i="28"/>
  <c r="H33" i="28"/>
  <c r="I33" i="28"/>
  <c r="J33" i="28"/>
  <c r="K33" i="28"/>
  <c r="L33" i="28"/>
  <c r="M33" i="28"/>
  <c r="F34" i="28"/>
  <c r="H34" i="28"/>
  <c r="I34" i="28"/>
  <c r="J34" i="28"/>
  <c r="K34" i="28"/>
  <c r="L34" i="28"/>
  <c r="M34" i="28"/>
  <c r="F35" i="28"/>
  <c r="H35" i="28"/>
  <c r="I35" i="28"/>
  <c r="G35" i="28" s="1"/>
  <c r="J35" i="28"/>
  <c r="K35" i="28"/>
  <c r="L35" i="28"/>
  <c r="M35" i="28"/>
  <c r="F36" i="28"/>
  <c r="H36" i="28"/>
  <c r="I36" i="28"/>
  <c r="J36" i="28"/>
  <c r="K36" i="28"/>
  <c r="L36" i="28"/>
  <c r="M36" i="28"/>
  <c r="F37" i="28"/>
  <c r="H37" i="28"/>
  <c r="I37" i="28" s="1"/>
  <c r="J37" i="28"/>
  <c r="K37" i="28"/>
  <c r="L37" i="28"/>
  <c r="M37" i="28"/>
  <c r="F38" i="28"/>
  <c r="H38" i="28"/>
  <c r="I38" i="28" s="1"/>
  <c r="G38" i="28" s="1"/>
  <c r="J38" i="28"/>
  <c r="K38" i="28"/>
  <c r="L38" i="28"/>
  <c r="M38" i="28"/>
  <c r="F39" i="28"/>
  <c r="H39" i="28"/>
  <c r="I39" i="28"/>
  <c r="J39" i="28"/>
  <c r="K39" i="28"/>
  <c r="L39" i="28"/>
  <c r="M39" i="28"/>
  <c r="F40" i="28"/>
  <c r="H40" i="28"/>
  <c r="I40" i="28"/>
  <c r="G40" i="28" s="1"/>
  <c r="J40" i="28"/>
  <c r="K40" i="28"/>
  <c r="L40" i="28"/>
  <c r="M40" i="28"/>
  <c r="F41" i="28"/>
  <c r="H41" i="28"/>
  <c r="I41" i="28" s="1"/>
  <c r="G41" i="28" s="1"/>
  <c r="J41" i="28"/>
  <c r="K41" i="28"/>
  <c r="L41" i="28"/>
  <c r="M41" i="28"/>
  <c r="F42" i="28"/>
  <c r="H42" i="28"/>
  <c r="I42" i="28" s="1"/>
  <c r="G42" i="28" s="1"/>
  <c r="J42" i="28"/>
  <c r="K42" i="28"/>
  <c r="L42" i="28"/>
  <c r="M42" i="28"/>
  <c r="F43" i="28"/>
  <c r="H43" i="28"/>
  <c r="I43" i="28"/>
  <c r="J43" i="28"/>
  <c r="K43" i="28"/>
  <c r="L43" i="28"/>
  <c r="M43" i="28"/>
  <c r="F44" i="28"/>
  <c r="H44" i="28"/>
  <c r="I44" i="28" s="1"/>
  <c r="G44" i="28" s="1"/>
  <c r="J44" i="28"/>
  <c r="K44" i="28"/>
  <c r="L44" i="28"/>
  <c r="M44" i="28"/>
  <c r="F45" i="28"/>
  <c r="H45" i="28"/>
  <c r="I45" i="28"/>
  <c r="J45" i="28"/>
  <c r="K45" i="28"/>
  <c r="L45" i="28"/>
  <c r="M45" i="28"/>
  <c r="F46" i="28"/>
  <c r="H46" i="28"/>
  <c r="I46" i="28"/>
  <c r="G46" i="28" s="1"/>
  <c r="J46" i="28"/>
  <c r="K46" i="28"/>
  <c r="L46" i="28"/>
  <c r="M46" i="28"/>
  <c r="F47" i="28"/>
  <c r="H47" i="28"/>
  <c r="I47" i="28" s="1"/>
  <c r="G47" i="28" s="1"/>
  <c r="J47" i="28"/>
  <c r="K47" i="28"/>
  <c r="L47" i="28"/>
  <c r="M47" i="28"/>
  <c r="F48" i="28"/>
  <c r="H48" i="28"/>
  <c r="I48" i="28"/>
  <c r="J48" i="28"/>
  <c r="K48" i="28"/>
  <c r="L48" i="28"/>
  <c r="M48" i="28"/>
  <c r="F49" i="28"/>
  <c r="H49" i="28"/>
  <c r="I49" i="28"/>
  <c r="J49" i="28"/>
  <c r="K49" i="28"/>
  <c r="L49" i="28"/>
  <c r="M49" i="28"/>
  <c r="F50" i="28"/>
  <c r="H50" i="28"/>
  <c r="I50" i="28"/>
  <c r="J50" i="28"/>
  <c r="K50" i="28"/>
  <c r="L50" i="28"/>
  <c r="M50" i="28"/>
  <c r="F51" i="28"/>
  <c r="H51" i="28"/>
  <c r="I51" i="28"/>
  <c r="G51" i="28" s="1"/>
  <c r="J51" i="28"/>
  <c r="K51" i="28"/>
  <c r="L51" i="28"/>
  <c r="M51" i="28"/>
  <c r="F2" i="28"/>
  <c r="M2" i="28"/>
  <c r="L2" i="28"/>
  <c r="K2" i="28"/>
  <c r="J2" i="28"/>
  <c r="H2" i="28"/>
  <c r="I2" i="28" s="1"/>
  <c r="G73" i="29" l="1"/>
  <c r="G16" i="28"/>
  <c r="G4" i="28"/>
  <c r="G48" i="28"/>
  <c r="G29" i="28"/>
  <c r="G13" i="28"/>
  <c r="G50" i="28"/>
  <c r="G18" i="28"/>
  <c r="G27" i="28"/>
  <c r="G20" i="28"/>
  <c r="G45" i="28"/>
  <c r="G39" i="28"/>
  <c r="G32" i="28"/>
  <c r="G34" i="28"/>
  <c r="G43" i="28"/>
  <c r="G11" i="28"/>
  <c r="G36" i="28"/>
  <c r="G49" i="28"/>
  <c r="G33" i="28"/>
  <c r="G17" i="28"/>
  <c r="G12" i="28"/>
  <c r="G5" i="28"/>
  <c r="G69" i="29"/>
  <c r="G70" i="29"/>
  <c r="G71" i="29"/>
  <c r="G37" i="28"/>
  <c r="G2" i="28"/>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<sst xmlns="http://schemas.openxmlformats.org/spreadsheetml/2006/main" count="4468" uniqueCount="2173">
  <si>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</si>
  <si>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</si>
  <si>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</si>
  <si>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</si>
  <si>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</si>
  <si>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</si>
  <si>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</si>
  <si>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</si>
  <si>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</si>
  <si>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</si>
  <si>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</si>
  <si>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</si>
  <si>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</si>
  <si>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</si>
  <si>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</si>
  <si>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</si>
  <si>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</si>
  <si>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</si>
  <si>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</si>
  <si>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</si>
  <si>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</si>
  <si>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</si>
  <si>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</si>
  <si>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</si>
  <si>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</si>
  <si>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</si>
  <si>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</si>
  <si>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</si>
  <si>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</si>
  <si>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</si>
  <si>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</si>
  <si>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</si>
  <si>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</si>
  <si>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</si>
  <si>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</si>
  <si>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</si>
  <si>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</si>
  <si>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</si>
  <si>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</si>
  <si>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</si>
  <si>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</si>
  <si>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</si>
  <si>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</si>
  <si>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</si>
  <si>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</si>
  <si>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</si>
  <si>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</si>
  <si>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</si>
  <si>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</si>
  <si>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</si>
  <si>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</si>
  <si>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</si>
  <si>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</si>
  <si>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</si>
  <si>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</si>
  <si>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</si>
  <si>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</si>
  <si>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</si>
  <si>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</si>
  <si>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</si>
  <si>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</si>
  <si>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</si>
  <si>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</si>
  <si>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</si>
  <si>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</si>
  <si>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</si>
  <si>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</si>
  <si>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</si>
  <si>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</si>
  <si>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</si>
  <si>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</si>
  <si>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</si>
  <si>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</si>
  <si>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</si>
  <si>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</si>
  <si>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</si>
  <si>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</si>
  <si>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</si>
  <si>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</si>
  <si>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</si>
  <si>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</si>
  <si>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</si>
  <si>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</si>
  <si>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</si>
  <si>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</si>
  <si>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</si>
  <si>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</si>
  <si>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</si>
  <si>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</si>
  <si>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</si>
  <si>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</si>
  <si>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</si>
  <si>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</si>
  <si>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</si>
  <si>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</si>
  <si>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</si>
  <si>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</si>
  <si>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</si>
  <si>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</si>
  <si>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</si>
  <si>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</si>
  <si>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</si>
  <si>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</si>
  <si>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</si>
  <si>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</si>
  <si>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</si>
  <si>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</si>
  <si>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</si>
  <si>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</si>
  <si>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</si>
  <si>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</si>
  <si>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</si>
  <si>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</si>
  <si>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</si>
  <si>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</si>
  <si>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</si>
  <si>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</si>
  <si>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</si>
  <si>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</si>
  <si>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</si>
  <si>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</si>
  <si>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</si>
  <si>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</si>
  <si>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</si>
  <si>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</si>
  <si>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</si>
  <si>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</si>
  <si>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</si>
  <si>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</si>
  <si>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</si>
  <si>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</si>
  <si>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</si>
  <si>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</si>
  <si>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</si>
  <si>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</si>
  <si>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</si>
  <si>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</si>
  <si>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</si>
  <si>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</si>
  <si>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</si>
  <si>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</si>
  <si>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</si>
  <si>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</si>
  <si>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</si>
  <si>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</si>
  <si>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</si>
  <si>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</si>
  <si>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</si>
  <si>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</si>
  <si>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</si>
  <si>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</si>
  <si>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</si>
  <si>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</si>
  <si>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</si>
  <si>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</si>
  <si>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</si>
  <si>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</si>
  <si>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</si>
  <si>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</si>
  <si>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</si>
  <si>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</si>
  <si>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</si>
  <si>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</si>
  <si>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</si>
  <si>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</si>
  <si>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</si>
  <si>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</si>
  <si>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</si>
  <si>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</si>
  <si>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</si>
  <si>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</si>
  <si>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</si>
  <si>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</si>
  <si>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</si>
  <si>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</si>
  <si>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</si>
  <si>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</si>
  <si>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</si>
  <si>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</si>
  <si>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</si>
  <si>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</si>
  <si>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</si>
  <si>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</si>
  <si>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</si>
  <si>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</si>
  <si>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</si>
  <si>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</si>
  <si>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</si>
  <si>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</si>
  <si>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</si>
  <si>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</si>
  <si>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</si>
  <si>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</si>
  <si>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</si>
  <si>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</si>
  <si>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</si>
  <si>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</si>
  <si>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</si>
  <si>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</si>
  <si>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</si>
  <si>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</si>
  <si>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</si>
  <si>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</si>
  <si>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</si>
  <si>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</si>
  <si>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</si>
  <si>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</si>
  <si>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</si>
  <si>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</si>
  <si>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</si>
  <si>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</si>
  <si>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</si>
  <si>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</si>
  <si>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</si>
  <si>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</si>
  <si>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</si>
  <si>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</si>
  <si>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</si>
  <si>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</si>
  <si>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</si>
  <si>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</si>
  <si>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</si>
  <si>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</si>
  <si>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</si>
  <si>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</si>
  <si>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</si>
  <si>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</si>
  <si>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</si>
  <si>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</si>
  <si>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</si>
  <si>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</si>
  <si>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</si>
  <si>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</si>
  <si>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</si>
  <si>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</si>
  <si>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</si>
  <si>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</si>
  <si>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</si>
  <si>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</si>
  <si>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</si>
  <si>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</si>
  <si>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</si>
  <si>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</si>
  <si>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</si>
  <si>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</si>
  <si>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</si>
  <si>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</si>
  <si>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</si>
  <si>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</si>
  <si>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</si>
  <si>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</si>
  <si>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</si>
  <si>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</si>
  <si>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</si>
  <si>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</si>
  <si>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</si>
  <si>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</si>
  <si>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</si>
  <si>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</si>
  <si>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</si>
  <si>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</si>
  <si>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</si>
  <si>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</si>
  <si>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</si>
  <si>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</si>
  <si>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</si>
  <si>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</si>
  <si>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</si>
  <si>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</si>
  <si>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</si>
  <si>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</si>
  <si>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</si>
  <si>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</si>
  <si>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</si>
  <si>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</si>
  <si>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</si>
  <si>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</si>
  <si>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</si>
  <si>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</si>
  <si>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</si>
  <si>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</si>
  <si>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</si>
  <si>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</si>
  <si>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</si>
  <si>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</si>
  <si>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</si>
  <si>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</si>
  <si>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</si>
  <si>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</si>
  <si>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</si>
  <si>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</si>
  <si>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</si>
  <si>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</si>
  <si>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</si>
  <si>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</si>
  <si>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</si>
  <si>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</si>
  <si>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</si>
  <si>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</si>
  <si>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</si>
  <si>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</si>
  <si>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</si>
  <si>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</si>
  <si>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</si>
  <si>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</si>
  <si>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</si>
  <si>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</si>
  <si>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</si>
  <si>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</si>
  <si>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</si>
  <si>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</si>
  <si>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</si>
  <si>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</si>
  <si>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</si>
  <si>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</si>
  <si>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</si>
  <si>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</si>
  <si>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</si>
  <si>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</si>
  <si>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</si>
  <si>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</si>
  <si>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</si>
  <si>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</si>
  <si>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</si>
  <si>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</si>
  <si>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</si>
  <si>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</si>
  <si>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</si>
  <si>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</si>
  <si>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</si>
  <si>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</si>
  <si>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</si>
  <si>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</si>
  <si>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</si>
  <si>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</si>
  <si>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</si>
  <si>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</si>
  <si>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</si>
  <si>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</si>
  <si>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</si>
  <si>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</si>
  <si>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</si>
  <si>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</si>
  <si>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</si>
  <si>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</si>
  <si>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</si>
  <si>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</si>
  <si>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</si>
  <si>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</si>
  <si>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</si>
  <si>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</si>
  <si>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</si>
  <si>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</si>
  <si>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</si>
  <si>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</si>
  <si>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</si>
  <si>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</si>
  <si>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</si>
  <si>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</si>
  <si>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</si>
  <si>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</si>
  <si>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</si>
  <si>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</si>
  <si>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</si>
  <si>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</si>
  <si>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</si>
  <si>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</si>
  <si>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</si>
  <si>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</si>
  <si>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</si>
  <si>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</si>
  <si>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</si>
  <si>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</si>
  <si>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</si>
  <si>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</si>
  <si>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</si>
  <si>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</si>
  <si>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</si>
  <si>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</si>
  <si>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</si>
  <si>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</si>
  <si>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</si>
  <si>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</si>
  <si>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</si>
  <si>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</si>
  <si>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</si>
  <si>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</si>
  <si>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</si>
  <si>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</si>
  <si>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</si>
  <si>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</si>
  <si>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</si>
  <si>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</si>
  <si>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</si>
  <si>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</si>
  <si>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</si>
  <si>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</si>
  <si>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</si>
  <si>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</si>
  <si>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</si>
  <si>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</si>
  <si>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</si>
  <si>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</si>
  <si>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</si>
  <si>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</si>
  <si>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</si>
  <si>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</si>
  <si>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</si>
  <si>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</si>
  <si>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</si>
  <si>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</si>
  <si>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</si>
  <si>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</si>
  <si>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</si>
  <si>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</si>
  <si>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</si>
  <si>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</si>
  <si>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</si>
  <si>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</si>
  <si>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</si>
  <si>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</si>
  <si>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</si>
  <si>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</si>
  <si>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</si>
  <si>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</si>
  <si>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</si>
  <si>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</si>
  <si>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</si>
  <si>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</si>
  <si>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</si>
  <si>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</si>
  <si>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</si>
  <si>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</si>
  <si>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</si>
  <si>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</si>
  <si>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</si>
  <si>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</si>
  <si>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</si>
  <si>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</si>
  <si>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</si>
  <si>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</si>
  <si>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</si>
  <si>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</si>
  <si>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</si>
  <si>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</si>
  <si>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</si>
  <si>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</si>
  <si>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</si>
  <si>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</si>
  <si>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</si>
  <si>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</si>
  <si>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</si>
  <si>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</si>
  <si>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</si>
  <si>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</si>
  <si>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</si>
  <si>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</si>
  <si>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</si>
  <si>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</si>
  <si>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</si>
  <si>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</si>
  <si>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</si>
  <si>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</si>
  <si>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</si>
  <si>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</si>
  <si>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</si>
  <si>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</si>
  <si>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</si>
  <si>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</si>
  <si>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</si>
  <si>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</si>
  <si>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</si>
  <si>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</si>
  <si>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</si>
  <si>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</si>
  <si>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</si>
  <si>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</si>
  <si>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</si>
  <si>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</si>
  <si>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</si>
  <si>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</si>
  <si>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</si>
  <si>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</si>
  <si>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</si>
  <si>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</si>
  <si>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</si>
  <si>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</si>
  <si>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</si>
  <si>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</si>
  <si>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</si>
  <si>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</si>
  <si>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</si>
  <si>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</si>
  <si>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</si>
  <si>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</si>
  <si>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</si>
  <si>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</si>
  <si>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</si>
  <si>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</si>
  <si>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</si>
  <si>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</si>
  <si>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</si>
  <si>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</si>
  <si>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</si>
  <si>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</si>
  <si>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</si>
  <si>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</si>
  <si>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</si>
  <si>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</si>
  <si>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</si>
  <si>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</si>
  <si>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</si>
  <si>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</si>
  <si>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</si>
  <si>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</si>
  <si>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</si>
  <si>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</si>
  <si>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</si>
  <si>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</si>
  <si>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</si>
  <si>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</si>
  <si>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</si>
  <si>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</si>
  <si>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</si>
  <si>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</si>
  <si>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</si>
  <si>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</si>
  <si>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</si>
  <si>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</si>
  <si>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</si>
  <si>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</si>
  <si>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</si>
  <si>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</si>
  <si>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</si>
  <si>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</si>
  <si>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</si>
  <si>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</si>
  <si>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</si>
  <si>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</si>
  <si>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</si>
  <si>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</si>
  <si>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</si>
  <si>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</si>
  <si>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</si>
  <si>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</si>
  <si>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</si>
  <si>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</si>
  <si>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</si>
  <si>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</si>
  <si>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</si>
  <si>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</si>
  <si>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</si>
  <si>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</si>
  <si>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</si>
  <si>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</si>
  <si>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</si>
  <si>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</si>
  <si>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</si>
  <si>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</si>
  <si>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</si>
  <si>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</si>
  <si>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</si>
  <si>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</si>
  <si>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</si>
  <si>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</si>
  <si>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</si>
  <si>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</si>
  <si>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</si>
  <si>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</si>
  <si>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</si>
  <si>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</si>
  <si>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</si>
  <si>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</si>
  <si>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</si>
  <si>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</si>
  <si>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</si>
  <si>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</si>
  <si>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</si>
  <si>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</si>
  <si>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</si>
  <si>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</si>
  <si>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</si>
  <si>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</si>
  <si>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</si>
  <si>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</si>
  <si>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</si>
  <si>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</si>
  <si>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</si>
  <si>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</si>
  <si>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</si>
  <si>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</si>
  <si>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</si>
  <si>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</si>
  <si>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</si>
  <si>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</si>
  <si>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</si>
  <si>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</si>
  <si>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</si>
  <si>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</si>
  <si>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</si>
  <si>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</si>
  <si>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</si>
  <si>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</si>
  <si>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</si>
  <si>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</si>
  <si>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</si>
  <si>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</si>
  <si>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</si>
  <si>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</si>
  <si>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</si>
  <si>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</si>
  <si>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</si>
  <si>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</si>
  <si>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</si>
  <si>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</si>
  <si>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</si>
  <si>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</si>
  <si>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</si>
  <si>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</si>
  <si>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</si>
  <si>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</si>
  <si>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</si>
  <si>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</si>
  <si>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</si>
  <si>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</si>
  <si>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</si>
  <si>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</si>
  <si>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</si>
  <si>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</si>
  <si>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</si>
  <si>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</si>
  <si>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</si>
  <si>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</si>
  <si>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</si>
  <si>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</si>
  <si>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</si>
  <si>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</si>
  <si>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</si>
  <si>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</si>
  <si>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</si>
  <si>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</si>
  <si>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</si>
  <si>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</si>
  <si>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</si>
  <si>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</si>
  <si>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</si>
  <si>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</si>
  <si>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</si>
  <si>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</si>
  <si>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</si>
  <si>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</si>
  <si>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</si>
  <si>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</si>
  <si>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</si>
  <si>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</si>
  <si>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</si>
  <si>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</si>
  <si>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</si>
  <si>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</si>
  <si>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</si>
  <si>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</si>
  <si>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</si>
  <si>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</si>
  <si>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</si>
  <si>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</si>
  <si>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</si>
  <si>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</si>
  <si>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</si>
  <si>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</si>
  <si>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</si>
  <si>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</si>
  <si>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</si>
  <si>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</si>
  <si>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</si>
  <si>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</si>
  <si>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</si>
  <si>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</si>
  <si>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</si>
  <si>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</si>
  <si>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</si>
  <si>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</si>
  <si>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</si>
  <si>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</si>
  <si>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</si>
  <si>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</si>
  <si>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</si>
  <si>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</si>
  <si>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</si>
  <si>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</si>
  <si>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</si>
  <si>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</si>
  <si>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</si>
  <si>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</si>
  <si>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</si>
  <si>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</si>
  <si>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</si>
  <si>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</si>
  <si>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</si>
  <si>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</si>
  <si>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</si>
  <si>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</si>
  <si>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</si>
  <si>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</si>
  <si>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</si>
  <si>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</si>
  <si>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</si>
  <si>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</si>
  <si>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</si>
  <si>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</si>
  <si>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</si>
  <si>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</si>
  <si>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</si>
  <si>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</si>
  <si>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</si>
  <si>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</si>
  <si>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</si>
  <si>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</si>
  <si>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</si>
  <si>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</si>
  <si>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</si>
  <si>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</si>
  <si>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</si>
  <si>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</si>
  <si>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</si>
  <si>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</si>
  <si>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</si>
  <si>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</si>
  <si>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</si>
  <si>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</si>
  <si>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</si>
  <si>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</si>
  <si>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</si>
  <si>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</si>
  <si>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</si>
  <si>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</si>
  <si>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</si>
  <si>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</si>
  <si>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</si>
  <si>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</si>
  <si>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</si>
  <si>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</si>
  <si>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</si>
  <si>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</si>
  <si>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</si>
  <si>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</si>
  <si>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</si>
  <si>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</si>
  <si>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</si>
  <si>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</si>
  <si>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</si>
  <si>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</si>
  <si>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</si>
  <si>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</si>
  <si>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</si>
  <si>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</si>
  <si>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</si>
  <si>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</si>
  <si>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</si>
  <si>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</si>
  <si>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</si>
  <si>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</si>
  <si>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</si>
  <si>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</si>
  <si>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</si>
  <si>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</si>
  <si>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</si>
  <si>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</si>
  <si>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</si>
  <si>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</si>
  <si>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</si>
  <si>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</si>
  <si>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</si>
  <si>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</si>
  <si>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</si>
  <si>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</si>
  <si>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</si>
  <si>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</si>
  <si>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</si>
  <si>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</si>
  <si>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</si>
  <si>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</si>
  <si>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</si>
  <si>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</si>
  <si>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</si>
  <si>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</si>
  <si>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</si>
  <si>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</si>
  <si>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</si>
  <si>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</si>
  <si>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</si>
  <si>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</si>
  <si>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</si>
  <si>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</si>
  <si>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</si>
  <si>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</si>
  <si>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</si>
  <si>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</si>
  <si>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</si>
  <si>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</si>
  <si>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</si>
  <si>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</si>
  <si>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</si>
  <si>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</si>
  <si>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</si>
  <si>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</si>
  <si>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</si>
  <si>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</si>
  <si>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</si>
  <si>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</si>
  <si>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</si>
  <si>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</si>
  <si>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</si>
  <si>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</si>
  <si>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</si>
  <si>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</si>
  <si>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</si>
  <si>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</si>
  <si>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</si>
  <si>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</si>
  <si>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</si>
  <si>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</si>
  <si>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</si>
  <si>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</si>
  <si>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</si>
  <si>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</si>
  <si>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</si>
  <si>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</si>
  <si>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</si>
  <si>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</si>
  <si>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</si>
  <si>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</si>
  <si>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</si>
  <si>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</si>
  <si>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</si>
  <si>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</si>
  <si>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</si>
  <si>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</si>
  <si>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</si>
  <si>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</si>
  <si>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</si>
  <si>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</si>
  <si>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</si>
  <si>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</si>
  <si>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</si>
  <si>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</si>
  <si>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</si>
  <si>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</si>
  <si>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</si>
  <si>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</si>
  <si>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</si>
  <si>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</si>
  <si>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</si>
  <si>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</si>
  <si>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</si>
  <si>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</si>
  <si>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</si>
  <si>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</si>
  <si>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</si>
  <si>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</si>
  <si>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</si>
  <si>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</si>
  <si>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</si>
  <si>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</si>
  <si>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</si>
  <si>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</si>
  <si>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</si>
  <si>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</si>
  <si>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</si>
  <si>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</si>
  <si>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</si>
  <si>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</si>
  <si>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</si>
  <si>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</si>
  <si>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</si>
  <si>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</si>
  <si>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</si>
  <si>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</si>
  <si>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</si>
  <si>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</si>
  <si>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</si>
  <si>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</si>
  <si>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</si>
  <si>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</si>
  <si>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</si>
  <si>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</si>
  <si>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</si>
  <si>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</si>
  <si>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</si>
  <si>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</si>
  <si>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</si>
  <si>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</si>
  <si>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</si>
  <si>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</si>
  <si>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</si>
  <si>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</si>
  <si>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</si>
  <si>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</si>
  <si>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</si>
  <si>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</si>
  <si>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</si>
  <si>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</si>
  <si>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</si>
  <si>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</si>
  <si>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</si>
  <si>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</si>
  <si>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</si>
  <si>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</si>
  <si>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</si>
  <si>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</si>
  <si>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</si>
  <si>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</si>
  <si>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</si>
  <si>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</si>
  <si>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</si>
  <si>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</si>
  <si>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</si>
  <si>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</si>
  <si>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</si>
  <si>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</si>
  <si>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</si>
  <si>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</si>
  <si>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</si>
  <si>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</si>
  <si>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</si>
  <si>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</si>
  <si>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</si>
  <si>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</si>
  <si>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</si>
  <si>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</si>
  <si>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</si>
  <si>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</si>
  <si>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</si>
  <si>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</si>
  <si>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</si>
  <si>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</si>
  <si>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</si>
  <si>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</si>
  <si>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</si>
  <si>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</si>
  <si>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</si>
  <si>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</si>
  <si>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</si>
  <si>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</si>
  <si>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</si>
  <si>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</si>
  <si>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</si>
  <si>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</si>
  <si>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</si>
  <si>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</si>
  <si>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</si>
  <si>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</si>
  <si>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</si>
  <si>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</si>
  <si>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</si>
  <si>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</si>
  <si>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</si>
  <si>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</si>
  <si>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</si>
  <si>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</si>
  <si>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</si>
  <si>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</si>
  <si>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</si>
  <si>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</si>
  <si>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</si>
  <si>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</si>
  <si>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</si>
  <si>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</si>
  <si>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</si>
  <si>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</si>
  <si>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</si>
  <si>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</si>
  <si>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</si>
  <si>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</si>
  <si>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</si>
  <si>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</si>
  <si>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</si>
  <si>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</si>
  <si>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</si>
  <si>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</si>
  <si>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</si>
  <si>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</si>
  <si>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</si>
  <si>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</si>
  <si>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</si>
  <si>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</si>
  <si>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</si>
  <si>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</si>
  <si>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</si>
  <si>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</si>
  <si>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</si>
  <si>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</si>
  <si>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</si>
  <si>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</si>
  <si>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</si>
  <si>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</si>
  <si>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</si>
  <si>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</si>
  <si>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</si>
  <si>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</si>
  <si>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</si>
  <si>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</si>
  <si>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</si>
  <si>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</si>
  <si>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</si>
  <si>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</si>
  <si>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</si>
  <si>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</si>
  <si>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</si>
  <si>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</si>
  <si>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</si>
  <si>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</si>
  <si>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</si>
  <si>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</si>
  <si>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</si>
  <si>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</si>
  <si>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</si>
  <si>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</si>
  <si>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</si>
  <si>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</si>
  <si>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</si>
  <si>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</si>
  <si>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</si>
  <si>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</si>
  <si>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</si>
  <si>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</si>
  <si>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</si>
  <si>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</si>
  <si>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</si>
  <si>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</si>
  <si>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</si>
  <si>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</si>
  <si>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</si>
  <si>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</si>
  <si>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</si>
  <si>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</si>
  <si>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</si>
  <si>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</si>
  <si>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</si>
  <si>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</si>
  <si>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</si>
  <si>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</si>
  <si>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</si>
  <si>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</si>
  <si>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</si>
  <si>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</si>
  <si>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</si>
  <si>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</si>
  <si>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</si>
  <si>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</si>
  <si>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</si>
  <si>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</si>
  <si>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</si>
  <si>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</si>
  <si>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</si>
  <si>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</si>
  <si>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</si>
  <si>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</si>
  <si>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</si>
  <si>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</si>
  <si>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</si>
  <si>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</si>
  <si>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</si>
  <si>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</si>
  <si>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</si>
  <si>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</si>
  <si>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</si>
  <si>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</si>
  <si>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</si>
  <si>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</si>
  <si>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</si>
  <si>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</si>
  <si>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</si>
  <si>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</si>
  <si>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</si>
  <si>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</si>
  <si>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</si>
  <si>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</si>
  <si>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</si>
  <si>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</si>
  <si>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</si>
  <si>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</si>
  <si>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</si>
  <si>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</si>
  <si>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</si>
  <si>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</si>
  <si>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</si>
  <si>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</si>
  <si>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</si>
  <si>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</si>
  <si>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</si>
  <si>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</si>
  <si>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</si>
  <si>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</si>
  <si>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</si>
  <si>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</si>
  <si>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</si>
  <si>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</si>
  <si>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</si>
  <si>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</si>
  <si>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</si>
  <si>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</si>
  <si>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</si>
  <si>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</si>
  <si>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</si>
  <si>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</si>
  <si>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</si>
  <si>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</si>
  <si>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</si>
  <si>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</si>
  <si>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</si>
  <si>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</si>
  <si>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</si>
  <si>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</si>
  <si>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</si>
  <si>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</si>
  <si>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</si>
  <si>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</si>
  <si>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</si>
  <si>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</si>
  <si>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</si>
  <si>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</si>
  <si>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</si>
  <si>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</si>
  <si>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</si>
  <si>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</si>
  <si>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</si>
  <si>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</si>
  <si>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</si>
  <si>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</si>
  <si>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</si>
  <si>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</si>
  <si>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</si>
  <si>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</si>
  <si>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</si>
  <si>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</si>
  <si>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</si>
  <si>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</si>
  <si>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</si>
  <si>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</si>
  <si>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</si>
  <si>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</si>
  <si>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</si>
  <si>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</si>
  <si>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</si>
  <si>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</si>
  <si>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</si>
  <si>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</si>
  <si>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</si>
  <si>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</si>
  <si>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</si>
  <si>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</si>
  <si>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</si>
  <si>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</si>
  <si>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</si>
  <si>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</si>
  <si>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</si>
  <si>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</si>
  <si>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</si>
  <si>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</si>
  <si>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</si>
  <si>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</si>
  <si>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</si>
  <si>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</si>
  <si>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</si>
  <si>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</si>
  <si>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</si>
  <si>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</si>
  <si>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</si>
  <si>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</si>
  <si>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</si>
  <si>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</si>
  <si>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</si>
  <si>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</si>
  <si>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</si>
  <si>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</si>
  <si>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</si>
  <si>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</si>
  <si>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</si>
  <si>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</si>
  <si>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</si>
  <si>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</si>
  <si>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</si>
  <si>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</si>
  <si>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</si>
  <si>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</si>
  <si>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</si>
  <si>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</si>
  <si>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</si>
  <si>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</si>
  <si>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</si>
  <si>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</si>
  <si>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</si>
  <si>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</si>
  <si>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</si>
  <si>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</si>
  <si>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</si>
  <si>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</si>
  <si>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</si>
  <si>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</si>
  <si>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</si>
  <si>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</si>
  <si>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</si>
  <si>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</si>
  <si>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</si>
  <si>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</si>
  <si>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</si>
  <si>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</si>
  <si>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</si>
  <si>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</si>
  <si>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</si>
  <si>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</si>
  <si>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</si>
  <si>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</si>
  <si>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</si>
  <si>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</si>
  <si>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</si>
  <si>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</si>
  <si>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</si>
  <si>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</si>
  <si>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</si>
  <si>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</si>
  <si>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</si>
  <si>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</si>
  <si>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</si>
  <si>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</si>
  <si>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</si>
  <si>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</si>
  <si>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</si>
  <si>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</si>
  <si>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</si>
  <si>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</si>
  <si>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</si>
  <si>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</si>
  <si>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</si>
  <si>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</si>
  <si>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</si>
  <si>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</si>
  <si>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</si>
  <si>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</si>
  <si>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</si>
  <si>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</si>
  <si>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</si>
  <si>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</si>
  <si>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</si>
  <si>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</si>
  <si>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</si>
  <si>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</si>
  <si>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</si>
  <si>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</si>
  <si>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</si>
  <si>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</si>
  <si>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</si>
  <si>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</si>
  <si>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</si>
  <si>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</si>
  <si>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</si>
  <si>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</si>
  <si>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</si>
  <si>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</si>
  <si>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</si>
  <si>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</si>
  <si>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</si>
  <si>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</si>
  <si>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</si>
  <si>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</si>
  <si>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</si>
  <si>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</si>
  <si>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</si>
  <si>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</si>
  <si>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</si>
  <si>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</si>
  <si>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</si>
  <si>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</si>
  <si>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</si>
  <si>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</si>
  <si>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</si>
  <si>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</si>
  <si>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</si>
  <si>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</si>
  <si>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</si>
  <si>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</si>
  <si>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</si>
  <si>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</si>
  <si>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</si>
  <si>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</si>
  <si>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</si>
  <si>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</si>
  <si>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</si>
  <si>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</si>
  <si>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</si>
  <si>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</si>
  <si>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</si>
  <si>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</si>
  <si>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</si>
  <si>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</si>
  <si>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</si>
  <si>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</si>
  <si>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</si>
  <si>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</si>
  <si>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</si>
  <si>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</si>
  <si>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</si>
  <si>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</si>
  <si>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</si>
  <si>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</si>
  <si>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</si>
  <si>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</si>
  <si>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</si>
  <si>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</si>
  <si>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</si>
  <si>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</si>
  <si>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</si>
  <si>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</si>
  <si>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</si>
  <si>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</si>
  <si>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</si>
  <si>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</si>
  <si>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</si>
  <si>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</si>
  <si>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</si>
  <si>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</si>
  <si>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</si>
  <si>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</si>
  <si>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</si>
  <si>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</si>
  <si>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</si>
  <si>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</si>
  <si>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</si>
  <si>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</si>
  <si>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</si>
  <si>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</si>
  <si>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</si>
  <si>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</si>
  <si>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</si>
  <si>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</si>
  <si>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</si>
  <si>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</si>
  <si>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</si>
  <si>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</si>
  <si>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</si>
  <si>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</si>
  <si>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</si>
  <si>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</si>
  <si>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</si>
  <si>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</si>
  <si>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</si>
  <si>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</si>
  <si>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</si>
  <si>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</si>
  <si>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</si>
  <si>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</si>
  <si>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</si>
  <si>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</si>
  <si>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</si>
  <si>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</si>
  <si>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</si>
  <si>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</si>
  <si>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</si>
  <si>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</si>
  <si>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</si>
  <si>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</si>
  <si>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</si>
  <si>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</si>
  <si>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</si>
  <si>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</si>
  <si>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</si>
  <si>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</si>
  <si>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</si>
  <si>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</si>
  <si>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</si>
  <si>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</si>
  <si>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</si>
  <si>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</si>
  <si>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</si>
  <si>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</si>
  <si>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</si>
  <si>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</si>
  <si>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</si>
  <si>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</si>
  <si>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</si>
  <si>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</si>
  <si>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</si>
  <si>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</si>
  <si>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</si>
  <si>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</si>
  <si>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</si>
  <si>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</si>
  <si>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</si>
  <si>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</si>
  <si>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</si>
  <si>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</si>
  <si>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</si>
  <si>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</si>
  <si>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</si>
  <si>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</si>
  <si>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</si>
  <si>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</si>
  <si>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</si>
  <si>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</si>
  <si>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</si>
  <si>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</si>
  <si>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</si>
  <si>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</si>
  <si>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</si>
  <si>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</si>
  <si>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</si>
  <si>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</si>
  <si>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</si>
  <si>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</si>
  <si>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</si>
  <si>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</si>
  <si>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</si>
  <si>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</si>
  <si>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</si>
  <si>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</si>
  <si>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</si>
  <si>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</si>
  <si>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</si>
  <si>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</si>
  <si>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</si>
  <si>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</si>
  <si>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</si>
  <si>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</si>
  <si>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</si>
  <si>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</si>
  <si>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</si>
  <si>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</si>
  <si>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</si>
  <si>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</si>
  <si>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</si>
  <si>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</si>
  <si>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</si>
  <si>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</si>
  <si>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</si>
  <si>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</si>
  <si>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</si>
  <si>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</si>
  <si>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</si>
  <si>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</si>
  <si>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</si>
  <si>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</si>
  <si>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</si>
  <si>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</si>
  <si>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</si>
  <si>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</si>
  <si>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</si>
  <si>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</si>
  <si>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</si>
  <si>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</si>
  <si>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</si>
  <si>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</si>
  <si>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</si>
  <si>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</si>
  <si>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</si>
  <si>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</si>
  <si>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</si>
  <si>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</si>
  <si>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</si>
  <si>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</si>
  <si>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</si>
  <si>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</si>
  <si>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</si>
  <si>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</si>
  <si>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</si>
  <si>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</si>
  <si>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</si>
  <si>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</si>
  <si>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</si>
  <si>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</si>
  <si>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</si>
  <si>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</si>
  <si>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</si>
  <si>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</si>
  <si>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</si>
  <si>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</si>
  <si>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</si>
  <si>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</si>
  <si>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</si>
  <si>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</si>
  <si>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</si>
  <si>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</si>
  <si>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</si>
  <si>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</si>
  <si>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</si>
  <si>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</si>
  <si>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</si>
  <si>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</si>
  <si>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</si>
  <si>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</si>
  <si>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</si>
  <si>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</si>
  <si>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</si>
  <si>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</si>
  <si>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</si>
  <si>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</si>
  <si>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</si>
  <si>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</si>
  <si>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</si>
  <si>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</si>
  <si>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</si>
  <si>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</si>
  <si>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</si>
  <si>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</si>
  <si>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</si>
  <si>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</si>
  <si>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</si>
  <si>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</si>
  <si>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</si>
  <si>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</si>
  <si>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</si>
  <si>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</si>
  <si>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</si>
  <si>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</si>
  <si>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</si>
  <si>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</si>
  <si>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</si>
  <si>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</si>
  <si>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</si>
  <si>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</si>
  <si>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</si>
  <si>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</si>
  <si>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</si>
  <si>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</si>
  <si>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</si>
  <si>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</si>
  <si>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</si>
  <si>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</si>
  <si>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</si>
  <si>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</si>
  <si>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</si>
  <si>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</si>
  <si>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</si>
  <si>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</si>
  <si>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</si>
  <si>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</si>
  <si>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</si>
  <si>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</si>
  <si>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</si>
  <si>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</si>
  <si>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</si>
  <si>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</si>
  <si>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</si>
  <si>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</si>
  <si>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</si>
  <si>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</si>
  <si>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</si>
  <si>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</si>
  <si>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</si>
  <si>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</si>
  <si>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</si>
  <si>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</si>
  <si>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</si>
  <si>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</si>
  <si>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</si>
  <si>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</si>
  <si>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</si>
  <si>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</si>
  <si>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</si>
  <si>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</si>
  <si>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</si>
  <si>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</si>
  <si>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</si>
  <si>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</si>
  <si>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</si>
  <si>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</si>
  <si>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</si>
  <si>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</si>
  <si>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</si>
  <si>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</si>
  <si>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</si>
  <si>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</si>
  <si>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</si>
  <si>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</si>
  <si>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</si>
  <si>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</si>
  <si>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</si>
  <si>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</si>
  <si>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</si>
  <si>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</si>
  <si>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</si>
  <si>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</si>
  <si>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</si>
  <si>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</si>
  <si>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</si>
  <si>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</si>
  <si>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</si>
  <si>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</si>
  <si>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</si>
  <si>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</si>
  <si>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</si>
  <si>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</si>
  <si>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</si>
  <si>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</si>
  <si>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</si>
  <si>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</si>
  <si>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</si>
  <si>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</si>
  <si>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</si>
  <si>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</si>
  <si>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</si>
  <si>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</si>
  <si>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</si>
  <si>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</si>
  <si>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</si>
  <si>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</si>
  <si>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</si>
  <si>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</si>
  <si>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</si>
  <si>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</si>
  <si>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</si>
  <si>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</si>
  <si>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</si>
  <si>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</si>
  <si>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</si>
  <si>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</si>
  <si>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</si>
  <si>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</si>
  <si>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</si>
  <si>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</si>
  <si>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</si>
  <si>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</si>
  <si>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</si>
  <si>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</si>
  <si>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</si>
  <si>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</si>
  <si>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</si>
  <si>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</si>
  <si>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</si>
  <si>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</si>
  <si>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</si>
  <si>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</si>
  <si>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</si>
  <si>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</si>
  <si>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</si>
  <si>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</si>
  <si>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</si>
  <si>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</si>
  <si>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</si>
  <si>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</si>
  <si>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</si>
  <si>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</si>
  <si>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</si>
  <si>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</si>
  <si>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</si>
  <si>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</si>
  <si>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</si>
  <si>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</si>
  <si>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</si>
  <si>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</si>
  <si>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</si>
  <si>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</si>
  <si>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</si>
  <si>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</si>
  <si>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</si>
  <si>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</si>
  <si>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</si>
  <si>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</si>
  <si>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</si>
  <si>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</si>
  <si>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</si>
  <si>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</si>
  <si>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</si>
  <si>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</si>
  <si>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</si>
  <si>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</si>
  <si>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</si>
  <si>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</si>
  <si>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</si>
  <si>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</si>
  <si>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</si>
  <si>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</si>
  <si>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</si>
  <si>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</si>
  <si>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</si>
  <si>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</si>
  <si>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</si>
  <si>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</si>
  <si>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</si>
  <si>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</si>
  <si>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</si>
  <si>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</si>
  <si>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</si>
  <si>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</si>
  <si>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</si>
  <si>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</si>
  <si>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</si>
  <si>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</si>
  <si>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</si>
  <si>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</si>
  <si>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</si>
  <si>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</si>
  <si>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</si>
  <si>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</si>
  <si>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</si>
  <si>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</si>
  <si>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</si>
  <si>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</si>
  <si>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</si>
  <si>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</si>
  <si>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</si>
  <si>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</si>
  <si>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</si>
  <si>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</si>
  <si>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</si>
  <si>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</si>
  <si>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</si>
  <si>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</si>
  <si>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</si>
  <si>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</si>
  <si>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</si>
  <si>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</si>
  <si>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</si>
  <si>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</si>
  <si>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</si>
  <si>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</si>
  <si>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</si>
  <si>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</si>
  <si>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</si>
  <si>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</si>
  <si>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</si>
  <si>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</si>
  <si>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</si>
  <si>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</si>
  <si>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</si>
  <si>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</si>
  <si>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</si>
  <si>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</si>
  <si>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</si>
  <si>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</si>
  <si>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</si>
  <si>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</si>
  <si>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</si>
  <si>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</si>
  <si>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</si>
  <si>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</si>
  <si>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</si>
  <si>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</si>
  <si>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</si>
  <si>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</si>
  <si>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</si>
  <si>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</si>
  <si>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</si>
  <si>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</si>
  <si>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</si>
  <si>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</si>
  <si>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</si>
  <si>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</si>
  <si>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</si>
  <si>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</si>
  <si>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</si>
  <si>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</si>
  <si>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</si>
  <si>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</si>
  <si>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</si>
  <si>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</si>
  <si>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</si>
  <si>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</si>
  <si>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</si>
  <si>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</si>
  <si>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</si>
  <si>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</si>
  <si>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</si>
  <si>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</si>
  <si>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</si>
  <si>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</si>
  <si>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</si>
  <si>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</si>
  <si>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</si>
  <si>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</si>
  <si>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</si>
  <si>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</si>
  <si>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</si>
  <si>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</si>
  <si>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</si>
  <si>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</si>
  <si>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</si>
  <si>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</si>
  <si>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</si>
  <si>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</si>
  <si>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</si>
  <si>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</si>
  <si>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</si>
  <si>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</si>
  <si>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</si>
  <si>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</si>
  <si>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</si>
  <si>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</si>
  <si>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</si>
  <si>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</si>
  <si>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</si>
  <si>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</si>
  <si>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</si>
  <si>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</si>
  <si>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</si>
  <si>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</si>
  <si>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</si>
  <si>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</si>
  <si>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</si>
  <si>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</si>
  <si>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</si>
  <si>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</si>
  <si>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</si>
  <si>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</si>
  <si>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</si>
  <si>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</si>
  <si>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</si>
  <si>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</si>
  <si>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</si>
  <si>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</si>
  <si>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</si>
  <si>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</si>
  <si>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</si>
  <si>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</si>
  <si>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</si>
  <si>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</si>
  <si>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</si>
  <si>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</si>
  <si>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</si>
  <si>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</si>
  <si>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</si>
  <si>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</si>
  <si>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</si>
  <si>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</si>
  <si>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</si>
  <si>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</si>
  <si>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</si>
  <si>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</si>
  <si>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</si>
  <si>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</si>
  <si>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</si>
  <si>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</si>
  <si>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</si>
  <si>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</si>
  <si>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</si>
  <si>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</si>
  <si>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</si>
  <si>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</si>
  <si>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</si>
  <si>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</si>
  <si>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</si>
  <si>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</si>
  <si>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</si>
  <si>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</si>
  <si>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</si>
  <si>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</si>
  <si>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</si>
  <si>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</si>
  <si>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</si>
  <si>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</si>
  <si>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</si>
  <si>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</si>
  <si>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</si>
  <si>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</si>
  <si>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</si>
  <si>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</si>
  <si>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</si>
  <si>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</si>
  <si>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</si>
  <si>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</si>
  <si>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</si>
  <si>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</si>
  <si>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</si>
  <si>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</si>
  <si>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</si>
  <si>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</si>
  <si>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</si>
  <si>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</si>
  <si>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</si>
  <si>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</si>
  <si>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</si>
  <si>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</si>
  <si>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</si>
  <si>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</si>
  <si>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</si>
  <si>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</si>
  <si>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</si>
  <si>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</si>
  <si>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</si>
  <si>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</si>
  <si>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</si>
  <si>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</si>
  <si>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</si>
  <si>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</si>
  <si>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</si>
  <si>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</si>
  <si>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</si>
  <si>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</si>
  <si>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</si>
  <si>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</si>
  <si>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</si>
  <si>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</si>
  <si>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</si>
  <si>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</si>
  <si>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</si>
  <si>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</si>
  <si>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</si>
  <si>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</si>
  <si>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</si>
  <si>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</si>
  <si>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</si>
  <si>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</si>
  <si>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</si>
  <si>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</si>
  <si>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</si>
  <si>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</si>
  <si>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</si>
  <si>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</si>
  <si>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</si>
  <si>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</si>
  <si>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</si>
  <si>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</si>
  <si>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</si>
  <si>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</si>
  <si>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</si>
  <si>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</si>
  <si>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</si>
  <si>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</si>
  <si>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</si>
  <si>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</si>
  <si>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</si>
  <si>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</si>
  <si>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</si>
  <si>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</si>
  <si>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</si>
  <si>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</si>
  <si>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</si>
  <si>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</si>
  <si>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</si>
  <si>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</si>
  <si>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</si>
  <si>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</si>
  <si>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</si>
  <si>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</si>
  <si>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</si>
  <si>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</si>
  <si>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</si>
  <si>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</si>
  <si>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</si>
  <si>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</si>
  <si>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</si>
  <si>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</si>
  <si>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</si>
  <si>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</si>
  <si>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</si>
  <si>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</si>
  <si>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</si>
  <si>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</si>
  <si>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</si>
  <si>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</si>
  <si>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</si>
  <si>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</si>
  <si>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</si>
  <si>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</si>
  <si>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</si>
  <si>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</si>
  <si>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</si>
  <si>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</si>
  <si>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</si>
  <si>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</si>
  <si>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</si>
  <si>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</si>
  <si>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</si>
  <si>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</si>
  <si>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</si>
  <si>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</si>
  <si>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</si>
  <si>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</si>
  <si>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</si>
  <si>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</si>
  <si>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</si>
  <si>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</si>
  <si>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</si>
  <si>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</si>
  <si>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</si>
  <si>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</si>
  <si>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</si>
  <si>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</si>
  <si>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</si>
  <si>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</si>
  <si>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</si>
  <si>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</si>
  <si>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</si>
  <si>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</si>
  <si>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</si>
  <si>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</si>
  <si>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</si>
  <si>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</si>
  <si>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</si>
  <si>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</si>
  <si>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</si>
  <si>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</si>
  <si>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</si>
  <si>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</si>
  <si>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</si>
  <si>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</si>
  <si>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</si>
  <si>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</si>
  <si>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</si>
  <si>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</si>
  <si>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</si>
  <si>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</si>
  <si>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</si>
  <si>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</si>
  <si>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</si>
  <si>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</si>
  <si>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</si>
  <si>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</si>
  <si>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</si>
  <si>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</si>
  <si>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</si>
  <si>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</si>
  <si>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</si>
  <si>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</si>
  <si>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</si>
  <si>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</si>
  <si>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</si>
  <si>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</si>
  <si>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</si>
  <si>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</si>
  <si>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</si>
  <si>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</si>
  <si>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</si>
  <si>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</si>
  <si>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</si>
  <si>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</si>
  <si>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</si>
  <si>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</si>
  <si>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</si>
  <si>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</si>
  <si>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</si>
  <si>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</si>
  <si>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</si>
  <si>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</si>
  <si>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</si>
  <si>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</si>
  <si>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</si>
  <si>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</si>
  <si>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</si>
  <si>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</si>
  <si>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</si>
  <si>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</si>
  <si>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</si>
  <si>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</si>
  <si>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</si>
  <si>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</si>
  <si>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</si>
  <si>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</si>
  <si>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</si>
  <si>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</si>
  <si>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</si>
  <si>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</si>
  <si>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</si>
  <si>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</si>
  <si>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</si>
  <si>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</si>
  <si>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</si>
  <si>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</si>
  <si>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</si>
  <si>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</si>
  <si>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</si>
  <si>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</si>
  <si>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</si>
  <si>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</si>
  <si>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</si>
  <si>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</si>
  <si>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</si>
  <si>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</si>
  <si>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</si>
  <si>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</si>
  <si>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</si>
  <si>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</si>
  <si>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</si>
  <si>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</si>
  <si>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</si>
  <si>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</si>
  <si>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</si>
  <si>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</si>
  <si>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</si>
  <si>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</si>
  <si>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</si>
  <si>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</si>
  <si>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</si>
  <si>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</si>
  <si>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</si>
  <si>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</si>
  <si>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</si>
  <si>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</si>
  <si>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</si>
  <si>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</si>
  <si>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</si>
  <si>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</si>
  <si>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</si>
  <si>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</si>
  <si>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</si>
  <si>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</si>
  <si>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</si>
  <si>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</si>
  <si>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</si>
  <si>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</si>
  <si>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</si>
  <si>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</si>
  <si>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</si>
  <si>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</si>
  <si>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</si>
  <si>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</si>
  <si>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</si>
  <si>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</si>
  <si>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</si>
  <si>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</si>
  <si>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</si>
  <si>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</si>
  <si>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</si>
  <si>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</si>
  <si>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</si>
  <si>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</si>
  <si>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</si>
  <si>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</si>
  <si>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</si>
  <si>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</si>
  <si>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</si>
  <si>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</si>
  <si>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</si>
  <si>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</si>
  <si>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</si>
  <si>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</si>
  <si>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</si>
  <si>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</si>
  <si>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</si>
  <si>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</si>
  <si>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</si>
  <si>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</si>
  <si>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</si>
  <si>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</si>
  <si>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</si>
  <si>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</si>
  <si>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</si>
  <si>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</si>
  <si>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</si>
  <si>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</si>
  <si>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</si>
  <si>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</si>
  <si>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</si>
  <si>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</si>
  <si>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</si>
  <si>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</si>
  <si>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</si>
  <si>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</si>
  <si>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</si>
  <si>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</si>
  <si>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</si>
  <si>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</si>
  <si>
    <t>Temple of Utug-bûr</t>
  </si>
  <si>
    <t>Deeds of the 'Temple of Utug-bûr'</t>
  </si>
  <si>
    <t>Explorer of the 'Temple of Utug-bûr' - Tier 1</t>
  </si>
  <si>
    <t>Explorer of the 'Temple of Utug-bûr' - Tier 2</t>
  </si>
  <si>
    <t>Explorer of the 'Temple of Utug-bûr' - Tier 3</t>
  </si>
  <si>
    <t>Bane of the Blood-spiller</t>
  </si>
  <si>
    <t>Temple of Utug-bûr: Inner Sanctum -- Tier 1</t>
  </si>
  <si>
    <t>Temple of Utug-bûr: Inner Sanctum -- Tier 2</t>
  </si>
  <si>
    <t>Temple of Utug-bûr: Inner Sanctum -- Tier 3</t>
  </si>
  <si>
    <t>Temple of Utug-bûr: Thûr Hin -- Tier 1</t>
  </si>
  <si>
    <t>Temple of Utug-bûr: Thûr Hin -- Tier 2</t>
  </si>
  <si>
    <t>Temple of Utug-bûr: Thûr Hin -- Tier 3</t>
  </si>
  <si>
    <t>Temple of Utug-bûr -- Leading the Charge</t>
  </si>
  <si>
    <t>Temple of Utug-bûr -- Original Challenger</t>
  </si>
  <si>
    <t>Conflicts of the Ikorbân Valley</t>
  </si>
  <si>
    <t>Dun Shûma, The King's Fortress</t>
  </si>
  <si>
    <t>Vanquisher of Dun Shûma, The King's Fortress</t>
  </si>
  <si>
    <t>Dun Shûma, The King's Fortress -- Tier 1</t>
  </si>
  <si>
    <t>Dun Shûma, The King's Fortress -- Tier 2</t>
  </si>
  <si>
    <t>Dun Shûma, The King's Fortress -- Tier 3</t>
  </si>
  <si>
    <t>Dun Shûma, The King's Fortress -- Ordâkhai</t>
  </si>
  <si>
    <t>Dun Shûma, The King's Fortress -- Tier 3 -- Leading the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</si>
</sst>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Q11" activePane="bottomRight" state="frozen"/>
      <selection pane="topRight" activeCell="B1" sqref="B1"/>
      <selection pane="bottomLeft" activeCell="A2" sqref="A2"/>
      <selection pane="bottomRight" activeCell="C24" sqref="C24"/>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6" si="1">CONCATENATE(V3,X3,Y3,AU3," -- ",C3)</f>
        <v xml:space="preserve">  [2] = {["ID"] = 1879198665;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6" si="19">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ref="S47:S48" si="27">CONCATENATE(V47,X47,Y47,AU47," -- ",C47)</f>
        <v xml:space="preserve"> [46] = {["ID"] = 1879391028; }; -- Legendary Challenger: In Their Absence</v>
      </c>
      <c r="T47" s="1" t="str">
        <f t="shared" ref="T47:T48" si="28">CONCATENATE(V47,W47,Z47,AB47,AD47,AE47,AG47,AI47,AK47,AM47,AN47,AO47,AP47,AQ47,AR47,AS47,AT47,AU47)</f>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9">CONCATENATE(REPT(" ",3-LEN(U47)),"[",U47,"] = {")</f>
        <v xml:space="preserve"> [46] = {</v>
      </c>
      <c r="W47" t="str">
        <f t="shared" ref="W47:W48" si="30">IF(LEN(A47)&gt;0,CONCATENATE("[""ID""] = ",A47,"; "),"                     ")</f>
        <v xml:space="preserve">["ID"] = 1879391028; </v>
      </c>
      <c r="X47" t="str">
        <f t="shared" ref="X47:X48" si="31">IF(LEN(A47)&gt;0,CONCATENATE("[""ID""] = ",A47,"; "),"")</f>
        <v xml:space="preserve">["ID"] = 1879391028; </v>
      </c>
      <c r="Y47" t="str">
        <f t="shared" ref="Y47:Y48" si="32">IF(LEN(Q47)&gt;0,CONCATENATE("[""CAT_ID""] = ",Q47,"; "),"")</f>
        <v/>
      </c>
      <c r="Z47" s="1" t="str">
        <f t="shared" ref="Z47:Z48" si="33">IF(LEN(B47)&gt;0,CONCATENATE("[""SAVE_INDEX""] = ",REPT(" ",2-LEN(B47)),B47,"; "),REPT(" ",21))</f>
        <v xml:space="preserve">["SAVE_INDEX"] = 40; </v>
      </c>
      <c r="AA47">
        <f>VLOOKUP(D47,Type!A$2:B$18,2,FALSE)</f>
        <v>4</v>
      </c>
      <c r="AB47" t="str">
        <f t="shared" ref="AB47:AB48" si="34">CONCATENATE("[""TYPE""] = ",REPT(" ",2-LEN(AA47)),AA47,"; ")</f>
        <v xml:space="preserve">["TYPE"] =  4; </v>
      </c>
      <c r="AC47">
        <f>IF(NOT(ISBLANK(E47)),VLOOKUP(E47,Type!D$2:E$6,2,FALSE),"")</f>
        <v>3</v>
      </c>
      <c r="AD47" t="str">
        <f t="shared" ref="AD47:AD48" si="35">IF(NOT(ISBLANK(E47)),CONCATENATE("[""NA""] = ",AC47,"; "),"            ")</f>
        <v xml:space="preserve">["NA"] = 3; </v>
      </c>
      <c r="AE47" t="str">
        <f t="shared" ref="AE47:AE48" si="36">IF(NOT(ISBLANK(F47)),"[""LEGENDARY""] = true; ","                      ")</f>
        <v xml:space="preserve">["LEGENDARY"] = true; </v>
      </c>
      <c r="AF47" t="str">
        <f t="shared" ref="AF47:AF48" si="37">TEXT(G47,0)</f>
        <v>0</v>
      </c>
      <c r="AG47" t="str">
        <f t="shared" ref="AG47:AG48" si="38">CONCATENATE("[""VXP""] = ",REPT(" ",1-LEN(AF47)),TEXT(AF47,"0"),"; ")</f>
        <v xml:space="preserve">["VXP"] = 0; </v>
      </c>
      <c r="AH47" t="str">
        <f t="shared" ref="AH47:AH48" si="39">TEXT(I47,0)</f>
        <v>0</v>
      </c>
      <c r="AI47" t="str">
        <f t="shared" ref="AI47:AI48" si="40">CONCATENATE("[""LP""] = ",REPT(" ",2-LEN(AH47)),TEXT(AH47,"0"),"; ")</f>
        <v xml:space="preserve">["LP"] =  0; </v>
      </c>
      <c r="AJ47" t="str">
        <f t="shared" ref="AJ47:AJ48" si="41">TEXT(J47,0)</f>
        <v>0</v>
      </c>
      <c r="AK47" t="str">
        <f t="shared" ref="AK47:AK48" si="42">CONCATENATE("[""REP""] = ",REPT(" ",1-LEN(AJ47)),TEXT(AJ47,"0"),"; ")</f>
        <v xml:space="preserve">["REP"] = 0; </v>
      </c>
      <c r="AL47">
        <f>IF(NOT(ISBLANK(K47)),VLOOKUP(K47,Faction!A$2:B$78,2,FALSE),1)</f>
        <v>1</v>
      </c>
      <c r="AM47" t="str">
        <f t="shared" ref="AM47:AM48" si="43">CONCATENATE("[""FACTION""] = ",TEXT(AL47,"0"),"; ")</f>
        <v xml:space="preserve">["FACTION"] = 1; </v>
      </c>
      <c r="AN47" t="str">
        <f t="shared" ref="AN47:AN48" si="44">CONCATENATE("[""TIER""] = ",TEXT(N47,"0"),"; ")</f>
        <v xml:space="preserve">["TIER"] = 0; </v>
      </c>
      <c r="AO47" t="str">
        <f t="shared" ref="AO47:AO48" si="45">IF(LEN(O47)&gt;0,CONCATENATE("[""MIN_LVL""] = ",REPT(" ",3-LEN(O47)),"""",O47,"""; "),"                     ")</f>
        <v xml:space="preserve">["MIN_LVL"] =  "65"; </v>
      </c>
      <c r="AP47" t="str">
        <f t="shared" ref="AP47:AP48" si="46">IF(LEN(P47)&gt;0,CONCATENATE("[""MIN_LVL""] = ",REPT(" ",3-LEN(P47)),"""",P47,"""; "),"")</f>
        <v xml:space="preserve">["MIN_LVL"] =  "65"; </v>
      </c>
      <c r="AQ47" t="str">
        <f t="shared" ref="AQ47:AQ48" si="47">CONCATENATE("[""NAME""] = { [""EN""] = """,C47,"""; }; ")</f>
        <v xml:space="preserve">["NAME"] = { ["EN"] = "Legendary Challenger: In Their Absence"; }; </v>
      </c>
      <c r="AR47" t="str">
        <f t="shared" ref="AR47:AR48" si="48">IF(LEN(M47)&gt;0,CONCATENATE("[""LORE""] = { [""EN""] = """,M47,"""; }; "),"")</f>
        <v xml:space="preserve">["LORE"] = { ["EN"] = "You have overcome every challenge laid before you by Gortheron and the Gaunt-lords of Middle-earth."; }; </v>
      </c>
      <c r="AS47" t="str">
        <f t="shared" ref="AS47:AS48" si="49">IF(LEN(L47)&gt;0,CONCATENATE("[""SUMMARY""] = { [""EN""] = """,L47,"""; }; "),"")</f>
        <v xml:space="preserve">["SUMMARY"] = { ["EN"] = "Temporarily available on the Legendary worlds for completing all In Their Absence challenges."; }; </v>
      </c>
      <c r="AT47" t="str">
        <f t="shared" ref="AT47:AT48" si="50">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27"/>
        <v xml:space="preserve"> [47] = {["ID"] = 1879205932; }; -- Discovery: Inn of the Forsaken</v>
      </c>
      <c r="T48" s="1" t="str">
        <f t="shared" si="28"/>
        <v xml:space="preserve"> [47] = {["ID"] = 1879205932;                      ["TYPE"] =  3; ["NA"] = 2;                       ["VXP"] = 0; ["LP"] =  0; ["REP"] = 0; ["FACTION"] = 1; ["TIER"] = 0;                      ["NAME"] = { ["EN"] = "Discovery: Inn of the Forsaken"; }; };</v>
      </c>
      <c r="U48">
        <f t="shared" si="3"/>
        <v>47</v>
      </c>
      <c r="V48" t="str">
        <f t="shared" si="29"/>
        <v xml:space="preserve"> [47] = {</v>
      </c>
      <c r="W48" t="str">
        <f t="shared" si="30"/>
        <v xml:space="preserve">["ID"] = 1879205932; </v>
      </c>
      <c r="X48" t="str">
        <f t="shared" si="31"/>
        <v xml:space="preserve">["ID"] = 1879205932; </v>
      </c>
      <c r="Y48" t="str">
        <f t="shared" si="32"/>
        <v/>
      </c>
      <c r="Z48" s="1" t="str">
        <f t="shared" si="33"/>
        <v xml:space="preserve">                     </v>
      </c>
      <c r="AA48">
        <f>VLOOKUP(D48,Type!A$2:B$18,2,FALSE)</f>
        <v>3</v>
      </c>
      <c r="AB48" t="str">
        <f t="shared" si="34"/>
        <v xml:space="preserve">["TYPE"] =  3; </v>
      </c>
      <c r="AC48">
        <f>IF(NOT(ISBLANK(E48)),VLOOKUP(E48,Type!D$2:E$6,2,FALSE),"")</f>
        <v>2</v>
      </c>
      <c r="AD48" t="str">
        <f t="shared" si="35"/>
        <v xml:space="preserve">["NA"] = 2; </v>
      </c>
      <c r="AE48" t="str">
        <f t="shared" si="36"/>
        <v xml:space="preserve">                      </v>
      </c>
      <c r="AF48" t="str">
        <f t="shared" si="37"/>
        <v>0</v>
      </c>
      <c r="AG48" t="str">
        <f t="shared" si="38"/>
        <v xml:space="preserve">["VXP"] = 0; </v>
      </c>
      <c r="AH48" t="str">
        <f t="shared" si="39"/>
        <v>0</v>
      </c>
      <c r="AI48" t="str">
        <f t="shared" si="40"/>
        <v xml:space="preserve">["LP"] =  0; </v>
      </c>
      <c r="AJ48" t="str">
        <f t="shared" si="41"/>
        <v>0</v>
      </c>
      <c r="AK48" t="str">
        <f t="shared" si="42"/>
        <v xml:space="preserve">["REP"] = 0; </v>
      </c>
      <c r="AL48">
        <f>IF(NOT(ISBLANK(K48)),VLOOKUP(K48,Faction!A$2:B$78,2,FALSE),1)</f>
        <v>1</v>
      </c>
      <c r="AM48" t="str">
        <f t="shared" si="43"/>
        <v xml:space="preserve">["FACTION"] = 1; </v>
      </c>
      <c r="AN48" t="str">
        <f t="shared" si="44"/>
        <v xml:space="preserve">["TIER"] = 0; </v>
      </c>
      <c r="AO48" t="str">
        <f t="shared" si="45"/>
        <v xml:space="preserve">                     </v>
      </c>
      <c r="AP48" t="str">
        <f t="shared" si="46"/>
        <v/>
      </c>
      <c r="AQ48" t="str">
        <f t="shared" si="47"/>
        <v xml:space="preserve">["NAME"] = { ["EN"] = "Discovery: Inn of the Forsaken"; }; </v>
      </c>
      <c r="AR48" t="str">
        <f t="shared" si="48"/>
        <v/>
      </c>
      <c r="AS48" t="str">
        <f t="shared" si="49"/>
        <v/>
      </c>
      <c r="AT48" t="str">
        <f t="shared" si="50"/>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38" activePane="bottomRight" state="frozen"/>
      <selection pane="topRight" activeCell="B1" sqref="B1"/>
      <selection pane="bottomLeft" activeCell="A2" sqref="A2"/>
      <selection pane="bottomRight" activeCell="A50" sqref="A50"/>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tabSelected="1" workbookViewId="0">
      <pane xSplit="4" ySplit="1" topLeftCell="E2" activePane="bottomRight" state="frozen"/>
      <selection pane="topRight" activeCell="B1" sqref="B1"/>
      <selection pane="bottomLeft" activeCell="A2" sqref="A2"/>
      <selection pane="bottomRight" activeCell="A7" sqref="A7"/>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26" activePane="bottomRight" state="frozen"/>
      <selection pane="topRight" activeCell="B1" sqref="B1"/>
      <selection pane="bottomLeft" activeCell="A2" sqref="A2"/>
      <selection pane="bottomRight" activeCell="A43" sqref="A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topLeftCell="A31" workbookViewId="0">
      <selection activeCell="G44" sqref="G44"/>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1" si="0">IF(AND(A3&gt;0,C3&gt;0),CONCATENATE("[",A3,"] = ",C3,", // ",B3),"")</f>
        <v/>
      </c>
      <c r="G3" t="str">
        <f t="shared" ref="G3:G51" si="1">CONCATENATE(I3,J3,K3,M3," -- ",B3)</f>
        <v xml:space="preserve"> [2] = {["CAT_ID"] = 300;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xml:space="preserve">["TIER"] = 0;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xml:space="preserve">["TIER"] = 0;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xml:space="preserve">["TIER"] = 0;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xml:space="preserve">["TIER"] = 0;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xml:space="preserve">["TIER"] = 0;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xml:space="preserve">["TIER"] = 0;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xml:space="preserve">["TIER"] = 0;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xml:space="preserve">["TIER"] = 0;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xml:space="preserve">["TIER"] = 0;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xml:space="preserve">["TIER"] = 0; </v>
      </c>
      <c r="M51"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73"/>
  <sheetViews>
    <sheetView zoomScaleNormal="100" workbookViewId="0">
      <pane xSplit="1" ySplit="1" topLeftCell="B32" activePane="bottomRight" state="frozen"/>
      <selection pane="topRight" activeCell="B1" sqref="B1"/>
      <selection pane="bottomLeft" activeCell="A2" sqref="A2"/>
      <selection pane="bottomRight" activeCell="E44" sqref="E44:E45"/>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1879500021</v>
      </c>
      <c r="B2" t="s">
        <v>2165</v>
      </c>
      <c r="C2">
        <v>0</v>
      </c>
      <c r="F2" t="str">
        <f t="shared" ref="F2:F68" si="0">IF(AND(A2&gt;0,C2&gt;0),CONCATENATE("[",A2,"] = ",C2,", // ",B2),"")</f>
        <v/>
      </c>
      <c r="G2" t="str">
        <f t="shared" ref="G2" si="1">CONCATENATE(I2,J2,K2,M2," -- ",B2)</f>
        <v xml:space="preserve"> [1] = {["ID"] = 1879500021; }; -- Conflicts of the Ikorbân Valley</v>
      </c>
      <c r="H2">
        <f t="shared" ref="H2:H73" si="2">ROW()-1</f>
        <v>1</v>
      </c>
      <c r="I2" t="str">
        <f t="shared" ref="I2" si="3">CONCATENATE(REPT(" ",2-LEN(H2)),"[",H2,"] = {")</f>
        <v xml:space="preserve"> [1] = {</v>
      </c>
      <c r="J2" t="str">
        <f t="shared" ref="J2" si="4">IF(LEN(A2)&gt;0,CONCATENATE("[""ID""] = ",A2,"; "),"")</f>
        <v xml:space="preserve">["ID"] = 1879500021; </v>
      </c>
      <c r="K2" t="str">
        <f t="shared" ref="K2" si="5">IF(LEN(D2)&gt;0,CONCATENATE("[""CAT_ID""] = ",D2,"; "),"")</f>
        <v/>
      </c>
      <c r="L2" t="str">
        <f t="shared" ref="L2" si="6">CONCATENATE("[""TIER""] = ",TEXT(C2,"0"),"; ")</f>
        <v xml:space="preserve">["TIER"] = 0; </v>
      </c>
      <c r="M2" t="str">
        <f t="shared" ref="M2:M73" si="7">CONCATENATE("};")</f>
        <v>};</v>
      </c>
    </row>
    <row r="3" spans="1:13" x14ac:dyDescent="0.25">
      <c r="B3" s="2" t="s">
        <v>2129</v>
      </c>
      <c r="D3">
        <v>314</v>
      </c>
      <c r="F3" t="str">
        <f t="shared" ref="F3:F50" si="8">IF(AND(A3&gt;0,C3&gt;0),CONCATENATE("[",A3,"] = ",C3,", // ",B3),"")</f>
        <v/>
      </c>
      <c r="G3" t="str">
        <f t="shared" ref="G3:G50" si="9">CONCATENATE(I3,J3,K3,M3," -- ",B3)</f>
        <v xml:space="preserve"> [2] = {["CAT_ID"] = 314; }; -- Ashunûg, the Fane of the Accursed</v>
      </c>
      <c r="H3">
        <f t="shared" si="2"/>
        <v>2</v>
      </c>
      <c r="I3" t="str">
        <f t="shared" ref="I3:I50" si="10">CONCATENATE(REPT(" ",2-LEN(H3)),"[",H3,"] = {")</f>
        <v xml:space="preserve"> [2] = {</v>
      </c>
      <c r="J3" t="str">
        <f t="shared" ref="J3:J50" si="11">IF(LEN(A3)&gt;0,CONCATENATE("[""ID""] = ",A3,"; "),"")</f>
        <v/>
      </c>
      <c r="K3" t="str">
        <f t="shared" ref="K3:K50" si="12">IF(LEN(D3)&gt;0,CONCATENATE("[""CAT_ID""] = ",D3,"; "),"")</f>
        <v xml:space="preserve">["CAT_ID"] = 314; </v>
      </c>
      <c r="L3" t="str">
        <f t="shared" ref="L3:L50" si="13">CONCATENATE("[""TIER""] = ",TEXT(C3,"0"),"; ")</f>
        <v xml:space="preserve">["TIER"] = 0; </v>
      </c>
      <c r="M3" t="str">
        <f t="shared" si="7"/>
        <v>};</v>
      </c>
    </row>
    <row r="4" spans="1:13" x14ac:dyDescent="0.25">
      <c r="A4">
        <v>1879496461</v>
      </c>
      <c r="B4" t="s">
        <v>2133</v>
      </c>
      <c r="C4">
        <v>1</v>
      </c>
      <c r="F4" t="str">
        <f t="shared" si="8"/>
        <v>[1879496461] = 1, // Nâkhugir's Bane</v>
      </c>
      <c r="G4" t="str">
        <f t="shared" si="9"/>
        <v xml:space="preserve"> [3] = {["ID"] = 1879496461; }; -- Nâkhugir's Bane</v>
      </c>
      <c r="H4">
        <f t="shared" si="2"/>
        <v>3</v>
      </c>
      <c r="I4" t="str">
        <f t="shared" si="10"/>
        <v xml:space="preserve"> [3] = {</v>
      </c>
      <c r="J4" t="str">
        <f t="shared" si="11"/>
        <v xml:space="preserve">["ID"] = 1879496461; </v>
      </c>
      <c r="K4" t="str">
        <f t="shared" si="12"/>
        <v/>
      </c>
      <c r="L4" t="str">
        <f t="shared" si="13"/>
        <v xml:space="preserve">["TIER"] = 1; </v>
      </c>
      <c r="M4" t="str">
        <f t="shared" si="7"/>
        <v>};</v>
      </c>
    </row>
    <row r="5" spans="1:13" x14ac:dyDescent="0.25">
      <c r="A5">
        <v>1879494531</v>
      </c>
      <c r="B5" t="s">
        <v>2132</v>
      </c>
      <c r="C5">
        <v>2</v>
      </c>
      <c r="F5" t="str">
        <f t="shared" si="8"/>
        <v>[1879494531] = 2, // Ashunûg, the Fane of the Accursed -- Tier 1</v>
      </c>
      <c r="G5" t="str">
        <f t="shared" si="9"/>
        <v xml:space="preserve"> [4] = {["ID"] = 1879494531; }; -- Ashunûg, the Fane of the Accursed -- Tier 1</v>
      </c>
      <c r="H5">
        <f t="shared" si="2"/>
        <v>4</v>
      </c>
      <c r="I5" t="str">
        <f t="shared" si="10"/>
        <v xml:space="preserve"> [4] = {</v>
      </c>
      <c r="J5" t="str">
        <f t="shared" si="11"/>
        <v xml:space="preserve">["ID"] = 1879494531; </v>
      </c>
      <c r="K5" t="str">
        <f t="shared" si="12"/>
        <v/>
      </c>
      <c r="L5" t="str">
        <f t="shared" si="13"/>
        <v xml:space="preserve">["TIER"] = 2; </v>
      </c>
      <c r="M5" t="str">
        <f t="shared" si="7"/>
        <v>};</v>
      </c>
    </row>
    <row r="6" spans="1:13" x14ac:dyDescent="0.25">
      <c r="A6">
        <v>1879494530</v>
      </c>
      <c r="B6" t="s">
        <v>2131</v>
      </c>
      <c r="C6">
        <v>2</v>
      </c>
      <c r="F6" t="str">
        <f t="shared" si="8"/>
        <v>[1879494530] = 2, // Ashunûg, the Fane of the Accursed -- Tier 2</v>
      </c>
      <c r="G6" t="str">
        <f t="shared" si="9"/>
        <v xml:space="preserve"> [5] = {["ID"] = 1879494530; }; -- Ashunûg, the Fane of the Accursed -- Tier 2</v>
      </c>
      <c r="H6">
        <f t="shared" si="2"/>
        <v>5</v>
      </c>
      <c r="I6" t="str">
        <f t="shared" si="10"/>
        <v xml:space="preserve"> [5] = {</v>
      </c>
      <c r="J6" t="str">
        <f t="shared" si="11"/>
        <v xml:space="preserve">["ID"] = 1879494530; </v>
      </c>
      <c r="K6" t="str">
        <f t="shared" si="12"/>
        <v/>
      </c>
      <c r="L6" t="str">
        <f t="shared" si="13"/>
        <v xml:space="preserve">["TIER"] = 2; </v>
      </c>
      <c r="M6" t="str">
        <f t="shared" si="7"/>
        <v>};</v>
      </c>
    </row>
    <row r="7" spans="1:13" x14ac:dyDescent="0.25">
      <c r="A7">
        <v>1879494529</v>
      </c>
      <c r="B7" t="s">
        <v>2130</v>
      </c>
      <c r="C7">
        <v>2</v>
      </c>
      <c r="F7" t="str">
        <f t="shared" si="8"/>
        <v>[1879494529] = 2, // Ashunûg, the Fane of the Accursed -- Tier 3</v>
      </c>
      <c r="G7" t="str">
        <f t="shared" si="9"/>
        <v xml:space="preserve"> [6] = {["ID"] = 1879494529; }; -- Ashunûg, the Fane of the Accursed -- Tier 3</v>
      </c>
      <c r="H7">
        <f t="shared" si="2"/>
        <v>6</v>
      </c>
      <c r="I7" t="str">
        <f t="shared" si="10"/>
        <v xml:space="preserve"> [6] = {</v>
      </c>
      <c r="J7" t="str">
        <f t="shared" si="11"/>
        <v xml:space="preserve">["ID"] = 1879494529; </v>
      </c>
      <c r="K7" t="str">
        <f t="shared" si="12"/>
        <v/>
      </c>
      <c r="L7" t="str">
        <f t="shared" si="13"/>
        <v xml:space="preserve">["TIER"] = 2; </v>
      </c>
      <c r="M7" t="str">
        <f t="shared" si="7"/>
        <v>};</v>
      </c>
    </row>
    <row r="8" spans="1:13" x14ac:dyDescent="0.25">
      <c r="A8">
        <v>1879496463</v>
      </c>
      <c r="B8" t="s">
        <v>2134</v>
      </c>
      <c r="C8">
        <v>2</v>
      </c>
      <c r="F8" t="str">
        <f t="shared" si="8"/>
        <v>[1879496463] = 2, // Ashunûg, the Fane of the Accursed -- Anâkhi</v>
      </c>
      <c r="G8" t="str">
        <f t="shared" si="9"/>
        <v xml:space="preserve"> [7] = {["ID"] = 1879496463; }; -- Ashunûg, the Fane of the Accursed -- Anâkhi</v>
      </c>
      <c r="H8">
        <f t="shared" si="2"/>
        <v>7</v>
      </c>
      <c r="I8" t="str">
        <f t="shared" si="10"/>
        <v xml:space="preserve"> [7] = {</v>
      </c>
      <c r="J8" t="str">
        <f t="shared" si="11"/>
        <v xml:space="preserve">["ID"] = 1879496463; </v>
      </c>
      <c r="K8" t="str">
        <f t="shared" si="12"/>
        <v/>
      </c>
      <c r="L8" t="str">
        <f t="shared" si="13"/>
        <v xml:space="preserve">["TIER"] = 2; </v>
      </c>
      <c r="M8" t="str">
        <f t="shared" si="7"/>
        <v>};</v>
      </c>
    </row>
    <row r="9" spans="1:13" x14ac:dyDescent="0.25">
      <c r="B9" s="2" t="s">
        <v>2135</v>
      </c>
      <c r="D9">
        <v>315</v>
      </c>
      <c r="F9" t="str">
        <f t="shared" si="8"/>
        <v/>
      </c>
      <c r="G9" t="str">
        <f t="shared" si="9"/>
        <v xml:space="preserve"> [8] = {["CAT_ID"] = 315; }; -- Nirgambâr, the Restless Tomb</v>
      </c>
      <c r="H9">
        <f t="shared" si="2"/>
        <v>8</v>
      </c>
      <c r="I9" t="str">
        <f t="shared" si="10"/>
        <v xml:space="preserve"> [8] = {</v>
      </c>
      <c r="J9" t="str">
        <f t="shared" si="11"/>
        <v/>
      </c>
      <c r="K9" t="str">
        <f t="shared" si="12"/>
        <v xml:space="preserve">["CAT_ID"] = 315; </v>
      </c>
      <c r="L9" t="str">
        <f t="shared" si="13"/>
        <v xml:space="preserve">["TIER"] = 0; </v>
      </c>
      <c r="M9" t="str">
        <f t="shared" si="7"/>
        <v>};</v>
      </c>
    </row>
    <row r="10" spans="1:13" x14ac:dyDescent="0.25">
      <c r="A10">
        <v>1879494784</v>
      </c>
      <c r="B10" t="s">
        <v>2136</v>
      </c>
      <c r="C10">
        <v>1</v>
      </c>
      <c r="F10" t="str">
        <f t="shared" si="8"/>
        <v>[1879494784] = 1, // Vanquisher of Nirgambâr, the Restless Tomb</v>
      </c>
      <c r="G10" t="str">
        <f t="shared" si="9"/>
        <v xml:space="preserve"> [9] = {["ID"] = 1879494784; }; -- Vanquisher of Nirgambâr, the Restless Tomb</v>
      </c>
      <c r="H10">
        <f t="shared" si="2"/>
        <v>9</v>
      </c>
      <c r="I10" t="str">
        <f t="shared" si="10"/>
        <v xml:space="preserve"> [9] = {</v>
      </c>
      <c r="J10" t="str">
        <f t="shared" si="11"/>
        <v xml:space="preserve">["ID"] = 1879494784; </v>
      </c>
      <c r="K10" t="str">
        <f t="shared" si="12"/>
        <v/>
      </c>
      <c r="L10" t="str">
        <f t="shared" si="13"/>
        <v xml:space="preserve">["TIER"] = 1; </v>
      </c>
      <c r="M10" t="str">
        <f t="shared" si="7"/>
        <v>};</v>
      </c>
    </row>
    <row r="11" spans="1:13" x14ac:dyDescent="0.25">
      <c r="A11">
        <v>1879494780</v>
      </c>
      <c r="B11" t="s">
        <v>2137</v>
      </c>
      <c r="C11">
        <v>2</v>
      </c>
      <c r="F11" t="str">
        <f t="shared" si="8"/>
        <v>[1879494780] = 2, // Nirgambâr, the Restless Tomb -- Tier 1</v>
      </c>
      <c r="G11" t="str">
        <f t="shared" si="9"/>
        <v>[10] = {["ID"] = 1879494780; }; -- Nirgambâr, the Restless Tomb -- Tier 1</v>
      </c>
      <c r="H11">
        <f t="shared" si="2"/>
        <v>10</v>
      </c>
      <c r="I11" t="str">
        <f t="shared" si="10"/>
        <v>[10] = {</v>
      </c>
      <c r="J11" t="str">
        <f t="shared" si="11"/>
        <v xml:space="preserve">["ID"] = 1879494780; </v>
      </c>
      <c r="K11" t="str">
        <f t="shared" si="12"/>
        <v/>
      </c>
      <c r="L11" t="str">
        <f t="shared" si="13"/>
        <v xml:space="preserve">["TIER"] = 2; </v>
      </c>
      <c r="M11" t="str">
        <f t="shared" si="7"/>
        <v>};</v>
      </c>
    </row>
    <row r="12" spans="1:13" x14ac:dyDescent="0.25">
      <c r="A12">
        <v>1879494782</v>
      </c>
      <c r="B12" t="s">
        <v>2138</v>
      </c>
      <c r="C12">
        <v>2</v>
      </c>
      <c r="F12" t="str">
        <f t="shared" si="8"/>
        <v>[1879494782] = 2, // Nirgambâr, the Restless Tomb -- Tier 2</v>
      </c>
      <c r="G12" t="str">
        <f t="shared" si="9"/>
        <v>[11] = {["ID"] = 1879494782; }; -- Nirgambâr, the Restless Tomb -- Tier 2</v>
      </c>
      <c r="H12">
        <f t="shared" si="2"/>
        <v>11</v>
      </c>
      <c r="I12" t="str">
        <f t="shared" si="10"/>
        <v>[11] = {</v>
      </c>
      <c r="J12" t="str">
        <f t="shared" si="11"/>
        <v xml:space="preserve">["ID"] = 1879494782; </v>
      </c>
      <c r="K12" t="str">
        <f t="shared" si="12"/>
        <v/>
      </c>
      <c r="L12" t="str">
        <f t="shared" si="13"/>
        <v xml:space="preserve">["TIER"] = 2; </v>
      </c>
      <c r="M12" t="str">
        <f t="shared" si="7"/>
        <v>};</v>
      </c>
    </row>
    <row r="13" spans="1:13" x14ac:dyDescent="0.25">
      <c r="A13">
        <v>1879494779</v>
      </c>
      <c r="B13" t="s">
        <v>2140</v>
      </c>
      <c r="C13">
        <v>2</v>
      </c>
      <c r="F13" t="str">
        <f t="shared" si="8"/>
        <v>[1879494779] = 2, // Nirgambâr, the Restless Tomb-- Tier 3</v>
      </c>
      <c r="G13" t="str">
        <f t="shared" si="9"/>
        <v>[12] = {["ID"] = 1879494779; }; -- Nirgambâr, the Restless Tomb-- Tier 3</v>
      </c>
      <c r="H13">
        <f t="shared" si="2"/>
        <v>12</v>
      </c>
      <c r="I13" t="str">
        <f t="shared" si="10"/>
        <v>[12] = {</v>
      </c>
      <c r="J13" t="str">
        <f t="shared" si="11"/>
        <v xml:space="preserve">["ID"] = 1879494779; </v>
      </c>
      <c r="K13" t="str">
        <f t="shared" si="12"/>
        <v/>
      </c>
      <c r="L13" t="str">
        <f t="shared" si="13"/>
        <v xml:space="preserve">["TIER"] = 2; </v>
      </c>
      <c r="M13" t="str">
        <f t="shared" si="7"/>
        <v>};</v>
      </c>
    </row>
    <row r="14" spans="1:13" x14ac:dyDescent="0.25">
      <c r="A14">
        <v>1879494783</v>
      </c>
      <c r="B14" t="s">
        <v>2139</v>
      </c>
      <c r="C14">
        <v>2</v>
      </c>
      <c r="F14" t="str">
        <f t="shared" si="8"/>
        <v>[1879494783] = 2, // Nirgambâr, the Restless Tomb -- Restless Dead</v>
      </c>
      <c r="G14" t="str">
        <f t="shared" si="9"/>
        <v>[13] = {["ID"] = 1879494783; }; -- Nirgambâr, the Restless Tomb -- Restless Dead</v>
      </c>
      <c r="H14">
        <f t="shared" si="2"/>
        <v>13</v>
      </c>
      <c r="I14" t="str">
        <f t="shared" si="10"/>
        <v>[13] = {</v>
      </c>
      <c r="J14" t="str">
        <f t="shared" si="11"/>
        <v xml:space="preserve">["ID"] = 1879494783; </v>
      </c>
      <c r="K14" t="str">
        <f t="shared" si="12"/>
        <v/>
      </c>
      <c r="L14" t="str">
        <f t="shared" si="13"/>
        <v xml:space="preserve">["TIER"] = 2; </v>
      </c>
      <c r="M14" t="str">
        <f t="shared" si="7"/>
        <v>};</v>
      </c>
    </row>
    <row r="15" spans="1:13" x14ac:dyDescent="0.25">
      <c r="B15" s="2" t="s">
        <v>2141</v>
      </c>
      <c r="D15">
        <v>316</v>
      </c>
      <c r="F15" t="str">
        <f t="shared" si="8"/>
        <v/>
      </c>
      <c r="G15" t="str">
        <f t="shared" si="9"/>
        <v>[14] = {["CAT_ID"] = 316; }; -- Tûl Zakana, the Well of Forgetting</v>
      </c>
      <c r="H15">
        <f t="shared" si="2"/>
        <v>14</v>
      </c>
      <c r="I15" t="str">
        <f t="shared" si="10"/>
        <v>[14] = {</v>
      </c>
      <c r="J15" t="str">
        <f t="shared" si="11"/>
        <v/>
      </c>
      <c r="K15" t="str">
        <f t="shared" si="12"/>
        <v xml:space="preserve">["CAT_ID"] = 316; </v>
      </c>
      <c r="L15" t="str">
        <f t="shared" si="13"/>
        <v xml:space="preserve">["TIER"] = 0; </v>
      </c>
      <c r="M15" t="str">
        <f t="shared" si="7"/>
        <v>};</v>
      </c>
    </row>
    <row r="16" spans="1:13" x14ac:dyDescent="0.25">
      <c r="A16">
        <v>1879495455</v>
      </c>
      <c r="B16" t="s">
        <v>2146</v>
      </c>
      <c r="C16">
        <v>1</v>
      </c>
      <c r="F16" t="str">
        <f t="shared" si="8"/>
        <v>[1879495455] = 1, // Vanquisher of Tûl Zakana, the Well of Forgetting</v>
      </c>
      <c r="G16" t="str">
        <f t="shared" si="9"/>
        <v>[15] = {["ID"] = 1879495455; }; -- Vanquisher of Tûl Zakana, the Well of Forgetting</v>
      </c>
      <c r="H16">
        <f t="shared" si="2"/>
        <v>15</v>
      </c>
      <c r="I16" t="str">
        <f t="shared" si="10"/>
        <v>[15] = {</v>
      </c>
      <c r="J16" t="str">
        <f t="shared" si="11"/>
        <v xml:space="preserve">["ID"] = 1879495455; </v>
      </c>
      <c r="K16" t="str">
        <f t="shared" si="12"/>
        <v/>
      </c>
      <c r="L16" t="str">
        <f t="shared" si="13"/>
        <v xml:space="preserve">["TIER"] = 1; </v>
      </c>
      <c r="M16" t="str">
        <f t="shared" si="7"/>
        <v>};</v>
      </c>
    </row>
    <row r="17" spans="1:13" x14ac:dyDescent="0.25">
      <c r="A17">
        <v>1879495456</v>
      </c>
      <c r="B17" t="s">
        <v>2142</v>
      </c>
      <c r="C17">
        <v>2</v>
      </c>
      <c r="F17" t="str">
        <f t="shared" si="8"/>
        <v>[1879495456] = 2, // Tûl Zakana, the Well of Forgetting -- Tier 1</v>
      </c>
      <c r="G17" t="str">
        <f t="shared" si="9"/>
        <v>[16] = {["ID"] = 1879495456; }; -- Tûl Zakana, the Well of Forgetting -- Tier 1</v>
      </c>
      <c r="H17">
        <f t="shared" si="2"/>
        <v>16</v>
      </c>
      <c r="I17" t="str">
        <f t="shared" si="10"/>
        <v>[16] = {</v>
      </c>
      <c r="J17" t="str">
        <f t="shared" si="11"/>
        <v xml:space="preserve">["ID"] = 1879495456; </v>
      </c>
      <c r="K17" t="str">
        <f t="shared" si="12"/>
        <v/>
      </c>
      <c r="L17" t="str">
        <f t="shared" si="13"/>
        <v xml:space="preserve">["TIER"] = 2; </v>
      </c>
      <c r="M17" t="str">
        <f t="shared" si="7"/>
        <v>};</v>
      </c>
    </row>
    <row r="18" spans="1:13" x14ac:dyDescent="0.25">
      <c r="A18">
        <v>1879495461</v>
      </c>
      <c r="B18" t="s">
        <v>2144</v>
      </c>
      <c r="C18">
        <v>2</v>
      </c>
      <c r="F18" t="str">
        <f t="shared" si="8"/>
        <v>[1879495461] = 2, // Tûl Zakana, the Well of Forgetting -- Tier 2</v>
      </c>
      <c r="G18" t="str">
        <f t="shared" si="9"/>
        <v>[17] = {["ID"] = 1879495461; }; -- Tûl Zakana, the Well of Forgetting -- Tier 2</v>
      </c>
      <c r="H18">
        <f t="shared" si="2"/>
        <v>17</v>
      </c>
      <c r="I18" t="str">
        <f t="shared" si="10"/>
        <v>[17] = {</v>
      </c>
      <c r="J18" t="str">
        <f t="shared" si="11"/>
        <v xml:space="preserve">["ID"] = 1879495461; </v>
      </c>
      <c r="K18" t="str">
        <f t="shared" si="12"/>
        <v/>
      </c>
      <c r="L18" t="str">
        <f t="shared" si="13"/>
        <v xml:space="preserve">["TIER"] = 2; </v>
      </c>
      <c r="M18" t="str">
        <f t="shared" si="7"/>
        <v>};</v>
      </c>
    </row>
    <row r="19" spans="1:13" x14ac:dyDescent="0.25">
      <c r="A19">
        <v>1879495462</v>
      </c>
      <c r="B19" t="s">
        <v>2145</v>
      </c>
      <c r="C19">
        <v>2</v>
      </c>
      <c r="F19" t="str">
        <f t="shared" si="8"/>
        <v>[1879495462] = 2, // Tûl Zakana, the Well of Forgetting -- Tier 3</v>
      </c>
      <c r="G19" t="str">
        <f t="shared" si="9"/>
        <v>[18] = {["ID"] = 1879495462; }; -- Tûl Zakana, the Well of Forgetting -- Tier 3</v>
      </c>
      <c r="H19">
        <f t="shared" si="2"/>
        <v>18</v>
      </c>
      <c r="I19" t="str">
        <f t="shared" si="10"/>
        <v>[18] = {</v>
      </c>
      <c r="J19" t="str">
        <f t="shared" si="11"/>
        <v xml:space="preserve">["ID"] = 1879495462; </v>
      </c>
      <c r="K19" t="str">
        <f t="shared" si="12"/>
        <v/>
      </c>
      <c r="L19" t="str">
        <f t="shared" si="13"/>
        <v xml:space="preserve">["TIER"] = 2; </v>
      </c>
      <c r="M19" t="str">
        <f t="shared" si="7"/>
        <v>};</v>
      </c>
    </row>
    <row r="20" spans="1:13" x14ac:dyDescent="0.25">
      <c r="A20">
        <v>1879495457</v>
      </c>
      <c r="B20" t="s">
        <v>2143</v>
      </c>
      <c r="C20">
        <v>2</v>
      </c>
      <c r="F20" t="str">
        <f t="shared" si="8"/>
        <v>[1879495457] = 2, // Tûl Zakana, the Well of Forgetting -- Ordâkhai</v>
      </c>
      <c r="G20" t="str">
        <f t="shared" si="9"/>
        <v>[19] = {["ID"] = 1879495457; }; -- Tûl Zakana, the Well of Forgetting -- Ordâkhai</v>
      </c>
      <c r="H20">
        <f t="shared" si="2"/>
        <v>19</v>
      </c>
      <c r="I20" t="str">
        <f t="shared" si="10"/>
        <v>[19] = {</v>
      </c>
      <c r="J20" t="str">
        <f t="shared" si="11"/>
        <v xml:space="preserve">["ID"] = 1879495457; </v>
      </c>
      <c r="K20" t="str">
        <f t="shared" si="12"/>
        <v/>
      </c>
      <c r="L20" t="str">
        <f t="shared" si="13"/>
        <v xml:space="preserve">["TIER"] = 2; </v>
      </c>
      <c r="M20" t="str">
        <f t="shared" si="7"/>
        <v>};</v>
      </c>
    </row>
    <row r="21" spans="1:13" x14ac:dyDescent="0.25">
      <c r="B21" s="2" t="s">
        <v>2151</v>
      </c>
      <c r="D21">
        <v>319</v>
      </c>
      <c r="F21" t="str">
        <f t="shared" si="8"/>
        <v/>
      </c>
      <c r="G21" t="str">
        <f t="shared" si="9"/>
        <v>[20] = {["CAT_ID"] = 319; }; -- Temple of Utug-bûr</v>
      </c>
      <c r="H21">
        <f t="shared" si="2"/>
        <v>20</v>
      </c>
      <c r="I21" t="str">
        <f t="shared" si="10"/>
        <v>[20] = {</v>
      </c>
      <c r="J21" t="str">
        <f t="shared" si="11"/>
        <v/>
      </c>
      <c r="K21" t="str">
        <f t="shared" si="12"/>
        <v xml:space="preserve">["CAT_ID"] = 319; </v>
      </c>
      <c r="L21" t="str">
        <f t="shared" si="13"/>
        <v xml:space="preserve">["TIER"] = 0; </v>
      </c>
      <c r="M21" t="str">
        <f t="shared" si="7"/>
        <v>};</v>
      </c>
    </row>
    <row r="22" spans="1:13" x14ac:dyDescent="0.25">
      <c r="A22">
        <v>1879500025</v>
      </c>
      <c r="B22" t="s">
        <v>2152</v>
      </c>
      <c r="C22">
        <v>1</v>
      </c>
      <c r="F22" t="str">
        <f t="shared" si="8"/>
        <v>[1879500025] = 1, // Deeds of the 'Temple of Utug-bûr'</v>
      </c>
      <c r="G22" t="str">
        <f t="shared" si="9"/>
        <v>[21] = {["ID"] = 1879500025; }; -- Deeds of the 'Temple of Utug-bûr'</v>
      </c>
      <c r="H22">
        <f t="shared" si="2"/>
        <v>21</v>
      </c>
      <c r="I22" t="str">
        <f t="shared" si="10"/>
        <v>[21] = {</v>
      </c>
      <c r="J22" t="str">
        <f t="shared" si="11"/>
        <v xml:space="preserve">["ID"] = 1879500025; </v>
      </c>
      <c r="K22" t="str">
        <f t="shared" si="12"/>
        <v/>
      </c>
      <c r="L22" t="str">
        <f t="shared" si="13"/>
        <v xml:space="preserve">["TIER"] = 1; </v>
      </c>
      <c r="M22" t="str">
        <f t="shared" si="7"/>
        <v>};</v>
      </c>
    </row>
    <row r="23" spans="1:13" x14ac:dyDescent="0.25">
      <c r="A23">
        <v>1879500022</v>
      </c>
      <c r="B23" t="s">
        <v>2153</v>
      </c>
      <c r="C23">
        <v>2</v>
      </c>
      <c r="F23" t="str">
        <f t="shared" si="8"/>
        <v>[1879500022] = 2, // Explorer of the 'Temple of Utug-bûr' - Tier 1</v>
      </c>
      <c r="G23" t="str">
        <f t="shared" si="9"/>
        <v>[22] = {["ID"] = 1879500022; }; -- Explorer of the 'Temple of Utug-bûr' - Tier 1</v>
      </c>
      <c r="H23">
        <f t="shared" si="2"/>
        <v>22</v>
      </c>
      <c r="I23" t="str">
        <f t="shared" si="10"/>
        <v>[22] = {</v>
      </c>
      <c r="J23" t="str">
        <f t="shared" si="11"/>
        <v xml:space="preserve">["ID"] = 1879500022; </v>
      </c>
      <c r="K23" t="str">
        <f t="shared" si="12"/>
        <v/>
      </c>
      <c r="L23" t="str">
        <f t="shared" si="13"/>
        <v xml:space="preserve">["TIER"] = 2; </v>
      </c>
      <c r="M23" t="str">
        <f t="shared" si="7"/>
        <v>};</v>
      </c>
    </row>
    <row r="24" spans="1:13" x14ac:dyDescent="0.25">
      <c r="A24">
        <v>1879500024</v>
      </c>
      <c r="B24" t="s">
        <v>2154</v>
      </c>
      <c r="C24">
        <v>2</v>
      </c>
      <c r="F24" t="str">
        <f t="shared" si="8"/>
        <v>[1879500024] = 2, // Explorer of the 'Temple of Utug-bûr' - Tier 2</v>
      </c>
      <c r="G24" t="str">
        <f t="shared" si="9"/>
        <v>[23] = {["ID"] = 1879500024; }; -- Explorer of the 'Temple of Utug-bûr' - Tier 2</v>
      </c>
      <c r="H24">
        <f t="shared" si="2"/>
        <v>23</v>
      </c>
      <c r="I24" t="str">
        <f t="shared" si="10"/>
        <v>[23] = {</v>
      </c>
      <c r="J24" t="str">
        <f t="shared" si="11"/>
        <v xml:space="preserve">["ID"] = 1879500024; </v>
      </c>
      <c r="K24" t="str">
        <f t="shared" si="12"/>
        <v/>
      </c>
      <c r="L24" t="str">
        <f t="shared" si="13"/>
        <v xml:space="preserve">["TIER"] = 2; </v>
      </c>
      <c r="M24" t="str">
        <f t="shared" si="7"/>
        <v>};</v>
      </c>
    </row>
    <row r="25" spans="1:13" x14ac:dyDescent="0.25">
      <c r="A25">
        <v>1879500023</v>
      </c>
      <c r="B25" t="s">
        <v>2155</v>
      </c>
      <c r="C25">
        <v>2</v>
      </c>
      <c r="F25" t="str">
        <f t="shared" si="8"/>
        <v>[1879500023] = 2, // Explorer of the 'Temple of Utug-bûr' - Tier 3</v>
      </c>
      <c r="G25" t="str">
        <f t="shared" si="9"/>
        <v>[24] = {["ID"] = 1879500023; }; -- Explorer of the 'Temple of Utug-bûr' - Tier 3</v>
      </c>
      <c r="H25">
        <f t="shared" si="2"/>
        <v>24</v>
      </c>
      <c r="I25" t="str">
        <f t="shared" si="10"/>
        <v>[24] = {</v>
      </c>
      <c r="J25" t="str">
        <f t="shared" si="11"/>
        <v xml:space="preserve">["ID"] = 1879500023; </v>
      </c>
      <c r="K25" t="str">
        <f t="shared" si="12"/>
        <v/>
      </c>
      <c r="L25" t="str">
        <f t="shared" si="13"/>
        <v xml:space="preserve">["TIER"] = 2; </v>
      </c>
      <c r="M25" t="str">
        <f t="shared" si="7"/>
        <v>};</v>
      </c>
    </row>
    <row r="26" spans="1:13" x14ac:dyDescent="0.25">
      <c r="A26">
        <v>1879499530</v>
      </c>
      <c r="B26" t="s">
        <v>2156</v>
      </c>
      <c r="C26">
        <v>2</v>
      </c>
      <c r="F26" t="str">
        <f t="shared" si="8"/>
        <v>[1879499530] = 2, // Bane of the Blood-spiller</v>
      </c>
      <c r="G26" t="str">
        <f t="shared" si="9"/>
        <v>[25] = {["ID"] = 1879499530; }; -- Bane of the Blood-spiller</v>
      </c>
      <c r="H26">
        <f t="shared" si="2"/>
        <v>25</v>
      </c>
      <c r="I26" t="str">
        <f t="shared" si="10"/>
        <v>[25] = {</v>
      </c>
      <c r="J26" t="str">
        <f t="shared" si="11"/>
        <v xml:space="preserve">["ID"] = 1879499530; </v>
      </c>
      <c r="K26" t="str">
        <f t="shared" si="12"/>
        <v/>
      </c>
      <c r="L26" t="str">
        <f t="shared" si="13"/>
        <v xml:space="preserve">["TIER"] = 2; </v>
      </c>
      <c r="M26" t="str">
        <f t="shared" si="7"/>
        <v>};</v>
      </c>
    </row>
    <row r="27" spans="1:13" x14ac:dyDescent="0.25">
      <c r="A27">
        <v>1879498088</v>
      </c>
      <c r="B27" t="s">
        <v>2157</v>
      </c>
      <c r="C27">
        <v>1</v>
      </c>
      <c r="F27" t="str">
        <f t="shared" si="8"/>
        <v>[1879498088] = 1, // Temple of Utug-bûr: Inner Sanctum -- Tier 1</v>
      </c>
      <c r="G27" t="str">
        <f t="shared" si="9"/>
        <v>[26] = {["ID"] = 1879498088; }; -- Temple of Utug-bûr: Inner Sanctum -- Tier 1</v>
      </c>
      <c r="H27">
        <f t="shared" si="2"/>
        <v>26</v>
      </c>
      <c r="I27" t="str">
        <f t="shared" si="10"/>
        <v>[26] = {</v>
      </c>
      <c r="J27" t="str">
        <f t="shared" si="11"/>
        <v xml:space="preserve">["ID"] = 1879498088; </v>
      </c>
      <c r="K27" t="str">
        <f t="shared" si="12"/>
        <v/>
      </c>
      <c r="L27" t="str">
        <f t="shared" si="13"/>
        <v xml:space="preserve">["TIER"] = 1; </v>
      </c>
      <c r="M27" t="str">
        <f t="shared" si="7"/>
        <v>};</v>
      </c>
    </row>
    <row r="28" spans="1:13" x14ac:dyDescent="0.25">
      <c r="A28">
        <v>1879498089</v>
      </c>
      <c r="B28" t="s">
        <v>2158</v>
      </c>
      <c r="C28">
        <v>1</v>
      </c>
      <c r="F28" t="str">
        <f t="shared" si="8"/>
        <v>[1879498089] = 1, // Temple of Utug-bûr: Inner Sanctum -- Tier 2</v>
      </c>
      <c r="G28" t="str">
        <f t="shared" si="9"/>
        <v>[27] = {["ID"] = 1879498089; }; -- Temple of Utug-bûr: Inner Sanctum -- Tier 2</v>
      </c>
      <c r="H28">
        <f t="shared" si="2"/>
        <v>27</v>
      </c>
      <c r="I28" t="str">
        <f t="shared" si="10"/>
        <v>[27] = {</v>
      </c>
      <c r="J28" t="str">
        <f t="shared" si="11"/>
        <v xml:space="preserve">["ID"] = 1879498089; </v>
      </c>
      <c r="K28" t="str">
        <f t="shared" si="12"/>
        <v/>
      </c>
      <c r="L28" t="str">
        <f t="shared" si="13"/>
        <v xml:space="preserve">["TIER"] = 1; </v>
      </c>
      <c r="M28" t="str">
        <f t="shared" si="7"/>
        <v>};</v>
      </c>
    </row>
    <row r="29" spans="1:13" x14ac:dyDescent="0.25">
      <c r="A29">
        <v>1879498090</v>
      </c>
      <c r="B29" t="s">
        <v>2159</v>
      </c>
      <c r="C29">
        <v>1</v>
      </c>
      <c r="F29" t="str">
        <f t="shared" si="8"/>
        <v>[1879498090] = 1, // Temple of Utug-bûr: Inner Sanctum -- Tier 3</v>
      </c>
      <c r="G29" t="str">
        <f t="shared" si="9"/>
        <v>[28] = {["ID"] = 1879498090; }; -- Temple of Utug-bûr: Inner Sanctum -- Tier 3</v>
      </c>
      <c r="H29">
        <f t="shared" si="2"/>
        <v>28</v>
      </c>
      <c r="I29" t="str">
        <f t="shared" si="10"/>
        <v>[28] = {</v>
      </c>
      <c r="J29" t="str">
        <f t="shared" si="11"/>
        <v xml:space="preserve">["ID"] = 1879498090; </v>
      </c>
      <c r="K29" t="str">
        <f t="shared" si="12"/>
        <v/>
      </c>
      <c r="L29" t="str">
        <f t="shared" si="13"/>
        <v xml:space="preserve">["TIER"] = 1; </v>
      </c>
      <c r="M29" t="str">
        <f t="shared" si="7"/>
        <v>};</v>
      </c>
    </row>
    <row r="30" spans="1:13" x14ac:dyDescent="0.25">
      <c r="A30">
        <v>1879498783</v>
      </c>
      <c r="B30" t="s">
        <v>2160</v>
      </c>
      <c r="C30">
        <v>1</v>
      </c>
      <c r="F30" t="str">
        <f t="shared" si="8"/>
        <v>[1879498783] = 1, // Temple of Utug-bûr: Thûr Hin -- Tier 1</v>
      </c>
      <c r="G30" t="str">
        <f t="shared" si="9"/>
        <v>[29] = {["ID"] = 1879498783; }; -- Temple of Utug-bûr: Thûr Hin -- Tier 1</v>
      </c>
      <c r="H30">
        <f t="shared" si="2"/>
        <v>29</v>
      </c>
      <c r="I30" t="str">
        <f t="shared" si="10"/>
        <v>[29] = {</v>
      </c>
      <c r="J30" t="str">
        <f t="shared" si="11"/>
        <v xml:space="preserve">["ID"] = 1879498783; </v>
      </c>
      <c r="K30" t="str">
        <f t="shared" si="12"/>
        <v/>
      </c>
      <c r="L30" t="str">
        <f t="shared" si="13"/>
        <v xml:space="preserve">["TIER"] = 1; </v>
      </c>
      <c r="M30" t="str">
        <f t="shared" si="7"/>
        <v>};</v>
      </c>
    </row>
    <row r="31" spans="1:13" x14ac:dyDescent="0.25">
      <c r="A31">
        <v>1879498782</v>
      </c>
      <c r="B31" t="s">
        <v>2161</v>
      </c>
      <c r="C31">
        <v>1</v>
      </c>
      <c r="F31" t="str">
        <f t="shared" si="8"/>
        <v>[1879498782] = 1, // Temple of Utug-bûr: Thûr Hin -- Tier 2</v>
      </c>
      <c r="G31" t="str">
        <f t="shared" si="9"/>
        <v>[30] = {["ID"] = 1879498782; }; -- Temple of Utug-bûr: Thûr Hin -- Tier 2</v>
      </c>
      <c r="H31">
        <f t="shared" si="2"/>
        <v>30</v>
      </c>
      <c r="I31" t="str">
        <f t="shared" si="10"/>
        <v>[30] = {</v>
      </c>
      <c r="J31" t="str">
        <f t="shared" si="11"/>
        <v xml:space="preserve">["ID"] = 1879498782; </v>
      </c>
      <c r="K31" t="str">
        <f t="shared" si="12"/>
        <v/>
      </c>
      <c r="L31" t="str">
        <f t="shared" si="13"/>
        <v xml:space="preserve">["TIER"] = 1; </v>
      </c>
      <c r="M31" t="str">
        <f t="shared" si="7"/>
        <v>};</v>
      </c>
    </row>
    <row r="32" spans="1:13" x14ac:dyDescent="0.25">
      <c r="A32">
        <v>1879498781</v>
      </c>
      <c r="B32" t="s">
        <v>2162</v>
      </c>
      <c r="C32">
        <v>1</v>
      </c>
      <c r="F32" t="str">
        <f t="shared" si="8"/>
        <v>[1879498781] = 1, // Temple of Utug-bûr: Thûr Hin -- Tier 3</v>
      </c>
      <c r="G32" t="str">
        <f t="shared" si="9"/>
        <v>[31] = {["ID"] = 1879498781; }; -- Temple of Utug-bûr: Thûr Hin -- Tier 3</v>
      </c>
      <c r="H32">
        <f t="shared" si="2"/>
        <v>31</v>
      </c>
      <c r="I32" t="str">
        <f t="shared" si="10"/>
        <v>[31] = {</v>
      </c>
      <c r="J32" t="str">
        <f t="shared" si="11"/>
        <v xml:space="preserve">["ID"] = 1879498781; </v>
      </c>
      <c r="K32" t="str">
        <f t="shared" si="12"/>
        <v/>
      </c>
      <c r="L32" t="str">
        <f t="shared" si="13"/>
        <v xml:space="preserve">["TIER"] = 1; </v>
      </c>
      <c r="M32" t="str">
        <f t="shared" si="7"/>
        <v>};</v>
      </c>
    </row>
    <row r="33" spans="1:13" x14ac:dyDescent="0.25">
      <c r="B33" s="2" t="s">
        <v>2166</v>
      </c>
      <c r="D33">
        <v>322</v>
      </c>
      <c r="F33" t="str">
        <f t="shared" si="8"/>
        <v/>
      </c>
      <c r="G33" t="str">
        <f t="shared" si="9"/>
        <v>[32] = {["CAT_ID"] = 322; }; -- Dun Shûma, The King's Fortress</v>
      </c>
      <c r="H33">
        <f t="shared" si="2"/>
        <v>32</v>
      </c>
      <c r="I33" t="str">
        <f t="shared" si="10"/>
        <v>[32] = {</v>
      </c>
      <c r="J33" t="str">
        <f t="shared" si="11"/>
        <v/>
      </c>
      <c r="K33" t="str">
        <f t="shared" si="12"/>
        <v xml:space="preserve">["CAT_ID"] = 322; </v>
      </c>
      <c r="L33" t="str">
        <f t="shared" si="13"/>
        <v xml:space="preserve">["TIER"] = 0; </v>
      </c>
      <c r="M33" t="str">
        <f t="shared" si="7"/>
        <v>};</v>
      </c>
    </row>
    <row r="34" spans="1:13" x14ac:dyDescent="0.25">
      <c r="A34">
        <v>1879502191</v>
      </c>
      <c r="B34" t="s">
        <v>2167</v>
      </c>
      <c r="F34" t="str">
        <f t="shared" si="8"/>
        <v/>
      </c>
      <c r="G34" t="str">
        <f t="shared" si="9"/>
        <v>[33] = {["ID"] = 1879502191; }; -- Vanquisher of Dun Shûma, The King's Fortress</v>
      </c>
      <c r="H34">
        <f t="shared" si="2"/>
        <v>33</v>
      </c>
      <c r="I34" t="str">
        <f t="shared" si="10"/>
        <v>[33] = {</v>
      </c>
      <c r="J34" t="str">
        <f t="shared" si="11"/>
        <v xml:space="preserve">["ID"] = 1879502191; </v>
      </c>
      <c r="K34" t="str">
        <f t="shared" si="12"/>
        <v/>
      </c>
      <c r="L34" t="str">
        <f t="shared" si="13"/>
        <v xml:space="preserve">["TIER"] = 0; </v>
      </c>
      <c r="M34" t="str">
        <f t="shared" si="7"/>
        <v>};</v>
      </c>
    </row>
    <row r="35" spans="1:13" x14ac:dyDescent="0.25">
      <c r="A35">
        <v>1879502194</v>
      </c>
      <c r="B35" t="s">
        <v>2168</v>
      </c>
      <c r="C35">
        <v>1</v>
      </c>
      <c r="F35" t="str">
        <f t="shared" si="8"/>
        <v>[1879502194] = 1, // Dun Shûma, The King's Fortress -- Tier 1</v>
      </c>
      <c r="G35" t="str">
        <f t="shared" si="9"/>
        <v>[34] = {["ID"] = 1879502194; }; -- Dun Shûma, The King's Fortress -- Tier 1</v>
      </c>
      <c r="H35">
        <f t="shared" si="2"/>
        <v>34</v>
      </c>
      <c r="I35" t="str">
        <f t="shared" si="10"/>
        <v>[34] = {</v>
      </c>
      <c r="J35" t="str">
        <f t="shared" si="11"/>
        <v xml:space="preserve">["ID"] = 1879502194; </v>
      </c>
      <c r="K35" t="str">
        <f t="shared" si="12"/>
        <v/>
      </c>
      <c r="L35" t="str">
        <f t="shared" si="13"/>
        <v xml:space="preserve">["TIER"] = 1; </v>
      </c>
      <c r="M35" t="str">
        <f t="shared" si="7"/>
        <v>};</v>
      </c>
    </row>
    <row r="36" spans="1:13" x14ac:dyDescent="0.25">
      <c r="A36">
        <v>1879502186</v>
      </c>
      <c r="B36" t="s">
        <v>2169</v>
      </c>
      <c r="C36">
        <v>1</v>
      </c>
      <c r="F36" t="str">
        <f t="shared" si="8"/>
        <v>[1879502186] = 1, // Dun Shûma, The King's Fortress -- Tier 2</v>
      </c>
      <c r="G36" t="str">
        <f t="shared" si="9"/>
        <v>[35] = {["ID"] = 1879502186; }; -- Dun Shûma, The King's Fortress -- Tier 2</v>
      </c>
      <c r="H36">
        <f t="shared" si="2"/>
        <v>35</v>
      </c>
      <c r="I36" t="str">
        <f t="shared" si="10"/>
        <v>[35] = {</v>
      </c>
      <c r="J36" t="str">
        <f t="shared" si="11"/>
        <v xml:space="preserve">["ID"] = 1879502186; </v>
      </c>
      <c r="K36" t="str">
        <f t="shared" si="12"/>
        <v/>
      </c>
      <c r="L36" t="str">
        <f t="shared" si="13"/>
        <v xml:space="preserve">["TIER"] = 1; </v>
      </c>
      <c r="M36" t="str">
        <f t="shared" si="7"/>
        <v>};</v>
      </c>
    </row>
    <row r="37" spans="1:13" x14ac:dyDescent="0.25">
      <c r="A37">
        <v>1879502189</v>
      </c>
      <c r="B37" t="s">
        <v>2170</v>
      </c>
      <c r="C37">
        <v>1</v>
      </c>
      <c r="F37" t="str">
        <f t="shared" si="8"/>
        <v>[1879502189] = 1, // Dun Shûma, The King's Fortress -- Tier 3</v>
      </c>
      <c r="G37" t="str">
        <f t="shared" si="9"/>
        <v>[36] = {["ID"] = 1879502189; }; -- Dun Shûma, The King's Fortress -- Tier 3</v>
      </c>
      <c r="H37">
        <f t="shared" si="2"/>
        <v>36</v>
      </c>
      <c r="I37" t="str">
        <f t="shared" si="10"/>
        <v>[36] = {</v>
      </c>
      <c r="J37" t="str">
        <f t="shared" si="11"/>
        <v xml:space="preserve">["ID"] = 1879502189; </v>
      </c>
      <c r="K37" t="str">
        <f t="shared" si="12"/>
        <v/>
      </c>
      <c r="L37" t="str">
        <f t="shared" si="13"/>
        <v xml:space="preserve">["TIER"] = 1; </v>
      </c>
      <c r="M37" t="str">
        <f t="shared" si="7"/>
        <v>};</v>
      </c>
    </row>
    <row r="38" spans="1:13" x14ac:dyDescent="0.25">
      <c r="A38">
        <v>1879502184</v>
      </c>
      <c r="B38" t="s">
        <v>2171</v>
      </c>
      <c r="C38">
        <v>1</v>
      </c>
      <c r="F38" t="str">
        <f t="shared" si="8"/>
        <v>[1879502184] = 1, // Dun Shûma, The King's Fortress -- Ordâkhai</v>
      </c>
      <c r="G38" t="str">
        <f t="shared" si="9"/>
        <v>[37] = {["ID"] = 1879502184; }; -- Dun Shûma, The King's Fortress -- Ordâkhai</v>
      </c>
      <c r="H38">
        <f t="shared" si="2"/>
        <v>37</v>
      </c>
      <c r="I38" t="str">
        <f t="shared" si="10"/>
        <v>[37] = {</v>
      </c>
      <c r="J38" t="str">
        <f t="shared" si="11"/>
        <v xml:space="preserve">["ID"] = 1879502184; </v>
      </c>
      <c r="K38" t="str">
        <f t="shared" si="12"/>
        <v/>
      </c>
      <c r="L38" t="str">
        <f t="shared" si="13"/>
        <v xml:space="preserve">["TIER"] = 1; </v>
      </c>
      <c r="M38" t="str">
        <f t="shared" si="7"/>
        <v>};</v>
      </c>
    </row>
    <row r="39" spans="1:13" x14ac:dyDescent="0.25">
      <c r="B39" s="2" t="s">
        <v>1722</v>
      </c>
      <c r="C39" s="2"/>
      <c r="D39">
        <v>282</v>
      </c>
      <c r="F39" t="str">
        <f t="shared" si="8"/>
        <v/>
      </c>
      <c r="G39" t="str">
        <f t="shared" si="9"/>
        <v>[38] = {["CAT_ID"] = 282; }; -- Not Actively Achievable</v>
      </c>
      <c r="H39">
        <f t="shared" si="2"/>
        <v>38</v>
      </c>
      <c r="I39" t="str">
        <f t="shared" si="10"/>
        <v>[38] = {</v>
      </c>
      <c r="J39" t="str">
        <f t="shared" si="11"/>
        <v/>
      </c>
      <c r="K39" t="str">
        <f t="shared" si="12"/>
        <v xml:space="preserve">["CAT_ID"] = 282; </v>
      </c>
      <c r="L39" t="str">
        <f t="shared" si="13"/>
        <v xml:space="preserve">["TIER"] = 0; </v>
      </c>
      <c r="M39" t="str">
        <f t="shared" si="7"/>
        <v>};</v>
      </c>
    </row>
    <row r="40" spans="1:13" x14ac:dyDescent="0.25">
      <c r="A40">
        <v>1879496462</v>
      </c>
      <c r="B40" t="s">
        <v>2147</v>
      </c>
      <c r="E40" t="s">
        <v>1718</v>
      </c>
      <c r="F40" t="str">
        <f t="shared" si="8"/>
        <v/>
      </c>
      <c r="G40" t="str">
        <f t="shared" si="9"/>
        <v>[39] = {["ID"] = 1879496462; }; -- Ashunûg, the Fane of the Accursed -- Tier 3 -- Leading the Charge</v>
      </c>
      <c r="H40">
        <f t="shared" si="2"/>
        <v>39</v>
      </c>
      <c r="I40" t="str">
        <f t="shared" si="10"/>
        <v>[39] = {</v>
      </c>
      <c r="J40" t="str">
        <f t="shared" si="11"/>
        <v xml:space="preserve">["ID"] = 1879496462; </v>
      </c>
      <c r="K40" t="str">
        <f t="shared" si="12"/>
        <v/>
      </c>
      <c r="L40" t="str">
        <f t="shared" si="13"/>
        <v xml:space="preserve">["TIER"] = 0; </v>
      </c>
      <c r="M40" t="str">
        <f t="shared" si="7"/>
        <v>};</v>
      </c>
    </row>
    <row r="41" spans="1:13" x14ac:dyDescent="0.25">
      <c r="A41">
        <v>1879494781</v>
      </c>
      <c r="B41" t="s">
        <v>2148</v>
      </c>
      <c r="E41" t="s">
        <v>1718</v>
      </c>
      <c r="F41" t="str">
        <f t="shared" si="8"/>
        <v/>
      </c>
      <c r="G41" t="str">
        <f t="shared" si="9"/>
        <v>[40] = {["ID"] = 1879494781; }; -- Nirgambâr, the Restless Tomb -- Tier 3 -- Leading the Charge</v>
      </c>
      <c r="H41">
        <f t="shared" si="2"/>
        <v>40</v>
      </c>
      <c r="I41" t="str">
        <f t="shared" si="10"/>
        <v>[40] = {</v>
      </c>
      <c r="J41" t="str">
        <f t="shared" si="11"/>
        <v xml:space="preserve">["ID"] = 1879494781; </v>
      </c>
      <c r="K41" t="str">
        <f t="shared" si="12"/>
        <v/>
      </c>
      <c r="L41" t="str">
        <f t="shared" si="13"/>
        <v xml:space="preserve">["TIER"] = 0; </v>
      </c>
      <c r="M41" t="str">
        <f t="shared" si="7"/>
        <v>};</v>
      </c>
    </row>
    <row r="42" spans="1:13" x14ac:dyDescent="0.25">
      <c r="A42">
        <v>1879495464</v>
      </c>
      <c r="B42" t="s">
        <v>2149</v>
      </c>
      <c r="E42" t="s">
        <v>1718</v>
      </c>
      <c r="F42" t="str">
        <f t="shared" si="8"/>
        <v/>
      </c>
      <c r="G42" t="str">
        <f t="shared" si="9"/>
        <v>[41] = {["ID"] = 1879495464; }; -- Tûl Zakana, the Well of Forgetting -- Tier 3 -- Leading the Charge</v>
      </c>
      <c r="H42">
        <f t="shared" si="2"/>
        <v>41</v>
      </c>
      <c r="I42" t="str">
        <f t="shared" si="10"/>
        <v>[41] = {</v>
      </c>
      <c r="J42" t="str">
        <f t="shared" si="11"/>
        <v xml:space="preserve">["ID"] = 1879495464; </v>
      </c>
      <c r="K42" t="str">
        <f t="shared" si="12"/>
        <v/>
      </c>
      <c r="L42" t="str">
        <f t="shared" si="13"/>
        <v xml:space="preserve">["TIER"] = 0; </v>
      </c>
      <c r="M42" t="str">
        <f t="shared" si="7"/>
        <v>};</v>
      </c>
    </row>
    <row r="43" spans="1:13" x14ac:dyDescent="0.25">
      <c r="A43">
        <v>1879500027</v>
      </c>
      <c r="B43" t="s">
        <v>2163</v>
      </c>
      <c r="E43" t="s">
        <v>1718</v>
      </c>
      <c r="F43" t="str">
        <f t="shared" si="8"/>
        <v/>
      </c>
      <c r="G43" t="str">
        <f t="shared" si="9"/>
        <v>[42] = {["ID"] = 1879500027; }; -- Temple of Utug-bûr -- Leading the Charge</v>
      </c>
      <c r="H43">
        <f t="shared" si="2"/>
        <v>42</v>
      </c>
      <c r="I43" t="str">
        <f t="shared" si="10"/>
        <v>[42] = {</v>
      </c>
      <c r="J43" t="str">
        <f t="shared" si="11"/>
        <v xml:space="preserve">["ID"] = 1879500027; </v>
      </c>
      <c r="K43" t="str">
        <f t="shared" si="12"/>
        <v/>
      </c>
      <c r="L43" t="str">
        <f t="shared" si="13"/>
        <v xml:space="preserve">["TIER"] = 0; </v>
      </c>
      <c r="M43" t="str">
        <f t="shared" si="7"/>
        <v>};</v>
      </c>
    </row>
    <row r="44" spans="1:13" x14ac:dyDescent="0.25">
      <c r="A44">
        <v>1879500028</v>
      </c>
      <c r="B44" t="s">
        <v>2164</v>
      </c>
      <c r="E44" t="s">
        <v>1718</v>
      </c>
      <c r="F44" t="str">
        <f t="shared" si="8"/>
        <v/>
      </c>
      <c r="G44" t="str">
        <f t="shared" si="9"/>
        <v>[43] = {["ID"] = 1879500028; }; -- Temple of Utug-bûr -- Original Challenger</v>
      </c>
      <c r="H44">
        <f t="shared" si="2"/>
        <v>43</v>
      </c>
      <c r="I44" t="str">
        <f t="shared" si="10"/>
        <v>[43] = {</v>
      </c>
      <c r="J44" t="str">
        <f t="shared" si="11"/>
        <v xml:space="preserve">["ID"] = 1879500028; </v>
      </c>
      <c r="K44" t="str">
        <f t="shared" si="12"/>
        <v/>
      </c>
      <c r="L44" t="str">
        <f t="shared" si="13"/>
        <v xml:space="preserve">["TIER"] = 0; </v>
      </c>
      <c r="M44" t="str">
        <f t="shared" si="7"/>
        <v>};</v>
      </c>
    </row>
    <row r="45" spans="1:13" x14ac:dyDescent="0.25">
      <c r="A45">
        <v>1879502188</v>
      </c>
      <c r="B45" t="s">
        <v>2172</v>
      </c>
      <c r="E45" t="s">
        <v>1718</v>
      </c>
      <c r="F45" t="str">
        <f t="shared" si="8"/>
        <v/>
      </c>
      <c r="G45" t="str">
        <f t="shared" si="9"/>
        <v>[44] = {["ID"] = 1879502188; }; -- Dun Shûma, The King's Fortress -- Tier 3 -- Leading the Charge</v>
      </c>
      <c r="H45">
        <f t="shared" si="2"/>
        <v>44</v>
      </c>
      <c r="I45" t="str">
        <f t="shared" si="10"/>
        <v>[44] = {</v>
      </c>
      <c r="J45" t="str">
        <f t="shared" si="11"/>
        <v xml:space="preserve">["ID"] = 1879502188; </v>
      </c>
      <c r="K45" t="str">
        <f t="shared" si="12"/>
        <v/>
      </c>
      <c r="L45" t="str">
        <f t="shared" si="13"/>
        <v xml:space="preserve">["TIER"] = 0; </v>
      </c>
      <c r="M45" t="str">
        <f t="shared" si="7"/>
        <v>};</v>
      </c>
    </row>
    <row r="46" spans="1:13" x14ac:dyDescent="0.25">
      <c r="F46" t="str">
        <f t="shared" si="8"/>
        <v/>
      </c>
      <c r="G46" t="str">
        <f t="shared" si="9"/>
        <v xml:space="preserve">[45] = {}; -- </v>
      </c>
      <c r="H46">
        <f t="shared" si="2"/>
        <v>45</v>
      </c>
      <c r="I46" t="str">
        <f t="shared" si="10"/>
        <v>[45] = {</v>
      </c>
      <c r="J46" t="str">
        <f t="shared" si="11"/>
        <v/>
      </c>
      <c r="K46" t="str">
        <f t="shared" si="12"/>
        <v/>
      </c>
      <c r="L46" t="str">
        <f t="shared" si="13"/>
        <v xml:space="preserve">["TIER"] = 0; </v>
      </c>
      <c r="M46" t="str">
        <f t="shared" si="7"/>
        <v>};</v>
      </c>
    </row>
    <row r="47" spans="1:13" x14ac:dyDescent="0.25">
      <c r="B47" s="2"/>
      <c r="F47" t="str">
        <f t="shared" si="8"/>
        <v/>
      </c>
      <c r="G47" t="str">
        <f t="shared" si="9"/>
        <v xml:space="preserve">[46] = {}; -- </v>
      </c>
      <c r="H47">
        <f t="shared" si="2"/>
        <v>46</v>
      </c>
      <c r="I47" t="str">
        <f t="shared" si="10"/>
        <v>[46] = {</v>
      </c>
      <c r="J47" t="str">
        <f t="shared" si="11"/>
        <v/>
      </c>
      <c r="K47" t="str">
        <f t="shared" si="12"/>
        <v/>
      </c>
      <c r="L47" t="str">
        <f t="shared" si="13"/>
        <v xml:space="preserve">["TIER"] = 0; </v>
      </c>
      <c r="M47" t="str">
        <f t="shared" si="7"/>
        <v>};</v>
      </c>
    </row>
    <row r="48" spans="1:13" x14ac:dyDescent="0.25">
      <c r="F48" t="str">
        <f t="shared" si="8"/>
        <v/>
      </c>
      <c r="G48" t="str">
        <f t="shared" si="9"/>
        <v xml:space="preserve">[47] = {}; -- </v>
      </c>
      <c r="H48">
        <f t="shared" si="2"/>
        <v>47</v>
      </c>
      <c r="I48" t="str">
        <f t="shared" si="10"/>
        <v>[47] = {</v>
      </c>
      <c r="J48" t="str">
        <f t="shared" si="11"/>
        <v/>
      </c>
      <c r="K48" t="str">
        <f t="shared" si="12"/>
        <v/>
      </c>
      <c r="L48" t="str">
        <f t="shared" si="13"/>
        <v xml:space="preserve">["TIER"] = 0; </v>
      </c>
      <c r="M48" t="str">
        <f t="shared" si="7"/>
        <v>};</v>
      </c>
    </row>
    <row r="49" spans="2:13" x14ac:dyDescent="0.25">
      <c r="F49" t="str">
        <f t="shared" si="8"/>
        <v/>
      </c>
      <c r="G49" t="str">
        <f t="shared" si="9"/>
        <v xml:space="preserve">[48] = {}; -- </v>
      </c>
      <c r="H49">
        <f t="shared" si="2"/>
        <v>48</v>
      </c>
      <c r="I49" t="str">
        <f t="shared" si="10"/>
        <v>[48] = {</v>
      </c>
      <c r="J49" t="str">
        <f t="shared" si="11"/>
        <v/>
      </c>
      <c r="K49" t="str">
        <f t="shared" si="12"/>
        <v/>
      </c>
      <c r="L49" t="str">
        <f t="shared" si="13"/>
        <v xml:space="preserve">["TIER"] = 0; </v>
      </c>
      <c r="M49" t="str">
        <f t="shared" si="7"/>
        <v>};</v>
      </c>
    </row>
    <row r="50" spans="2:13" x14ac:dyDescent="0.25">
      <c r="F50" t="str">
        <f t="shared" si="8"/>
        <v/>
      </c>
      <c r="G50" t="str">
        <f t="shared" si="9"/>
        <v xml:space="preserve">[49] = {}; -- </v>
      </c>
      <c r="H50">
        <f t="shared" si="2"/>
        <v>49</v>
      </c>
      <c r="I50" t="str">
        <f t="shared" si="10"/>
        <v>[49] = {</v>
      </c>
      <c r="J50" t="str">
        <f t="shared" si="11"/>
        <v/>
      </c>
      <c r="K50" t="str">
        <f t="shared" si="12"/>
        <v/>
      </c>
      <c r="L50" t="str">
        <f t="shared" si="13"/>
        <v xml:space="preserve">["TIER"] = 0; </v>
      </c>
      <c r="M50" t="str">
        <f t="shared" si="7"/>
        <v>};</v>
      </c>
    </row>
    <row r="51" spans="2:13" x14ac:dyDescent="0.25">
      <c r="F51" t="str">
        <f t="shared" si="0"/>
        <v/>
      </c>
      <c r="G51" t="str">
        <f t="shared" ref="G4:G68" si="14">CONCATENATE(I51,J51,K51,M51," -- ",B51)</f>
        <v xml:space="preserve">[50] = {}; -- </v>
      </c>
      <c r="H51">
        <f t="shared" si="2"/>
        <v>50</v>
      </c>
      <c r="I51" t="str">
        <f t="shared" ref="I4:I68" si="15">CONCATENATE(REPT(" ",2-LEN(H51)),"[",H51,"] = {")</f>
        <v>[50] = {</v>
      </c>
      <c r="J51" t="str">
        <f t="shared" ref="J4:J68" si="16">IF(LEN(A51)&gt;0,CONCATENATE("[""ID""] = ",A51,"; "),"")</f>
        <v/>
      </c>
      <c r="K51" t="str">
        <f t="shared" ref="K4:K68" si="17">IF(LEN(D51)&gt;0,CONCATENATE("[""CAT_ID""] = ",D51,"; "),"")</f>
        <v/>
      </c>
      <c r="L51" t="str">
        <f t="shared" ref="L4:L68" si="18">CONCATENATE("[""TIER""] = ",TEXT(C51,"0"),"; ")</f>
        <v xml:space="preserve">["TIER"] = 0; </v>
      </c>
      <c r="M51" t="str">
        <f t="shared" si="7"/>
        <v>};</v>
      </c>
    </row>
    <row r="52" spans="2:13" x14ac:dyDescent="0.25">
      <c r="F52" t="str">
        <f t="shared" si="0"/>
        <v/>
      </c>
      <c r="G52" t="str">
        <f t="shared" si="14"/>
        <v xml:space="preserve">[51] = {}; -- </v>
      </c>
      <c r="H52">
        <f t="shared" si="2"/>
        <v>51</v>
      </c>
      <c r="I52" t="str">
        <f t="shared" si="15"/>
        <v>[51] = {</v>
      </c>
      <c r="J52" t="str">
        <f t="shared" si="16"/>
        <v/>
      </c>
      <c r="K52" t="str">
        <f t="shared" si="17"/>
        <v/>
      </c>
      <c r="L52" t="str">
        <f t="shared" si="18"/>
        <v xml:space="preserve">["TIER"] = 0; </v>
      </c>
      <c r="M52" t="str">
        <f t="shared" si="7"/>
        <v>};</v>
      </c>
    </row>
    <row r="53" spans="2:13" x14ac:dyDescent="0.25">
      <c r="F53" t="str">
        <f t="shared" si="0"/>
        <v/>
      </c>
      <c r="G53" t="str">
        <f t="shared" si="14"/>
        <v xml:space="preserve">[52] = {}; -- </v>
      </c>
      <c r="H53">
        <f t="shared" si="2"/>
        <v>52</v>
      </c>
      <c r="I53" t="str">
        <f t="shared" si="15"/>
        <v>[52] = {</v>
      </c>
      <c r="J53" t="str">
        <f t="shared" si="16"/>
        <v/>
      </c>
      <c r="K53" t="str">
        <f t="shared" si="17"/>
        <v/>
      </c>
      <c r="L53" t="str">
        <f t="shared" si="18"/>
        <v xml:space="preserve">["TIER"] = 0; </v>
      </c>
      <c r="M53" t="str">
        <f t="shared" si="7"/>
        <v>};</v>
      </c>
    </row>
    <row r="54" spans="2:13" x14ac:dyDescent="0.25">
      <c r="F54" t="str">
        <f t="shared" si="0"/>
        <v/>
      </c>
      <c r="G54" t="str">
        <f t="shared" si="14"/>
        <v xml:space="preserve">[53] = {}; -- </v>
      </c>
      <c r="H54">
        <f t="shared" si="2"/>
        <v>53</v>
      </c>
      <c r="I54" t="str">
        <f t="shared" si="15"/>
        <v>[53] = {</v>
      </c>
      <c r="J54" t="str">
        <f t="shared" si="16"/>
        <v/>
      </c>
      <c r="K54" t="str">
        <f t="shared" si="17"/>
        <v/>
      </c>
      <c r="L54" t="str">
        <f t="shared" si="18"/>
        <v xml:space="preserve">["TIER"] = 0; </v>
      </c>
      <c r="M54" t="str">
        <f t="shared" si="7"/>
        <v>};</v>
      </c>
    </row>
    <row r="55" spans="2:13" x14ac:dyDescent="0.25">
      <c r="F55" t="str">
        <f t="shared" si="0"/>
        <v/>
      </c>
      <c r="G55" t="str">
        <f t="shared" si="14"/>
        <v xml:space="preserve">[54] = {}; -- </v>
      </c>
      <c r="H55">
        <f t="shared" si="2"/>
        <v>54</v>
      </c>
      <c r="I55" t="str">
        <f t="shared" si="15"/>
        <v>[54] = {</v>
      </c>
      <c r="J55" t="str">
        <f t="shared" si="16"/>
        <v/>
      </c>
      <c r="K55" t="str">
        <f t="shared" si="17"/>
        <v/>
      </c>
      <c r="L55" t="str">
        <f t="shared" si="18"/>
        <v xml:space="preserve">["TIER"] = 0; </v>
      </c>
      <c r="M55" t="str">
        <f t="shared" si="7"/>
        <v>};</v>
      </c>
    </row>
    <row r="56" spans="2:13" x14ac:dyDescent="0.25">
      <c r="F56" t="str">
        <f t="shared" si="0"/>
        <v/>
      </c>
      <c r="G56" t="str">
        <f t="shared" si="14"/>
        <v xml:space="preserve">[55] = {}; -- </v>
      </c>
      <c r="H56">
        <f t="shared" si="2"/>
        <v>55</v>
      </c>
      <c r="I56" t="str">
        <f t="shared" si="15"/>
        <v>[55] = {</v>
      </c>
      <c r="J56" t="str">
        <f t="shared" si="16"/>
        <v/>
      </c>
      <c r="K56" t="str">
        <f t="shared" si="17"/>
        <v/>
      </c>
      <c r="L56" t="str">
        <f t="shared" si="18"/>
        <v xml:space="preserve">["TIER"] = 0; </v>
      </c>
      <c r="M56" t="str">
        <f t="shared" si="7"/>
        <v>};</v>
      </c>
    </row>
    <row r="57" spans="2:13" x14ac:dyDescent="0.25">
      <c r="B57" s="2"/>
      <c r="F57" t="str">
        <f t="shared" si="0"/>
        <v/>
      </c>
      <c r="G57" t="str">
        <f t="shared" si="14"/>
        <v xml:space="preserve">[56] = {}; -- </v>
      </c>
      <c r="H57">
        <f t="shared" si="2"/>
        <v>56</v>
      </c>
      <c r="I57" t="str">
        <f t="shared" si="15"/>
        <v>[56] = {</v>
      </c>
      <c r="J57" t="str">
        <f t="shared" si="16"/>
        <v/>
      </c>
      <c r="K57" t="str">
        <f t="shared" si="17"/>
        <v/>
      </c>
      <c r="L57" t="str">
        <f t="shared" si="18"/>
        <v xml:space="preserve">["TIER"] = 0; </v>
      </c>
      <c r="M57" t="str">
        <f t="shared" si="7"/>
        <v>};</v>
      </c>
    </row>
    <row r="58" spans="2:13" x14ac:dyDescent="0.25">
      <c r="F58" t="str">
        <f t="shared" si="0"/>
        <v/>
      </c>
      <c r="G58" t="str">
        <f t="shared" si="14"/>
        <v xml:space="preserve">[57] = {}; -- </v>
      </c>
      <c r="H58">
        <f t="shared" si="2"/>
        <v>57</v>
      </c>
      <c r="I58" t="str">
        <f t="shared" si="15"/>
        <v>[57] = {</v>
      </c>
      <c r="J58" t="str">
        <f t="shared" si="16"/>
        <v/>
      </c>
      <c r="K58" t="str">
        <f t="shared" si="17"/>
        <v/>
      </c>
      <c r="L58" t="str">
        <f t="shared" si="18"/>
        <v xml:space="preserve">["TIER"] = 0; </v>
      </c>
      <c r="M58" t="str">
        <f t="shared" si="7"/>
        <v>};</v>
      </c>
    </row>
    <row r="59" spans="2:13" x14ac:dyDescent="0.25">
      <c r="F59" t="str">
        <f t="shared" si="0"/>
        <v/>
      </c>
      <c r="G59" t="str">
        <f t="shared" si="14"/>
        <v xml:space="preserve">[58] = {}; -- </v>
      </c>
      <c r="H59">
        <f t="shared" si="2"/>
        <v>58</v>
      </c>
      <c r="I59" t="str">
        <f t="shared" si="15"/>
        <v>[58] = {</v>
      </c>
      <c r="J59" t="str">
        <f t="shared" si="16"/>
        <v/>
      </c>
      <c r="K59" t="str">
        <f t="shared" si="17"/>
        <v/>
      </c>
      <c r="L59" t="str">
        <f t="shared" si="18"/>
        <v xml:space="preserve">["TIER"] = 0; </v>
      </c>
      <c r="M59" t="str">
        <f t="shared" si="7"/>
        <v>};</v>
      </c>
    </row>
    <row r="60" spans="2:13" x14ac:dyDescent="0.25">
      <c r="F60" t="str">
        <f t="shared" si="0"/>
        <v/>
      </c>
      <c r="G60" t="str">
        <f t="shared" si="14"/>
        <v xml:space="preserve">[59] = {}; -- </v>
      </c>
      <c r="H60">
        <f t="shared" si="2"/>
        <v>59</v>
      </c>
      <c r="I60" t="str">
        <f t="shared" si="15"/>
        <v>[59] = {</v>
      </c>
      <c r="J60" t="str">
        <f t="shared" si="16"/>
        <v/>
      </c>
      <c r="K60" t="str">
        <f t="shared" si="17"/>
        <v/>
      </c>
      <c r="L60" t="str">
        <f t="shared" si="18"/>
        <v xml:space="preserve">["TIER"] = 0; </v>
      </c>
      <c r="M60" t="str">
        <f t="shared" si="7"/>
        <v>};</v>
      </c>
    </row>
    <row r="61" spans="2:13" x14ac:dyDescent="0.25">
      <c r="F61" t="str">
        <f t="shared" si="0"/>
        <v/>
      </c>
      <c r="G61" t="str">
        <f t="shared" si="14"/>
        <v xml:space="preserve">[60] = {}; -- </v>
      </c>
      <c r="H61">
        <f t="shared" si="2"/>
        <v>60</v>
      </c>
      <c r="I61" t="str">
        <f t="shared" si="15"/>
        <v>[60] = {</v>
      </c>
      <c r="J61" t="str">
        <f t="shared" si="16"/>
        <v/>
      </c>
      <c r="K61" t="str">
        <f t="shared" si="17"/>
        <v/>
      </c>
      <c r="L61" t="str">
        <f t="shared" si="18"/>
        <v xml:space="preserve">["TIER"] = 0; </v>
      </c>
      <c r="M61" t="str">
        <f t="shared" si="7"/>
        <v>};</v>
      </c>
    </row>
    <row r="62" spans="2:13" x14ac:dyDescent="0.25">
      <c r="F62" t="str">
        <f t="shared" si="0"/>
        <v/>
      </c>
      <c r="G62" t="str">
        <f t="shared" si="14"/>
        <v xml:space="preserve">[61] = {}; -- </v>
      </c>
      <c r="H62">
        <f t="shared" si="2"/>
        <v>61</v>
      </c>
      <c r="I62" t="str">
        <f t="shared" si="15"/>
        <v>[61] = {</v>
      </c>
      <c r="J62" t="str">
        <f t="shared" si="16"/>
        <v/>
      </c>
      <c r="K62" t="str">
        <f t="shared" si="17"/>
        <v/>
      </c>
      <c r="L62" t="str">
        <f t="shared" si="18"/>
        <v xml:space="preserve">["TIER"] = 0; </v>
      </c>
      <c r="M62" t="str">
        <f t="shared" si="7"/>
        <v>};</v>
      </c>
    </row>
    <row r="63" spans="2:13" x14ac:dyDescent="0.25">
      <c r="F63" t="str">
        <f t="shared" si="0"/>
        <v/>
      </c>
      <c r="G63" t="str">
        <f t="shared" si="14"/>
        <v xml:space="preserve">[62] = {}; -- </v>
      </c>
      <c r="H63">
        <f t="shared" si="2"/>
        <v>62</v>
      </c>
      <c r="I63" t="str">
        <f t="shared" si="15"/>
        <v>[62] = {</v>
      </c>
      <c r="J63" t="str">
        <f t="shared" si="16"/>
        <v/>
      </c>
      <c r="K63" t="str">
        <f t="shared" si="17"/>
        <v/>
      </c>
      <c r="L63" t="str">
        <f t="shared" si="18"/>
        <v xml:space="preserve">["TIER"] = 0; </v>
      </c>
      <c r="M63" t="str">
        <f t="shared" si="7"/>
        <v>};</v>
      </c>
    </row>
    <row r="64" spans="2:13" x14ac:dyDescent="0.25">
      <c r="B64" s="2"/>
      <c r="F64" t="str">
        <f t="shared" si="0"/>
        <v/>
      </c>
      <c r="G64" t="str">
        <f t="shared" si="14"/>
        <v xml:space="preserve">[63] = {}; -- </v>
      </c>
      <c r="H64">
        <f t="shared" si="2"/>
        <v>63</v>
      </c>
      <c r="I64" t="str">
        <f t="shared" si="15"/>
        <v>[63] = {</v>
      </c>
      <c r="J64" t="str">
        <f t="shared" si="16"/>
        <v/>
      </c>
      <c r="K64" t="str">
        <f t="shared" si="17"/>
        <v/>
      </c>
      <c r="L64" t="str">
        <f t="shared" si="18"/>
        <v xml:space="preserve">["TIER"] = 0; </v>
      </c>
      <c r="M64" t="str">
        <f t="shared" si="7"/>
        <v>};</v>
      </c>
    </row>
    <row r="65" spans="6:13" x14ac:dyDescent="0.25">
      <c r="F65" t="str">
        <f t="shared" si="0"/>
        <v/>
      </c>
      <c r="G65" t="str">
        <f t="shared" si="14"/>
        <v xml:space="preserve">[64] = {}; -- </v>
      </c>
      <c r="H65">
        <f t="shared" si="2"/>
        <v>64</v>
      </c>
      <c r="I65" t="str">
        <f t="shared" si="15"/>
        <v>[64] = {</v>
      </c>
      <c r="J65" t="str">
        <f t="shared" si="16"/>
        <v/>
      </c>
      <c r="K65" t="str">
        <f t="shared" si="17"/>
        <v/>
      </c>
      <c r="L65" t="str">
        <f t="shared" si="18"/>
        <v xml:space="preserve">["TIER"] = 0; </v>
      </c>
      <c r="M65" t="str">
        <f t="shared" si="7"/>
        <v>};</v>
      </c>
    </row>
    <row r="66" spans="6:13" x14ac:dyDescent="0.25">
      <c r="F66" t="str">
        <f t="shared" si="0"/>
        <v/>
      </c>
      <c r="G66" t="str">
        <f t="shared" si="14"/>
        <v xml:space="preserve">[65] = {}; -- </v>
      </c>
      <c r="H66">
        <f t="shared" si="2"/>
        <v>65</v>
      </c>
      <c r="I66" t="str">
        <f t="shared" si="15"/>
        <v>[65] = {</v>
      </c>
      <c r="J66" t="str">
        <f t="shared" si="16"/>
        <v/>
      </c>
      <c r="K66" t="str">
        <f t="shared" si="17"/>
        <v/>
      </c>
      <c r="L66" t="str">
        <f t="shared" si="18"/>
        <v xml:space="preserve">["TIER"] = 0; </v>
      </c>
      <c r="M66" t="str">
        <f t="shared" si="7"/>
        <v>};</v>
      </c>
    </row>
    <row r="67" spans="6:13" x14ac:dyDescent="0.25">
      <c r="F67" t="str">
        <f t="shared" si="0"/>
        <v/>
      </c>
      <c r="G67" t="str">
        <f t="shared" si="14"/>
        <v xml:space="preserve">[66] = {}; -- </v>
      </c>
      <c r="H67">
        <f t="shared" si="2"/>
        <v>66</v>
      </c>
      <c r="I67" t="str">
        <f t="shared" si="15"/>
        <v>[66] = {</v>
      </c>
      <c r="J67" t="str">
        <f t="shared" si="16"/>
        <v/>
      </c>
      <c r="K67" t="str">
        <f t="shared" si="17"/>
        <v/>
      </c>
      <c r="L67" t="str">
        <f t="shared" si="18"/>
        <v xml:space="preserve">["TIER"] = 0; </v>
      </c>
      <c r="M67" t="str">
        <f t="shared" si="7"/>
        <v>};</v>
      </c>
    </row>
    <row r="68" spans="6:13" x14ac:dyDescent="0.25">
      <c r="F68" t="str">
        <f t="shared" si="0"/>
        <v/>
      </c>
      <c r="G68" t="str">
        <f t="shared" si="14"/>
        <v xml:space="preserve">[67] = {}; -- </v>
      </c>
      <c r="H68">
        <f t="shared" si="2"/>
        <v>67</v>
      </c>
      <c r="I68" t="str">
        <f t="shared" si="15"/>
        <v>[67] = {</v>
      </c>
      <c r="J68" t="str">
        <f t="shared" si="16"/>
        <v/>
      </c>
      <c r="K68" t="str">
        <f t="shared" si="17"/>
        <v/>
      </c>
      <c r="L68" t="str">
        <f t="shared" si="18"/>
        <v xml:space="preserve">["TIER"] = 0; </v>
      </c>
      <c r="M68" t="str">
        <f t="shared" si="7"/>
        <v>};</v>
      </c>
    </row>
    <row r="69" spans="6:13" x14ac:dyDescent="0.25">
      <c r="F69" t="str">
        <f t="shared" ref="F3:F73" si="19">IF(AND(A69&gt;0,C69&gt;0),CONCATENATE("[",A69,"] = ",C69,", // ",B69),"")</f>
        <v/>
      </c>
      <c r="G69" t="str">
        <f t="shared" ref="G3:G73" si="20">CONCATENATE(I69,J69,K69,M69," -- ",B69)</f>
        <v xml:space="preserve">[68] = {}; -- </v>
      </c>
      <c r="H69">
        <f t="shared" si="2"/>
        <v>68</v>
      </c>
      <c r="I69" t="str">
        <f t="shared" ref="I3:I73" si="21">CONCATENATE(REPT(" ",2-LEN(H69)),"[",H69,"] = {")</f>
        <v>[68] = {</v>
      </c>
      <c r="J69" t="str">
        <f t="shared" ref="J3:J73" si="22">IF(LEN(A69)&gt;0,CONCATENATE("[""ID""] = ",A69,"; "),"")</f>
        <v/>
      </c>
      <c r="K69" t="str">
        <f t="shared" ref="K3:K73" si="23">IF(LEN(D69)&gt;0,CONCATENATE("[""CAT_ID""] = ",D69,"; "),"")</f>
        <v/>
      </c>
      <c r="L69" t="str">
        <f t="shared" ref="L3:L73" si="24">CONCATENATE("[""TIER""] = ",TEXT(C69,"0"),"; ")</f>
        <v xml:space="preserve">["TIER"] = 0; </v>
      </c>
      <c r="M69" t="str">
        <f t="shared" si="7"/>
        <v>};</v>
      </c>
    </row>
    <row r="70" spans="6:13" x14ac:dyDescent="0.25">
      <c r="F70" t="str">
        <f t="shared" si="19"/>
        <v/>
      </c>
      <c r="G70" t="str">
        <f t="shared" si="20"/>
        <v xml:space="preserve">[69] = {}; -- </v>
      </c>
      <c r="H70">
        <f t="shared" si="2"/>
        <v>69</v>
      </c>
      <c r="I70" t="str">
        <f t="shared" si="21"/>
        <v>[69] = {</v>
      </c>
      <c r="J70" t="str">
        <f t="shared" si="22"/>
        <v/>
      </c>
      <c r="K70" t="str">
        <f t="shared" si="23"/>
        <v/>
      </c>
      <c r="L70" t="str">
        <f t="shared" si="24"/>
        <v xml:space="preserve">["TIER"] = 0; </v>
      </c>
      <c r="M70" t="str">
        <f t="shared" si="7"/>
        <v>};</v>
      </c>
    </row>
    <row r="71" spans="6:13" x14ac:dyDescent="0.25">
      <c r="F71" t="str">
        <f t="shared" si="19"/>
        <v/>
      </c>
      <c r="G71" t="str">
        <f t="shared" si="20"/>
        <v xml:space="preserve">[70] = {}; -- </v>
      </c>
      <c r="H71">
        <f t="shared" si="2"/>
        <v>70</v>
      </c>
      <c r="I71" t="str">
        <f t="shared" si="21"/>
        <v>[70] = {</v>
      </c>
      <c r="J71" t="str">
        <f t="shared" si="22"/>
        <v/>
      </c>
      <c r="K71" t="str">
        <f t="shared" si="23"/>
        <v/>
      </c>
      <c r="L71" t="str">
        <f t="shared" si="24"/>
        <v xml:space="preserve">["TIER"] = 0; </v>
      </c>
      <c r="M71" t="str">
        <f t="shared" si="7"/>
        <v>};</v>
      </c>
    </row>
    <row r="72" spans="6:13" x14ac:dyDescent="0.25">
      <c r="F72" t="str">
        <f t="shared" si="19"/>
        <v/>
      </c>
      <c r="G72" t="str">
        <f t="shared" si="20"/>
        <v xml:space="preserve">[71] = {}; -- </v>
      </c>
      <c r="H72">
        <f t="shared" si="2"/>
        <v>71</v>
      </c>
      <c r="I72" t="str">
        <f t="shared" si="21"/>
        <v>[71] = {</v>
      </c>
      <c r="J72" t="str">
        <f t="shared" si="22"/>
        <v/>
      </c>
      <c r="K72" t="str">
        <f t="shared" si="23"/>
        <v/>
      </c>
      <c r="L72" t="str">
        <f t="shared" si="24"/>
        <v xml:space="preserve">["TIER"] = 0; </v>
      </c>
      <c r="M72" t="str">
        <f t="shared" si="7"/>
        <v>};</v>
      </c>
    </row>
    <row r="73" spans="6:13" x14ac:dyDescent="0.25">
      <c r="F73" t="str">
        <f t="shared" si="19"/>
        <v/>
      </c>
      <c r="G73" t="str">
        <f t="shared" si="20"/>
        <v xml:space="preserve">[72] = {}; -- </v>
      </c>
      <c r="H73">
        <f t="shared" si="2"/>
        <v>72</v>
      </c>
      <c r="I73" t="str">
        <f t="shared" si="21"/>
        <v>[72] = {</v>
      </c>
      <c r="J73" t="str">
        <f t="shared" si="22"/>
        <v/>
      </c>
      <c r="K73" t="str">
        <f t="shared" si="23"/>
        <v/>
      </c>
      <c r="L73" t="str">
        <f t="shared" si="24"/>
        <v xml:space="preserve">["TIER"] = 0; </v>
      </c>
      <c r="M73" t="str">
        <f t="shared" si="7"/>
        <v>};</v>
      </c>
    </row>
  </sheetData>
  <pageMargins left="0.7" right="0.7" top="0.75" bottom="0.75" header="0.3" footer="0.3"/>
  <pageSetup paperSize="9"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2025-09-01T04:28:25Z</dcterms:modified>
</cp:coreProperties>
</file>